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ynthese" sheetId="2" state="visible" r:id="rId4"/>
    <sheet name="Hypotheses" sheetId="3" state="visible" r:id="rId5"/>
    <sheet name="Investissements" sheetId="4" state="visible" r:id="rId6"/>
    <sheet name="Epargne" sheetId="5" state="visible" r:id="rId7"/>
    <sheet name="Scen_Pessimiste" sheetId="6" state="visible" r:id="rId8"/>
    <sheet name="Scen_Central" sheetId="7" state="visible" r:id="rId9"/>
    <sheet name="Scen_Optimist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<sst xmlns="http://schemas.openxmlformats.org/spreadsheetml/2006/main" count="687" uniqueCount="324">
  <si>
    <t xml:space="preserve">Setal Pro — Modèle financier sur 5 ans</t>
  </si>
  <si>
    <t xml:space="preserve">Version du 10/10/2026, construite par Claude (mode autonome). Toutes les valeurs en FCFA hors taxes (HT).</t>
  </si>
  <si>
    <t xml:space="preserve">Comment l'utiliser</t>
  </si>
  <si>
    <t xml:space="preserve">1. Onglet Hypotheses : modifier uniquement les cellules en BLEU (sur fond jaune = hypothèses clés). Trois colonnes : Pessimiste / Central / Optimiste.</t>
  </si>
  <si>
    <t xml:space="preserve">2. Choisir la version d'investissement (cellule D5 de Hypotheses) : 1 = frugale (≈ 46 M), 2 = standard (≈ 85 M).</t>
  </si>
  <si>
    <t xml:space="preserve">3. Onglet Epargne : votre épargne mois par mois jusqu'à l'ouverture (apport, 500 € puis 1 000 €/mois, voyages).</t>
  </si>
  <si>
    <t xml:space="preserve">4. Onglets Scen_Pessimiste / Scen_Central / Scen_Optimiste : compte de résultat, BFR et trésorerie mensuels sur 60 mois (octobre 2030 → septembre 2035), avec un bilan annuel en bas.</t>
  </si>
  <si>
    <t xml:space="preserve">5. Onglet Synthese : comparaison des 3 scénarios, besoin de financement, couverture par l'épargne.</t>
  </si>
  <si>
    <t xml:space="preserve">Code couleur</t>
  </si>
  <si>
    <t xml:space="preserve">Bleu = saisie / hypothèse ; Noir = formule ; Vert = lien vers un autre onglet ; Fond jaune = hypothèse clé à vérifier en priorité.</t>
  </si>
  <si>
    <t xml:space="preserve">Simplifications assumées (à affiner)</t>
  </si>
  <si>
    <t xml:space="preserve">• TVA non modélisée (prix et coûts HT) : la TVA collectée/déductible est supposée neutre en trésorerie, hors décalages.</t>
  </si>
  <si>
    <t xml:space="preserve">• Années = périodes de 12 mois depuis l'ouverture (A1 = oct. 2030 – sept. 2031), pas des exercices civils.</t>
  </si>
  <si>
    <t xml:space="preserve">• Impôt : max(IS 30 % du bénéfice après report des déficits ; impôt minimum forfaitaire). Payé le 1er mois de l'année suivante ; l'impôt de l'année 5 n'est pas décaissé dans l'horizon.</t>
  </si>
  <si>
    <t xml:space="preserve">• Linge en location : l'achat du stock est un investissement ; l'usure et les pertes sont des charges (et des rachats en trésorerie).</t>
  </si>
  <si>
    <t xml:space="preserve">• Aucun salaire pour le gérant (choix du porteur). Aucune dépense personnelle de subsistance n'est dans le compte de la société : elle est traitée dans l'onglet Epargne (réserve personnelle).</t>
  </si>
  <si>
    <t xml:space="preserve">• Aucun emprunt : le modèle mesure le besoin de financement et l'écart avec l'épargne.</t>
  </si>
  <si>
    <t xml:space="preserve">Sources : voir docs/04, 05, 06 et 07 du dossier. Les statuts [FAIT]/[HYPOTHÈSE]/[ESTIMATION]/À VÉRIFIER sont indiqués dans la colonne Statut des hypothèses.</t>
  </si>
  <si>
    <t xml:space="preserve">Synthèse — 3 scénarios (FCFA HT)</t>
  </si>
  <si>
    <t xml:space="preserve">Toutes les valeurs sont des formules liées aux onglets de scénario. Version d'investissement :</t>
  </si>
  <si>
    <t xml:space="preserve">Indicateur</t>
  </si>
  <si>
    <t xml:space="preserve">Pessimiste</t>
  </si>
  <si>
    <t xml:space="preserve">Central</t>
  </si>
  <si>
    <t xml:space="preserve">Optimiste</t>
  </si>
  <si>
    <t xml:space="preserve">Besoin de financement (creux de trésorerie, après crédit-bail)</t>
  </si>
  <si>
    <t xml:space="preserve">Mois du creux</t>
  </si>
  <si>
    <t xml:space="preserve">Coussin de sécurité</t>
  </si>
  <si>
    <t xml:space="preserve">Besoin total avec coussin</t>
  </si>
  <si>
    <t xml:space="preserve">Épargne mobilisable</t>
  </si>
  <si>
    <t xml:space="preserve">Écart à financer (négatif = besoin non couvert)</t>
  </si>
  <si>
    <t xml:space="preserve">Premier mois d'EBE positif</t>
  </si>
  <si>
    <t xml:space="preserve">Trésorerie minimale après apport</t>
  </si>
  <si>
    <t xml:space="preserve">Montant financé en crédit-bail</t>
  </si>
  <si>
    <t xml:space="preserve">Loyer mensuel de crédit-bail</t>
  </si>
  <si>
    <t xml:space="preserve">Année 1</t>
  </si>
  <si>
    <t xml:space="preserve">Volume moyen (kg/jour)</t>
  </si>
  <si>
    <t xml:space="preserve">Chiffre d'affaires</t>
  </si>
  <si>
    <t xml:space="preserve">EBE (EBITDA)</t>
  </si>
  <si>
    <t xml:space="preserve">Marge d'EBE</t>
  </si>
  <si>
    <t xml:space="preserve">Résultat net</t>
  </si>
  <si>
    <t xml:space="preserve">Trésorerie de fin d'année (après apport)</t>
  </si>
  <si>
    <t xml:space="preserve">Point mort (kg/jour)</t>
  </si>
  <si>
    <t xml:space="preserve">Année 2</t>
  </si>
  <si>
    <t xml:space="preserve">Année 3</t>
  </si>
  <si>
    <t xml:space="preserve">Année 4</t>
  </si>
  <si>
    <t xml:space="preserve">Année 5</t>
  </si>
  <si>
    <t xml:space="preserve">Que faudrait-il pour couvrir l'écart avec la seule épargne ?</t>
  </si>
  <si>
    <t xml:space="preserve">Épargne mensuelle supplémentaire nécessaire d'ici l'ouverture (€/mois, sur 48 mois)</t>
  </si>
  <si>
    <t xml:space="preserve">OU : report de l'ouverture à épargne constante de 1 000 €/mois (en mois)</t>
  </si>
  <si>
    <t xml:space="preserve">Lecture : l'écart à financer compare le besoin maximal de trésorerie (investissement + pertes de démarrage + BFR + linge + coussin) à l'épargne mobilisable à l'ouverture (onglet Epargne).</t>
  </si>
  <si>
    <t xml:space="preserve">Hypothèses du modèle</t>
  </si>
  <si>
    <t xml:space="preserve">Saisir en bleu. Colonnes D/E/F = scénarios Pessimiste / Central / Optimiste.</t>
  </si>
  <si>
    <t xml:space="preserve">Paramètres globaux</t>
  </si>
  <si>
    <t xml:space="preserve">Version d'investissement (1 = frugale, 2 = standard)</t>
  </si>
  <si>
    <t xml:space="preserve">Choix par défaut : frugale (épargne limitée). Voir docs/06 §9.</t>
  </si>
  <si>
    <t xml:space="preserve">Mois d'ouverture</t>
  </si>
  <si>
    <t xml:space="preserve">Objectif « fin 2030 » du porteur.</t>
  </si>
  <si>
    <t xml:space="preserve">Taux de change (FCFA pour 1 €)</t>
  </si>
  <si>
    <t xml:space="preserve">[FAIT] Parité fixe euro / franc CFA (BCEAO).</t>
  </si>
  <si>
    <t xml:space="preserve">Paramètre</t>
  </si>
  <si>
    <t xml:space="preserve">Unité</t>
  </si>
  <si>
    <t xml:space="preserve">Statut / source</t>
  </si>
  <si>
    <t xml:space="preserve">Volumes et capacité</t>
  </si>
  <si>
    <t xml:space="preserve">Volume au 1er mois</t>
  </si>
  <si>
    <t xml:space="preserve">kg/jour</t>
  </si>
  <si>
    <t xml:space="preserve">[HYPOTHÈSE] premiers clients (docs/02 §4)</t>
  </si>
  <si>
    <t xml:space="preserve">Volume atteint en fin de montée en charge</t>
  </si>
  <si>
    <t xml:space="preserve">[HYPOTHÈSE] ≈ 15 à 25 clients (docs/02 §4)</t>
  </si>
  <si>
    <t xml:space="preserve">Durée de la montée en charge</t>
  </si>
  <si>
    <t xml:space="preserve">mois</t>
  </si>
  <si>
    <t xml:space="preserve">[HYPOTHÈSE]</t>
  </si>
  <si>
    <t xml:space="preserve">Croissance après la montée en charge</t>
  </si>
  <si>
    <t xml:space="preserve">kg/jour par mois</t>
  </si>
  <si>
    <t xml:space="preserve">Capacité en 1 équipe</t>
  </si>
  <si>
    <t xml:space="preserve">[ESTIMATION] goulot = lavage (docs/06 §3.2)</t>
  </si>
  <si>
    <t xml:space="preserve">Mois d'ouverture de la 2e équipe (99 = jamais)</t>
  </si>
  <si>
    <t xml:space="preserve">n° de mois</t>
  </si>
  <si>
    <t xml:space="preserve">[HYPOTHÈSE] règle : charge &gt; 85 % (docs/06 §3.2)</t>
  </si>
  <si>
    <t xml:space="preserve">Jours ouvrés par mois</t>
  </si>
  <si>
    <t xml:space="preserve">jours</t>
  </si>
  <si>
    <t xml:space="preserve">[HYPOTHÈSE] 6 jours sur 7</t>
  </si>
  <si>
    <t xml:space="preserve">Prix et mix</t>
  </si>
  <si>
    <t xml:space="preserve">Prix Setal Entretien (linge du client)</t>
  </si>
  <si>
    <t xml:space="preserve">FCFA/kg</t>
  </si>
  <si>
    <t xml:space="preserve">[HYPOTHÈSE] AUCUN prix B2B trouvé : priorité n°1 du terrain (docs/02 §6)</t>
  </si>
  <si>
    <t xml:space="preserve">Prix Setal Location (linge Setal Pro)</t>
  </si>
  <si>
    <t xml:space="preserve">FCFA/kg équivalent</t>
  </si>
  <si>
    <t xml:space="preserve">[HYPOTHÈSE] entretien + amortissement du linge + marge (docs/04 §5.2)</t>
  </si>
  <si>
    <t xml:space="preserve">Part de location atteinte au mois 48</t>
  </si>
  <si>
    <t xml:space="preserve">% des kg</t>
  </si>
  <si>
    <t xml:space="preserve">[HYPOTHÈSE] stratégie de conversion (docs/02 §7)</t>
  </si>
  <si>
    <t xml:space="preserve">Consommables par kg de linge</t>
  </si>
  <si>
    <t xml:space="preserve">Eau</t>
  </si>
  <si>
    <t xml:space="preserve">L/kg</t>
  </si>
  <si>
    <t xml:space="preserve">9 à 12 L/kg (Electrolux, docs/06 S6)</t>
  </si>
  <si>
    <t xml:space="preserve">Prix de l'eau</t>
  </si>
  <si>
    <t xml:space="preserve">FCFA/m³</t>
  </si>
  <si>
    <t xml:space="preserve">Tranche haute SEN'EAU des ménages 779-878 ; tarif non domestique À VÉRIFIER</t>
  </si>
  <si>
    <t xml:space="preserve">Électricité</t>
  </si>
  <si>
    <t xml:space="preserve">kWh/kg</t>
  </si>
  <si>
    <t xml:space="preserve">[HYPOTHÈSE] séchage et repassage au gaz</t>
  </si>
  <si>
    <t xml:space="preserve">Prix de l'électricité</t>
  </si>
  <si>
    <t xml:space="preserve">FCFA/kWh</t>
  </si>
  <si>
    <t xml:space="preserve">[FAIT] PPP 3e tranche = 208,63 FCFA/kWh HT au 1/1/2026 (CRSE)</t>
  </si>
  <si>
    <t xml:space="preserve">Gaz (séchoirs, calandre)</t>
  </si>
  <si>
    <t xml:space="preserve">[HYPOTHÈSE] prix du gaz professionnel À VÉRIFIER</t>
  </si>
  <si>
    <t xml:space="preserve">Lessives et produits</t>
  </si>
  <si>
    <t xml:space="preserve">Emballages</t>
  </si>
  <si>
    <t xml:space="preserve">Surcoût groupe électrogène</t>
  </si>
  <si>
    <t xml:space="preserve">[HYPOTHÈSE] coupures (docs/06 §4)</t>
  </si>
  <si>
    <t xml:space="preserve">Linge en location</t>
  </si>
  <si>
    <t xml:space="preserve">Coût d'achat du linge</t>
  </si>
  <si>
    <t xml:space="preserve">FCFA/kg de linge</t>
  </si>
  <si>
    <t xml:space="preserve">[HYPOTHÈSE] prix du textile hôtelier À VÉRIFIER (terrain)</t>
  </si>
  <si>
    <t xml:space="preserve">Dotation (jeux en circulation)</t>
  </si>
  <si>
    <t xml:space="preserve">jours d'usage</t>
  </si>
  <si>
    <t xml:space="preserve">[HYPOTHÈSE] 3 à 4 jeux par lit (docs/04 §3.2)</t>
  </si>
  <si>
    <t xml:space="preserve">Durée de vie du linge</t>
  </si>
  <si>
    <t xml:space="preserve">lavages</t>
  </si>
  <si>
    <t xml:space="preserve">[HYPOTHÈSE] À VÉRIFIER (fiches fournisseurs)</t>
  </si>
  <si>
    <t xml:space="preserve">Pertes de linge</t>
  </si>
  <si>
    <t xml:space="preserve">% du stock par mois</t>
  </si>
  <si>
    <t xml:space="preserve">Personnel (salaires bruts mensuels)</t>
  </si>
  <si>
    <t xml:space="preserve">Chef d'atelier</t>
  </si>
  <si>
    <t xml:space="preserve">FCFA/mois</t>
  </si>
  <si>
    <t xml:space="preserve">[HYPOTHÈSE] (docs/06 §10)</t>
  </si>
  <si>
    <t xml:space="preserve">Opérateur (moyenne)</t>
  </si>
  <si>
    <t xml:space="preserve">[HYPOTHÈSE] salaire minimum ≈ 75 000 FCFA À VÉRIFIER</t>
  </si>
  <si>
    <t xml:space="preserve">Chauffeur-livreur</t>
  </si>
  <si>
    <t xml:space="preserve">Charges sociales + CFCE</t>
  </si>
  <si>
    <t xml:space="preserve">% du brut</t>
  </si>
  <si>
    <t xml:space="preserve">[ESTIMATION] taux CLEISS 2026 + CFCE 3 % (docs/05 §6)</t>
  </si>
  <si>
    <t xml:space="preserve">Opérateurs en démarrage</t>
  </si>
  <si>
    <t xml:space="preserve">personnes</t>
  </si>
  <si>
    <t xml:space="preserve">Hors chef d'atelier et chauffeur</t>
  </si>
  <si>
    <t xml:space="preserve">Opérateurs en croisière</t>
  </si>
  <si>
    <t xml:space="preserve">(docs/06 §10)</t>
  </si>
  <si>
    <t xml:space="preserve">Seuil de volume pour passer en effectif de croisière</t>
  </si>
  <si>
    <t xml:space="preserve">Volume déclenchant un 2e véhicule et un 2e chauffeur</t>
  </si>
  <si>
    <t xml:space="preserve">[HYPOTHÈSE] temps de tournée (docs/06 §8)</t>
  </si>
  <si>
    <t xml:space="preserve">Coût du 2e véhicule (occasion)</t>
  </si>
  <si>
    <t xml:space="preserve">FCFA</t>
  </si>
  <si>
    <t xml:space="preserve">[HYPOTHÈSE] amorti sur 5 ans</t>
  </si>
  <si>
    <t xml:space="preserve">Opérateurs de la 2e équipe</t>
  </si>
  <si>
    <t xml:space="preserve">Mois de salaire par an (gratification)</t>
  </si>
  <si>
    <t xml:space="preserve">[HYPOTHÈSE] usage local À VÉRIFIER</t>
  </si>
  <si>
    <t xml:space="preserve">Charges fixes (mensuelles sauf mention)</t>
  </si>
  <si>
    <t xml:space="preserve">Surface du local</t>
  </si>
  <si>
    <t xml:space="preserve">m²</t>
  </si>
  <si>
    <t xml:space="preserve">[HYPOTHÈSE] 150 à 250 m² (docs/06 §7)</t>
  </si>
  <si>
    <t xml:space="preserve">Loyer</t>
  </si>
  <si>
    <t xml:space="preserve">FCFA/m²/mois</t>
  </si>
  <si>
    <t xml:space="preserve">[HYPOTHÈSE] aucune donnée publique trouvée</t>
  </si>
  <si>
    <t xml:space="preserve">Véhicule : carburant et entretien</t>
  </si>
  <si>
    <t xml:space="preserve">Assurances</t>
  </si>
  <si>
    <t xml:space="preserve">% de l'investissement par an</t>
  </si>
  <si>
    <t xml:space="preserve">[HYPOTHÈSE] (docs/05 §8)</t>
  </si>
  <si>
    <t xml:space="preserve">Maintenance et pièces des machines</t>
  </si>
  <si>
    <t xml:space="preserve">Expert-comptable</t>
  </si>
  <si>
    <t xml:space="preserve">[HYPOTHÈSE] (docs/05 §9)</t>
  </si>
  <si>
    <t xml:space="preserve">Téléphone, internet, logiciel</t>
  </si>
  <si>
    <t xml:space="preserve">Commercial et marketing</t>
  </si>
  <si>
    <t xml:space="preserve">Divers (fournitures, frais bancaires, nettoyage)</t>
  </si>
  <si>
    <t xml:space="preserve">Abonnement et prime fixe d'électricité, eau</t>
  </si>
  <si>
    <t xml:space="preserve">[HYPOTHÈSE] À VÉRIFIER</t>
  </si>
  <si>
    <t xml:space="preserve">Investissement, BFR, impôts</t>
  </si>
  <si>
    <t xml:space="preserve">Dépassement du budget d'investissement</t>
  </si>
  <si>
    <t xml:space="preserve">%</t>
  </si>
  <si>
    <t xml:space="preserve">Frais avant ouverture (recrutement, formation, loyers avant ouverture, essais)</t>
  </si>
  <si>
    <t xml:space="preserve">Délai de paiement des clients</t>
  </si>
  <si>
    <t xml:space="preserve">[HYPOTHÈSE] À VÉRIFIER (critère G5)</t>
  </si>
  <si>
    <t xml:space="preserve">Délai de paiement des fournisseurs</t>
  </si>
  <si>
    <t xml:space="preserve">Impôt sur les sociétés</t>
  </si>
  <si>
    <t xml:space="preserve">[FAIT] 30 % (docs/05 §4)</t>
  </si>
  <si>
    <t xml:space="preserve">Impôt minimum forfaitaire : taux</t>
  </si>
  <si>
    <t xml:space="preserve">% du CA</t>
  </si>
  <si>
    <t xml:space="preserve">[FAIT] CGI 2012 art. 40 ; À VÉRIFIER dans le CGI 2025</t>
  </si>
  <si>
    <t xml:space="preserve">Impôt minimum forfaitaire : plancher</t>
  </si>
  <si>
    <t xml:space="preserve">FCFA/an</t>
  </si>
  <si>
    <t xml:space="preserve">[FAIT] CGI 2012 ; À VÉRIFIER</t>
  </si>
  <si>
    <t xml:space="preserve">Impôt minimum forfaitaire : plafond</t>
  </si>
  <si>
    <t xml:space="preserve">Crédit-bail sur les machines (seul financement extérieur accepté, 10/10/2026)</t>
  </si>
  <si>
    <t xml:space="preserve">Recours au crédit-bail (1 = oui, 0 = non)</t>
  </si>
  <si>
    <t xml:space="preserve">Décision du porteur du 10/10/2026</t>
  </si>
  <si>
    <t xml:space="preserve">Apport (premier loyer majoré) payé à la signature</t>
  </si>
  <si>
    <t xml:space="preserve">% du prix</t>
  </si>
  <si>
    <t xml:space="preserve">Fourchette de 10 à 30 % selon un guide commercial (Kolonell, 2026) ; À VÉRIFIER</t>
  </si>
  <si>
    <t xml:space="preserve">Taux effectif annuel</t>
  </si>
  <si>
    <t xml:space="preserve">Fourchette de 9 à 14 % selon un guide commercial (Kolonell, 2026) ; À VÉRIFIER</t>
  </si>
  <si>
    <t xml:space="preserve">Durée du contrat</t>
  </si>
  <si>
    <t xml:space="preserve">24 à 60 mois (même source) ; À VÉRIFIER</t>
  </si>
  <si>
    <t xml:space="preserve">Coussin de sécurité de trésorerie</t>
  </si>
  <si>
    <t xml:space="preserve">mois de charges fixes</t>
  </si>
  <si>
    <t xml:space="preserve">[HYPOTHÈSE] prudence</t>
  </si>
  <si>
    <t xml:space="preserve">Investissements de départ (FCFA)</t>
  </si>
  <si>
    <t xml:space="preserve">Montants en bleu = estimations (docs/06 §9), à remplacer par des devis. Durée = durée d'amortissement en années (0 = non amortissable).</t>
  </si>
  <si>
    <t xml:space="preserve">Poste</t>
  </si>
  <si>
    <t xml:space="preserve">Standard</t>
  </si>
  <si>
    <t xml:space="preserve">Frugale</t>
  </si>
  <si>
    <t xml:space="preserve">Retenu</t>
  </si>
  <si>
    <t xml:space="preserve">Durée (ans)</t>
  </si>
  <si>
    <t xml:space="preserve">Dotation mensuelle</t>
  </si>
  <si>
    <t xml:space="preserve">Crédit-bail (1 = oui)</t>
  </si>
  <si>
    <t xml:space="preserve">3 laveuses-essoreuses (25 + 20 + 12 kg)</t>
  </si>
  <si>
    <t xml:space="preserve">Séchoirs au gaz (2 × 25 kg ; frugal : 1)</t>
  </si>
  <si>
    <t xml:space="preserve">Calandre-sécheuse de 2,5 m</t>
  </si>
  <si>
    <t xml:space="preserve">Transport, dédouanement, installation</t>
  </si>
  <si>
    <t xml:space="preserve">Groupe électrogène et inverseur</t>
  </si>
  <si>
    <t xml:space="preserve">Cuve d'eau, surpresseur, adoucisseur</t>
  </si>
  <si>
    <t xml:space="preserve">Prétraitement des eaux</t>
  </si>
  <si>
    <t xml:space="preserve">Aménagement du local</t>
  </si>
  <si>
    <t xml:space="preserve">Chariots, tables, rayonnages, balance</t>
  </si>
  <si>
    <t xml:space="preserve">Véhicule utilitaire (occasion)</t>
  </si>
  <si>
    <t xml:space="preserve">Informatique, téléphones, étiqueteuse, logiciel</t>
  </si>
  <si>
    <t xml:space="preserve">Dépôt de garantie du local (3 mois)</t>
  </si>
  <si>
    <t xml:space="preserve">Création, études, environnement, conseil</t>
  </si>
  <si>
    <t xml:space="preserve">Total</t>
  </si>
  <si>
    <t xml:space="preserve">Dont éligible au crédit-bail (machines, version retenue)</t>
  </si>
  <si>
    <t xml:space="preserve">Total en euros (version retenue)</t>
  </si>
  <si>
    <t xml:space="preserve">Choix du porteur (10/10/2026) : crédit-bail UNIQUEMENT sur les machines (laveuses, séchoirs, calandre). Mettre 1 en colonne H pour inclure un autre poste.</t>
  </si>
  <si>
    <t xml:space="preserve">Épargne personnelle jusqu'à l'ouverture</t>
  </si>
  <si>
    <t xml:space="preserve">Apport actuel (octobre 2026)</t>
  </si>
  <si>
    <t xml:space="preserve">Donnée du porteur (≈ 10 M FCFA)</t>
  </si>
  <si>
    <t xml:space="preserve">Épargne mensuelle actuelle</t>
  </si>
  <si>
    <t xml:space="preserve">€/mois</t>
  </si>
  <si>
    <t xml:space="preserve">Donnée du porteur</t>
  </si>
  <si>
    <t xml:space="preserve">Épargne mensuelle visée</t>
  </si>
  <si>
    <t xml:space="preserve">Objectif du porteur</t>
  </si>
  <si>
    <t xml:space="preserve">Mois de passage à l'épargne visée</t>
  </si>
  <si>
    <t xml:space="preserve">date</t>
  </si>
  <si>
    <t xml:space="preserve">[HYPOTHÈSE] à confirmer</t>
  </si>
  <si>
    <t xml:space="preserve">Voyage 1 (exploration, ≈ 3 semaines) : coût</t>
  </si>
  <si>
    <t xml:space="preserve">[ESTIMATION] vols, hébergement, transport sur place</t>
  </si>
  <si>
    <t xml:space="preserve">Voyage 1 : date</t>
  </si>
  <si>
    <t xml:space="preserve">docs/03 §5</t>
  </si>
  <si>
    <t xml:space="preserve">Voyage 2 (confirmation, ≈ 2 semaines) : coût</t>
  </si>
  <si>
    <t xml:space="preserve">[ESTIMATION]</t>
  </si>
  <si>
    <t xml:space="preserve">Voyage 2 : date</t>
  </si>
  <si>
    <t xml:space="preserve">Voyage 3 (création, local, devis, 2030) : coût</t>
  </si>
  <si>
    <t xml:space="preserve">Voyage 3 : date</t>
  </si>
  <si>
    <t xml:space="preserve">docs/09</t>
  </si>
  <si>
    <t xml:space="preserve">Déménagement et installation au Sénégal</t>
  </si>
  <si>
    <t xml:space="preserve">[ESTIMATION] payé le mois précédant l'ouverture</t>
  </si>
  <si>
    <t xml:space="preserve">Réserve personnelle de subsistance conservée hors projet</t>
  </si>
  <si>
    <t xml:space="preserve">[HYPOTHÈSE] aucun salaire pendant ~4 ans : à confirmer</t>
  </si>
  <si>
    <t xml:space="preserve">Dépenses personnelles mensuelles à Dakar</t>
  </si>
  <si>
    <t xml:space="preserve">[HYPOTHÈSE] À ADAPTER à la situation familiale</t>
  </si>
  <si>
    <t xml:space="preserve">Rendement annuel de l'épargne</t>
  </si>
  <si>
    <t xml:space="preserve">[HYPOTHÈSE] prudence (0 %)</t>
  </si>
  <si>
    <t xml:space="preserve">Mois</t>
  </si>
  <si>
    <t xml:space="preserve">Épargne (€)</t>
  </si>
  <si>
    <t xml:space="preserve">Épargne (FCFA)</t>
  </si>
  <si>
    <t xml:space="preserve">Voyages et installation</t>
  </si>
  <si>
    <t xml:space="preserve">Intérêts</t>
  </si>
  <si>
    <t xml:space="preserve">Solde fin de mois</t>
  </si>
  <si>
    <t xml:space="preserve">Mois n°</t>
  </si>
  <si>
    <t xml:space="preserve">Solde d'épargne la veille de l'ouverture</t>
  </si>
  <si>
    <t xml:space="preserve">Moins : réserve personnelle de subsistance</t>
  </si>
  <si>
    <t xml:space="preserve">Épargne mobilisable pour Setal Pro</t>
  </si>
  <si>
    <t xml:space="preserve">Soit en euros</t>
  </si>
  <si>
    <t xml:space="preserve">Scénario Pessimiste — compte de résultat et trésorerie mensuels (FCFA HT)</t>
  </si>
  <si>
    <t xml:space="preserve">Année d'exploitation</t>
  </si>
  <si>
    <t xml:space="preserve">Mois dans l'année</t>
  </si>
  <si>
    <t xml:space="preserve">Activité</t>
  </si>
  <si>
    <t xml:space="preserve">Capacité</t>
  </si>
  <si>
    <t xml:space="preserve">Volume traité</t>
  </si>
  <si>
    <t xml:space="preserve">Taux de charge</t>
  </si>
  <si>
    <t xml:space="preserve">Volume mensuel</t>
  </si>
  <si>
    <t xml:space="preserve">kg/mois</t>
  </si>
  <si>
    <t xml:space="preserve">Part de location</t>
  </si>
  <si>
    <t xml:space="preserve">dont Setal Entretien</t>
  </si>
  <si>
    <t xml:space="preserve">dont Setal Location</t>
  </si>
  <si>
    <t xml:space="preserve">Compte de résultat</t>
  </si>
  <si>
    <t xml:space="preserve">CA Setal Entretien</t>
  </si>
  <si>
    <t xml:space="preserve">CA Setal Location</t>
  </si>
  <si>
    <t xml:space="preserve">Consommables (eau, énergie, gaz, produits, emballages)</t>
  </si>
  <si>
    <t xml:space="preserve">Stock de linge en location nécessaire</t>
  </si>
  <si>
    <t xml:space="preserve">Usure et pertes du linge en location</t>
  </si>
  <si>
    <t xml:space="preserve">Marge sur coûts variables</t>
  </si>
  <si>
    <t xml:space="preserve">Opérateurs</t>
  </si>
  <si>
    <t xml:space="preserve">2e véhicule en service (1 = oui)</t>
  </si>
  <si>
    <t xml:space="preserve">Salaires et charges sociales</t>
  </si>
  <si>
    <t xml:space="preserve">Autres charges fixes (véhicule, assurances, maintenance, comptable, télécom, marketing, divers, abonnements)</t>
  </si>
  <si>
    <t xml:space="preserve">Frais avant ouverture</t>
  </si>
  <si>
    <t xml:space="preserve">Dotations aux amortissements (équipements)</t>
  </si>
  <si>
    <t xml:space="preserve">Résultat d'exploitation (EBIT)</t>
  </si>
  <si>
    <t xml:space="preserve">Trésorerie</t>
  </si>
  <si>
    <t xml:space="preserve">Créances clients (fin de mois)</t>
  </si>
  <si>
    <t xml:space="preserve">Dettes fournisseurs (fin de mois)</t>
  </si>
  <si>
    <t xml:space="preserve">BFR</t>
  </si>
  <si>
    <t xml:space="preserve">Variation du BFR</t>
  </si>
  <si>
    <t xml:space="preserve">Investissements en équipements (hors part financée en crédit-bail)</t>
  </si>
  <si>
    <t xml:space="preserve">Achats de linge (constitution du stock)</t>
  </si>
  <si>
    <t xml:space="preserve">Impôt payé</t>
  </si>
  <si>
    <t xml:space="preserve">Loyers de crédit-bail payés</t>
  </si>
  <si>
    <t xml:space="preserve">Capital restant dû en crédit-bail (fin de mois)</t>
  </si>
  <si>
    <t xml:space="preserve">dont intérêts du crédit-bail (charge financière)</t>
  </si>
  <si>
    <t xml:space="preserve">Flux de trésorerie du mois</t>
  </si>
  <si>
    <t xml:space="preserve">Trésorerie cumulée AVANT apport</t>
  </si>
  <si>
    <t xml:space="preserve">Apport de l'épargne du porteur</t>
  </si>
  <si>
    <t xml:space="preserve">Trésorerie APRÈS apport de l'épargne</t>
  </si>
  <si>
    <t xml:space="preserve">Synthèse annuelle</t>
  </si>
  <si>
    <t xml:space="preserve">Année</t>
  </si>
  <si>
    <t xml:space="preserve">Consommables</t>
  </si>
  <si>
    <t xml:space="preserve">Usure et pertes du linge</t>
  </si>
  <si>
    <t xml:space="preserve">Salaires et charges</t>
  </si>
  <si>
    <t xml:space="preserve">Loyer et autres charges fixes</t>
  </si>
  <si>
    <t xml:space="preserve">Frais avant ouverture (comptés en année 1)</t>
  </si>
  <si>
    <t xml:space="preserve">Amortissements</t>
  </si>
  <si>
    <t xml:space="preserve">Intérêts du crédit-bail</t>
  </si>
  <si>
    <t xml:space="preserve">Résultat avant impôt</t>
  </si>
  <si>
    <t xml:space="preserve">Déficit reportable en début d'année</t>
  </si>
  <si>
    <t xml:space="preserve">Impôt minimum forfaitaire</t>
  </si>
  <si>
    <t xml:space="preserve">Impôt dû (max entre IS et minimum forfaitaire)</t>
  </si>
  <si>
    <t xml:space="preserve">Flux de trésorerie de l'année</t>
  </si>
  <si>
    <t xml:space="preserve">Trésorerie en fin d'année (après apport)</t>
  </si>
  <si>
    <t xml:space="preserve">Point mort (kg/jour) à prix et coûts de l'année</t>
  </si>
  <si>
    <t xml:space="preserve">Indicateurs clés</t>
  </si>
  <si>
    <t xml:space="preserve">Besoin de financement (creux de trésorerie avant apport)</t>
  </si>
  <si>
    <t xml:space="preserve">Mois du creux de trésorerie</t>
  </si>
  <si>
    <t xml:space="preserve">Coussin de sécurité (mois de charges fixes de l'année 2)</t>
  </si>
  <si>
    <t xml:space="preserve">Épargne mobilisable du porteur</t>
  </si>
  <si>
    <t xml:space="preserve">Scénario Central — compte de résultat et trésorerie mensuels (FCFA HT)</t>
  </si>
  <si>
    <t xml:space="preserve">Scénario Optimiste — compte de résultat et trésorerie mensuels (FCFA HT)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</si>
</sst>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mmm\ yy"/>
    <numFmt numFmtId="167" formatCode="0.0%;\(0.0%\);\-"/>
    <numFmt numFmtId="168" formatCode="0"/>
    <numFmt numFmtId="169" formatCode="mmm\ yyyy"/>
    <numFmt numFmtId="170" formatCode="0.000"/>
    <numFmt numFmtId="171" formatCode="0.00;\(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8" min="3" style="0" width="16"/>
  </cols>
  <sheetData>
    <row r="1" customFormat="false" ht="17.35" hidden="false" customHeight="false" outlineLevel="0" collapsed="false">
      <c r="B1" s="1" t="s">
        <v>18</v>
      </c>
    </row>
    <row r="2" customFormat="false" ht="15" hidden="false" customHeight="false" outlineLevel="0" collapsed="false">
      <c r="B2" s="2" t="s">
        <v>19</v>
      </c>
      <c r="F2" s="4" t="str">
        <f aca="false">IF(Hypotheses!$D$5=2,"standard","frugale")</f>
        <v>frugale</v>
      </c>
    </row>
    <row r="4" customFormat="false" ht="15" hidden="false" customHeight="false" outlineLevel="0" collapsed="false">
      <c r="B4" s="5" t="s">
        <v>20</v>
      </c>
      <c r="C4" s="5" t="s">
        <v>21</v>
      </c>
      <c r="D4" s="5" t="s">
        <v>22</v>
      </c>
      <c r="E4" s="5" t="s">
        <v>23</v>
      </c>
    </row>
    <row r="5" customFormat="false" ht="15" hidden="false" customHeight="false" outlineLevel="0" collapsed="false">
      <c r="B5" s="2" t="s">
        <v>24</v>
      </c>
      <c r="C5" s="6" t="n">
        <f aca="false">Scen_Pessimiste!D71</f>
        <v>150529230.529014</v>
      </c>
      <c r="D5" s="6" t="n">
        <f aca="false">Scen_Central!D71</f>
        <v>49686494.6063198</v>
      </c>
      <c r="E5" s="6" t="n">
        <f aca="false">Scen_Optimiste!D71</f>
        <v>34254053.3440768</v>
      </c>
    </row>
    <row r="6" customFormat="false" ht="15" hidden="false" customHeight="false" outlineLevel="0" collapsed="false">
      <c r="B6" s="2" t="s">
        <v>25</v>
      </c>
      <c r="C6" s="7" t="n">
        <f aca="false">Scen_Pessimiste!D72</f>
        <v>49553</v>
      </c>
      <c r="D6" s="7" t="n">
        <f aca="false">Scen_Central!D72</f>
        <v>48122</v>
      </c>
      <c r="E6" s="7" t="n">
        <f aca="false">Scen_Optimiste!D72</f>
        <v>47818</v>
      </c>
    </row>
    <row r="7" customFormat="false" ht="15" hidden="false" customHeight="false" outlineLevel="0" collapsed="false">
      <c r="B7" s="2" t="s">
        <v>26</v>
      </c>
      <c r="C7" s="6" t="n">
        <f aca="false">Scen_Pessimiste!D73</f>
        <v>8238000</v>
      </c>
      <c r="D7" s="6" t="n">
        <f aca="false">Scen_Central!D73</f>
        <v>7234218.75</v>
      </c>
      <c r="E7" s="6" t="n">
        <f aca="false">Scen_Optimiste!D73</f>
        <v>6894981.25</v>
      </c>
    </row>
    <row r="8" customFormat="false" ht="15" hidden="false" customHeight="false" outlineLevel="0" collapsed="false">
      <c r="B8" s="3" t="s">
        <v>27</v>
      </c>
      <c r="C8" s="6" t="n">
        <f aca="false">Scen_Pessimiste!D74</f>
        <v>158767230.529014</v>
      </c>
      <c r="D8" s="6" t="n">
        <f aca="false">Scen_Central!D74</f>
        <v>56920713.3563198</v>
      </c>
      <c r="E8" s="6" t="n">
        <f aca="false">Scen_Optimiste!D74</f>
        <v>41149034.5940768</v>
      </c>
    </row>
    <row r="9" customFormat="false" ht="15" hidden="false" customHeight="false" outlineLevel="0" collapsed="false">
      <c r="B9" s="2" t="s">
        <v>28</v>
      </c>
      <c r="C9" s="6" t="n">
        <f aca="false">Scen_Pessimiste!D75</f>
        <v>24366258.5</v>
      </c>
      <c r="D9" s="6" t="n">
        <f aca="false">Scen_Central!D75</f>
        <v>24366258.5</v>
      </c>
      <c r="E9" s="6" t="n">
        <f aca="false">Scen_Optimiste!D75</f>
        <v>24366258.5</v>
      </c>
    </row>
    <row r="10" customFormat="false" ht="15" hidden="false" customHeight="false" outlineLevel="0" collapsed="false">
      <c r="B10" s="3" t="s">
        <v>29</v>
      </c>
      <c r="C10" s="8" t="n">
        <f aca="false">Scen_Pessimiste!D76</f>
        <v>-134400972.029014</v>
      </c>
      <c r="D10" s="8" t="n">
        <f aca="false">Scen_Central!D76</f>
        <v>-32554454.8563198</v>
      </c>
      <c r="E10" s="8" t="n">
        <f aca="false">Scen_Optimiste!D76</f>
        <v>-16782776.0940768</v>
      </c>
    </row>
    <row r="11" customFormat="false" ht="15" hidden="false" customHeight="false" outlineLevel="0" collapsed="false">
      <c r="B11" s="2" t="s">
        <v>30</v>
      </c>
      <c r="C11" s="7" t="str">
        <f aca="false">Scen_Pessimiste!D77</f>
        <v>jamais</v>
      </c>
      <c r="D11" s="7" t="n">
        <f aca="false">Scen_Central!D77</f>
        <v>48000</v>
      </c>
      <c r="E11" s="7" t="n">
        <f aca="false">Scen_Optimiste!D77</f>
        <v>47788</v>
      </c>
    </row>
    <row r="12" customFormat="false" ht="15" hidden="false" customHeight="false" outlineLevel="0" collapsed="false">
      <c r="B12" s="2" t="s">
        <v>31</v>
      </c>
      <c r="C12" s="6" t="n">
        <f aca="false">Scen_Pessimiste!D78</f>
        <v>-126162972.029014</v>
      </c>
      <c r="D12" s="6" t="n">
        <f aca="false">Scen_Central!D78</f>
        <v>-25320236.1063198</v>
      </c>
      <c r="E12" s="6" t="n">
        <f aca="false">Scen_Optimiste!D78</f>
        <v>-9887794.84407677</v>
      </c>
    </row>
    <row r="13" customFormat="false" ht="15" hidden="false" customHeight="false" outlineLevel="0" collapsed="false">
      <c r="B13" s="2" t="s">
        <v>32</v>
      </c>
      <c r="C13" s="6" t="n">
        <f aca="false">Scen_Pessimiste!D79</f>
        <v>17088000</v>
      </c>
      <c r="D13" s="6" t="n">
        <f aca="false">Scen_Central!D79</f>
        <v>15130000</v>
      </c>
      <c r="E13" s="6" t="n">
        <f aca="false">Scen_Optimiste!D79</f>
        <v>15219000</v>
      </c>
    </row>
    <row r="14" customFormat="false" ht="15" hidden="false" customHeight="false" outlineLevel="0" collapsed="false">
      <c r="B14" s="2" t="s">
        <v>33</v>
      </c>
      <c r="C14" s="6" t="n">
        <f aca="false">Scen_Pessimiste!D80</f>
        <v>466954.830347362</v>
      </c>
      <c r="D14" s="6" t="n">
        <f aca="false">Scen_Central!D80</f>
        <v>336558.493472564</v>
      </c>
      <c r="E14" s="6" t="n">
        <f aca="false">Scen_Optimiste!D80</f>
        <v>323358.773460792</v>
      </c>
    </row>
    <row r="16" customFormat="false" ht="15" hidden="false" customHeight="false" outlineLevel="0" collapsed="false">
      <c r="B16" s="9" t="s">
        <v>34</v>
      </c>
      <c r="C16" s="10"/>
      <c r="D16" s="10"/>
      <c r="E16" s="10"/>
    </row>
    <row r="17" customFormat="false" ht="15" hidden="false" customHeight="false" outlineLevel="0" collapsed="false">
      <c r="B17" s="2" t="s">
        <v>35</v>
      </c>
      <c r="C17" s="6" t="n">
        <f aca="false">Scen_Pessimiste!E50</f>
        <v>83.0434782608696</v>
      </c>
      <c r="D17" s="6" t="n">
        <f aca="false">Scen_Central!E50</f>
        <v>137.647058823529</v>
      </c>
      <c r="E17" s="6" t="n">
        <f aca="false">Scen_Optimiste!E50</f>
        <v>200</v>
      </c>
    </row>
    <row r="18" customFormat="false" ht="15" hidden="false" customHeight="false" outlineLevel="0" collapsed="false">
      <c r="B18" s="2" t="s">
        <v>36</v>
      </c>
      <c r="C18" s="6" t="n">
        <f aca="false">Scen_Pessimiste!E51</f>
        <v>14615367.2525439</v>
      </c>
      <c r="D18" s="6" t="n">
        <f aca="false">Scen_Central!E51</f>
        <v>31290593.2415519</v>
      </c>
      <c r="E18" s="6" t="n">
        <f aca="false">Scen_Optimiste!E51</f>
        <v>55206740.4255319</v>
      </c>
    </row>
    <row r="19" customFormat="false" ht="15" hidden="false" customHeight="false" outlineLevel="0" collapsed="false">
      <c r="B19" s="2" t="s">
        <v>37</v>
      </c>
      <c r="C19" s="6" t="n">
        <f aca="false">Scen_Pessimiste!E57</f>
        <v>-27715192.7792784</v>
      </c>
      <c r="D19" s="6" t="n">
        <f aca="false">Scen_Central!E57</f>
        <v>-7862449.96871089</v>
      </c>
      <c r="E19" s="6" t="n">
        <f aca="false">Scen_Optimiste!E57</f>
        <v>20036280.5319149</v>
      </c>
    </row>
    <row r="20" customFormat="false" ht="15" hidden="false" customHeight="false" outlineLevel="0" collapsed="false">
      <c r="B20" s="2" t="s">
        <v>38</v>
      </c>
      <c r="C20" s="11" t="n">
        <f aca="false">Scen_Pessimiste!E58</f>
        <v>-1.89630491662496</v>
      </c>
      <c r="D20" s="11" t="n">
        <f aca="false">Scen_Central!E58</f>
        <v>-0.251272000758044</v>
      </c>
      <c r="E20" s="11" t="n">
        <f aca="false">Scen_Optimiste!E58</f>
        <v>0.362931779298612</v>
      </c>
    </row>
    <row r="21" customFormat="false" ht="15" hidden="false" customHeight="false" outlineLevel="0" collapsed="false">
      <c r="B21" s="2" t="s">
        <v>39</v>
      </c>
      <c r="C21" s="6" t="n">
        <f aca="false">Scen_Pessimiste!E65</f>
        <v>-38949666.0317822</v>
      </c>
      <c r="D21" s="6" t="n">
        <f aca="false">Scen_Central!E65</f>
        <v>-17181967.6315527</v>
      </c>
      <c r="E21" s="6" t="n">
        <f aca="false">Scen_Optimiste!E65</f>
        <v>8296186.13436075</v>
      </c>
    </row>
    <row r="22" customFormat="false" ht="15" hidden="false" customHeight="false" outlineLevel="0" collapsed="false">
      <c r="B22" s="2" t="s">
        <v>40</v>
      </c>
      <c r="C22" s="6" t="n">
        <f aca="false">Scen_Pessimiste!E67</f>
        <v>-51212265.4497373</v>
      </c>
      <c r="D22" s="6" t="n">
        <f aca="false">Scen_Central!E67</f>
        <v>-24645595.1425719</v>
      </c>
      <c r="E22" s="6" t="n">
        <f aca="false">Scen_Optimiste!E67</f>
        <v>4463577.49506624</v>
      </c>
    </row>
    <row r="23" customFormat="false" ht="15" hidden="false" customHeight="false" outlineLevel="0" collapsed="false">
      <c r="B23" s="2" t="s">
        <v>41</v>
      </c>
      <c r="C23" s="6" t="n">
        <f aca="false">Scen_Pessimiste!E68</f>
        <v>347.415994746716</v>
      </c>
      <c r="D23" s="6" t="n">
        <f aca="false">Scen_Central!E68</f>
        <v>169.071270885236</v>
      </c>
      <c r="E23" s="6" t="n">
        <f aca="false">Scen_Optimiste!E68</f>
        <v>97.4637995354296</v>
      </c>
    </row>
    <row r="24" customFormat="false" ht="15" hidden="false" customHeight="false" outlineLevel="0" collapsed="false">
      <c r="B24" s="9" t="s">
        <v>42</v>
      </c>
      <c r="C24" s="10"/>
      <c r="D24" s="10"/>
      <c r="E24" s="10"/>
    </row>
    <row r="25" customFormat="false" ht="15" hidden="false" customHeight="false" outlineLevel="0" collapsed="false">
      <c r="B25" s="2" t="s">
        <v>35</v>
      </c>
      <c r="C25" s="6" t="n">
        <f aca="false">Scen_Pessimiste!F50</f>
        <v>176.95652173913</v>
      </c>
      <c r="D25" s="6" t="n">
        <f aca="false">Scen_Central!F50</f>
        <v>289.852941176471</v>
      </c>
      <c r="E25" s="6" t="n">
        <f aca="false">Scen_Optimiste!F50</f>
        <v>361.666666666667</v>
      </c>
    </row>
    <row r="26" customFormat="false" ht="15" hidden="false" customHeight="false" outlineLevel="0" collapsed="false">
      <c r="B26" s="2" t="s">
        <v>36</v>
      </c>
      <c r="C26" s="6" t="n">
        <f aca="false">Scen_Pessimiste!F51</f>
        <v>32483356.1517114</v>
      </c>
      <c r="D26" s="6" t="n">
        <f aca="false">Scen_Central!F51</f>
        <v>70171917.3967459</v>
      </c>
      <c r="E26" s="6" t="n">
        <f aca="false">Scen_Optimiste!F51</f>
        <v>106243191.489362</v>
      </c>
    </row>
    <row r="27" customFormat="false" ht="15" hidden="false" customHeight="false" outlineLevel="0" collapsed="false">
      <c r="B27" s="2" t="s">
        <v>37</v>
      </c>
      <c r="C27" s="6" t="n">
        <f aca="false">Scen_Pessimiste!F57</f>
        <v>-16120863.7824237</v>
      </c>
      <c r="D27" s="6" t="n">
        <f aca="false">Scen_Central!F57</f>
        <v>19423053.1602003</v>
      </c>
      <c r="E27" s="6" t="n">
        <f aca="false">Scen_Optimiste!F57</f>
        <v>57606188.3617021</v>
      </c>
    </row>
    <row r="28" customFormat="false" ht="15" hidden="false" customHeight="false" outlineLevel="0" collapsed="false">
      <c r="B28" s="2" t="s">
        <v>38</v>
      </c>
      <c r="C28" s="11" t="n">
        <f aca="false">Scen_Pessimiste!F58</f>
        <v>-0.496280732419774</v>
      </c>
      <c r="D28" s="11" t="n">
        <f aca="false">Scen_Central!F58</f>
        <v>0.276792396171591</v>
      </c>
      <c r="E28" s="11" t="n">
        <f aca="false">Scen_Optimiste!F58</f>
        <v>0.542210635374883</v>
      </c>
    </row>
    <row r="29" customFormat="false" ht="15" hidden="false" customHeight="false" outlineLevel="0" collapsed="false">
      <c r="B29" s="2" t="s">
        <v>39</v>
      </c>
      <c r="C29" s="6" t="n">
        <f aca="false">Scen_Pessimiste!F65</f>
        <v>-26843778.8643572</v>
      </c>
      <c r="D29" s="6" t="n">
        <f aca="false">Scen_Central!F65</f>
        <v>10401516.1564236</v>
      </c>
      <c r="E29" s="6" t="n">
        <f aca="false">Scen_Optimiste!F65</f>
        <v>34426138.1481963</v>
      </c>
    </row>
    <row r="30" customFormat="false" ht="15" hidden="false" customHeight="false" outlineLevel="0" collapsed="false">
      <c r="B30" s="2" t="s">
        <v>40</v>
      </c>
      <c r="C30" s="6" t="n">
        <f aca="false">Scen_Pessimiste!F67</f>
        <v>-76977617.9219537</v>
      </c>
      <c r="D30" s="6" t="n">
        <f aca="false">Scen_Central!F67</f>
        <v>-14501571.9390862</v>
      </c>
      <c r="E30" s="6" t="n">
        <f aca="false">Scen_Optimiste!F67</f>
        <v>43633937.253218</v>
      </c>
    </row>
    <row r="31" customFormat="false" ht="15" hidden="false" customHeight="false" outlineLevel="0" collapsed="false">
      <c r="B31" s="2" t="s">
        <v>41</v>
      </c>
      <c r="C31" s="6" t="n">
        <f aca="false">Scen_Pessimiste!F68</f>
        <v>346.445494170417</v>
      </c>
      <c r="D31" s="6" t="n">
        <f aca="false">Scen_Central!F68</f>
        <v>173.437774750639</v>
      </c>
      <c r="E31" s="6" t="n">
        <f aca="false">Scen_Optimiste!F68</f>
        <v>117.093492683646</v>
      </c>
    </row>
    <row r="32" customFormat="false" ht="15" hidden="false" customHeight="false" outlineLevel="0" collapsed="false">
      <c r="B32" s="9" t="s">
        <v>43</v>
      </c>
      <c r="C32" s="10"/>
      <c r="D32" s="10"/>
      <c r="E32" s="10"/>
    </row>
    <row r="33" customFormat="false" ht="15" hidden="false" customHeight="false" outlineLevel="0" collapsed="false">
      <c r="B33" s="2" t="s">
        <v>35</v>
      </c>
      <c r="C33" s="6" t="n">
        <f aca="false">Scen_Pessimiste!G50</f>
        <v>220</v>
      </c>
      <c r="D33" s="6" t="n">
        <f aca="false">Scen_Central!G50</f>
        <v>352.083333333333</v>
      </c>
      <c r="E33" s="6" t="n">
        <f aca="false">Scen_Optimiste!G50</f>
        <v>505</v>
      </c>
    </row>
    <row r="34" customFormat="false" ht="15" hidden="false" customHeight="false" outlineLevel="0" collapsed="false">
      <c r="B34" s="2" t="s">
        <v>36</v>
      </c>
      <c r="C34" s="6" t="n">
        <f aca="false">Scen_Pessimiste!G51</f>
        <v>42060255.3191489</v>
      </c>
      <c r="D34" s="6" t="n">
        <f aca="false">Scen_Central!G51</f>
        <v>90806659.5744681</v>
      </c>
      <c r="E34" s="6" t="n">
        <f aca="false">Scen_Optimiste!G51</f>
        <v>157850425.531915</v>
      </c>
    </row>
    <row r="35" customFormat="false" ht="15" hidden="false" customHeight="false" outlineLevel="0" collapsed="false">
      <c r="B35" s="2" t="s">
        <v>37</v>
      </c>
      <c r="C35" s="6" t="n">
        <f aca="false">Scen_Pessimiste!G57</f>
        <v>-12616720.5276596</v>
      </c>
      <c r="D35" s="6" t="n">
        <f aca="false">Scen_Central!G57</f>
        <v>30485097.8723404</v>
      </c>
      <c r="E35" s="6" t="n">
        <f aca="false">Scen_Optimiste!G57</f>
        <v>93219322.9148936</v>
      </c>
    </row>
    <row r="36" customFormat="false" ht="15" hidden="false" customHeight="false" outlineLevel="0" collapsed="false">
      <c r="B36" s="2" t="s">
        <v>38</v>
      </c>
      <c r="C36" s="11" t="n">
        <f aca="false">Scen_Pessimiste!G58</f>
        <v>-0.299967758919321</v>
      </c>
      <c r="D36" s="11" t="n">
        <f aca="false">Scen_Central!G58</f>
        <v>0.335714340943688</v>
      </c>
      <c r="E36" s="11" t="n">
        <f aca="false">Scen_Optimiste!G58</f>
        <v>0.590554777415194</v>
      </c>
    </row>
    <row r="37" customFormat="false" ht="15" hidden="false" customHeight="false" outlineLevel="0" collapsed="false">
      <c r="B37" s="2" t="s">
        <v>39</v>
      </c>
      <c r="C37" s="6" t="n">
        <f aca="false">Scen_Pessimiste!G65</f>
        <v>-22751680.3037723</v>
      </c>
      <c r="D37" s="6" t="n">
        <f aca="false">Scen_Central!G65</f>
        <v>17343668.4961243</v>
      </c>
      <c r="E37" s="6" t="n">
        <f aca="false">Scen_Optimiste!G65</f>
        <v>59065303.6648411</v>
      </c>
    </row>
    <row r="38" customFormat="false" ht="15" hidden="false" customHeight="false" outlineLevel="0" collapsed="false">
      <c r="B38" s="2" t="s">
        <v>40</v>
      </c>
      <c r="C38" s="6" t="n">
        <f aca="false">Scen_Pessimiste!G67</f>
        <v>-96551583.6478241</v>
      </c>
      <c r="D38" s="6" t="n">
        <f aca="false">Scen_Central!G67</f>
        <v>6796182.52222175</v>
      </c>
      <c r="E38" s="6" t="n">
        <f aca="false">Scen_Optimiste!G67</f>
        <v>111954131.765319</v>
      </c>
    </row>
    <row r="39" customFormat="false" ht="15" hidden="false" customHeight="false" outlineLevel="0" collapsed="false">
      <c r="B39" s="2" t="s">
        <v>41</v>
      </c>
      <c r="C39" s="6" t="n">
        <f aca="false">Scen_Pessimiste!G68</f>
        <v>345.466988429527</v>
      </c>
      <c r="D39" s="6" t="n">
        <f aca="false">Scen_Central!G68</f>
        <v>182.541563925221</v>
      </c>
      <c r="E39" s="6" t="n">
        <f aca="false">Scen_Optimiste!G68</f>
        <v>135.454756321419</v>
      </c>
    </row>
    <row r="40" customFormat="false" ht="15" hidden="false" customHeight="false" outlineLevel="0" collapsed="false">
      <c r="B40" s="9" t="s">
        <v>44</v>
      </c>
      <c r="C40" s="10"/>
      <c r="D40" s="10"/>
      <c r="E40" s="10"/>
    </row>
    <row r="41" customFormat="false" ht="15" hidden="false" customHeight="false" outlineLevel="0" collapsed="false">
      <c r="B41" s="2" t="s">
        <v>35</v>
      </c>
      <c r="C41" s="6" t="n">
        <f aca="false">Scen_Pessimiste!H50</f>
        <v>220</v>
      </c>
      <c r="D41" s="6" t="n">
        <f aca="false">Scen_Central!H50</f>
        <v>422.5</v>
      </c>
      <c r="E41" s="6" t="n">
        <f aca="false">Scen_Optimiste!H50</f>
        <v>616.666666666667</v>
      </c>
    </row>
    <row r="42" customFormat="false" ht="15" hidden="false" customHeight="false" outlineLevel="0" collapsed="false">
      <c r="B42" s="2" t="s">
        <v>36</v>
      </c>
      <c r="C42" s="6" t="n">
        <f aca="false">Scen_Pessimiste!H51</f>
        <v>43812765.9574468</v>
      </c>
      <c r="D42" s="6" t="n">
        <f aca="false">Scen_Central!H51</f>
        <v>115631957.446809</v>
      </c>
      <c r="E42" s="6" t="n">
        <f aca="false">Scen_Optimiste!H51</f>
        <v>204442536.170213</v>
      </c>
    </row>
    <row r="43" customFormat="false" ht="15" hidden="false" customHeight="false" outlineLevel="0" collapsed="false">
      <c r="B43" s="2" t="s">
        <v>37</v>
      </c>
      <c r="C43" s="6" t="n">
        <f aca="false">Scen_Pessimiste!H57</f>
        <v>-11364124.7829787</v>
      </c>
      <c r="D43" s="6" t="n">
        <f aca="false">Scen_Central!H57</f>
        <v>40093678.9007092</v>
      </c>
      <c r="E43" s="6" t="n">
        <f aca="false">Scen_Optimiste!H57</f>
        <v>131771945.212766</v>
      </c>
    </row>
    <row r="44" customFormat="false" ht="15" hidden="false" customHeight="false" outlineLevel="0" collapsed="false">
      <c r="B44" s="2" t="s">
        <v>38</v>
      </c>
      <c r="C44" s="11" t="n">
        <f aca="false">Scen_Pessimiste!H58</f>
        <v>-0.259379304972805</v>
      </c>
      <c r="D44" s="11" t="n">
        <f aca="false">Scen_Central!H58</f>
        <v>0.346735277910975</v>
      </c>
      <c r="E44" s="11" t="n">
        <f aca="false">Scen_Optimiste!H58</f>
        <v>0.644542704670111</v>
      </c>
    </row>
    <row r="45" customFormat="false" ht="15" hidden="false" customHeight="false" outlineLevel="0" collapsed="false">
      <c r="B45" s="2" t="s">
        <v>39</v>
      </c>
      <c r="C45" s="6" t="n">
        <f aca="false">Scen_Pessimiste!H65</f>
        <v>-19783322.8148164</v>
      </c>
      <c r="D45" s="6" t="n">
        <f aca="false">Scen_Central!H65</f>
        <v>22437055.8972955</v>
      </c>
      <c r="E45" s="6" t="n">
        <f aca="false">Scen_Optimiste!H65</f>
        <v>86849383.5473989</v>
      </c>
    </row>
    <row r="46" customFormat="false" ht="15" hidden="false" customHeight="false" outlineLevel="0" collapsed="false">
      <c r="B46" s="2" t="s">
        <v>40</v>
      </c>
      <c r="C46" s="6" t="n">
        <f aca="false">Scen_Pessimiste!H67</f>
        <v>-114872953.629014</v>
      </c>
      <c r="D46" s="6" t="n">
        <f aca="false">Scen_Central!H67</f>
        <v>26854416.3402866</v>
      </c>
      <c r="E46" s="6" t="n">
        <f aca="false">Scen_Optimiste!H67</f>
        <v>208528701.274845</v>
      </c>
    </row>
    <row r="47" customFormat="false" ht="15" hidden="false" customHeight="false" outlineLevel="0" collapsed="false">
      <c r="B47" s="2" t="s">
        <v>41</v>
      </c>
      <c r="C47" s="6" t="n">
        <f aca="false">Scen_Pessimiste!H68</f>
        <v>326.954751701047</v>
      </c>
      <c r="D47" s="6" t="n">
        <f aca="false">Scen_Central!H68</f>
        <v>214.478165873292</v>
      </c>
      <c r="E47" s="6" t="n">
        <f aca="false">Scen_Optimiste!H68</f>
        <v>126.978278619098</v>
      </c>
    </row>
    <row r="48" customFormat="false" ht="15" hidden="false" customHeight="false" outlineLevel="0" collapsed="false">
      <c r="B48" s="9" t="s">
        <v>45</v>
      </c>
      <c r="C48" s="10"/>
      <c r="D48" s="10"/>
      <c r="E48" s="10"/>
    </row>
    <row r="49" customFormat="false" ht="15" hidden="false" customHeight="false" outlineLevel="0" collapsed="false">
      <c r="B49" s="2" t="s">
        <v>35</v>
      </c>
      <c r="C49" s="6" t="n">
        <f aca="false">Scen_Pessimiste!I50</f>
        <v>220</v>
      </c>
      <c r="D49" s="6" t="n">
        <f aca="false">Scen_Central!I50</f>
        <v>482.5</v>
      </c>
      <c r="E49" s="6" t="n">
        <f aca="false">Scen_Optimiste!I50</f>
        <v>640</v>
      </c>
    </row>
    <row r="50" customFormat="false" ht="15" hidden="false" customHeight="false" outlineLevel="0" collapsed="false">
      <c r="B50" s="2" t="s">
        <v>36</v>
      </c>
      <c r="C50" s="6" t="n">
        <f aca="false">Scen_Pessimiste!I51</f>
        <v>44616000</v>
      </c>
      <c r="D50" s="6" t="n">
        <f aca="false">Scen_Central!I51</f>
        <v>135486000</v>
      </c>
      <c r="E50" s="6" t="n">
        <f aca="false">Scen_Optimiste!I51</f>
        <v>217651200</v>
      </c>
    </row>
    <row r="51" customFormat="false" ht="15" hidden="false" customHeight="false" outlineLevel="0" collapsed="false">
      <c r="B51" s="2" t="s">
        <v>37</v>
      </c>
      <c r="C51" s="6" t="n">
        <f aca="false">Scen_Pessimiste!I57</f>
        <v>-10790018.4</v>
      </c>
      <c r="D51" s="6" t="n">
        <f aca="false">Scen_Central!I57</f>
        <v>53950150</v>
      </c>
      <c r="E51" s="6" t="n">
        <f aca="false">Scen_Optimiste!I57</f>
        <v>142913343</v>
      </c>
    </row>
    <row r="52" customFormat="false" ht="15" hidden="false" customHeight="false" outlineLevel="0" collapsed="false">
      <c r="B52" s="2" t="s">
        <v>38</v>
      </c>
      <c r="C52" s="11" t="n">
        <f aca="false">Scen_Pessimiste!I58</f>
        <v>-0.241841904249597</v>
      </c>
      <c r="D52" s="11" t="n">
        <f aca="false">Scen_Central!I58</f>
        <v>0.398197230710184</v>
      </c>
      <c r="E52" s="11" t="n">
        <f aca="false">Scen_Optimiste!I58</f>
        <v>0.656616379785639</v>
      </c>
    </row>
    <row r="53" customFormat="false" ht="15" hidden="false" customHeight="false" outlineLevel="0" collapsed="false">
      <c r="B53" s="2" t="s">
        <v>39</v>
      </c>
      <c r="C53" s="6" t="n">
        <f aca="false">Scen_Pessimiste!I65</f>
        <v>-18806446.9714286</v>
      </c>
      <c r="D53" s="6" t="n">
        <f aca="false">Scen_Central!I65</f>
        <v>32365024.6643722</v>
      </c>
      <c r="E53" s="6" t="n">
        <f aca="false">Scen_Optimiste!I65</f>
        <v>94892405.20141</v>
      </c>
    </row>
    <row r="54" customFormat="false" ht="15" hidden="false" customHeight="false" outlineLevel="0" collapsed="false">
      <c r="B54" s="2" t="s">
        <v>40</v>
      </c>
      <c r="C54" s="6" t="n">
        <f aca="false">Scen_Pessimiste!I67</f>
        <v>-126162972.029014</v>
      </c>
      <c r="D54" s="6" t="n">
        <f aca="false">Scen_Central!I67</f>
        <v>64453883.3197748</v>
      </c>
      <c r="E54" s="6" t="n">
        <f aca="false">Scen_Optimiste!I67</f>
        <v>310340574.615859</v>
      </c>
    </row>
    <row r="55" customFormat="false" ht="15" hidden="false" customHeight="false" outlineLevel="0" collapsed="false">
      <c r="B55" s="2" t="s">
        <v>41</v>
      </c>
      <c r="C55" s="6" t="n">
        <f aca="false">Scen_Pessimiste!I68</f>
        <v>319.117136965503</v>
      </c>
      <c r="D55" s="6" t="n">
        <f aca="false">Scen_Central!I68</f>
        <v>210.806642493831</v>
      </c>
      <c r="E55" s="6" t="n">
        <f aca="false">Scen_Optimiste!I68</f>
        <v>123.491549424051</v>
      </c>
    </row>
    <row r="57" customFormat="false" ht="15" hidden="false" customHeight="false" outlineLevel="0" collapsed="false">
      <c r="B57" s="9" t="s">
        <v>46</v>
      </c>
      <c r="C57" s="10"/>
      <c r="D57" s="10"/>
      <c r="E57" s="10"/>
    </row>
    <row r="58" customFormat="false" ht="15" hidden="false" customHeight="false" outlineLevel="0" collapsed="false">
      <c r="B58" s="2" t="s">
        <v>47</v>
      </c>
      <c r="C58" s="12" t="n">
        <f aca="false">MAX(0,-C10)/Hypotheses!$D$7/48</f>
        <v>4268.60335449496</v>
      </c>
      <c r="D58" s="12" t="n">
        <f aca="false">MAX(0,-D10)/Hypotheses!$D$7/48</f>
        <v>1033.936385322</v>
      </c>
      <c r="E58" s="12" t="n">
        <f aca="false">MAX(0,-E10)/Hypotheses!$D$7/48</f>
        <v>533.024525428647</v>
      </c>
    </row>
    <row r="59" customFormat="false" ht="15" hidden="false" customHeight="false" outlineLevel="0" collapsed="false">
      <c r="B59" s="2" t="s">
        <v>48</v>
      </c>
      <c r="C59" s="13" t="n">
        <f aca="false">MAX(0,-C10)/(Epargne!$D$5*Hypotheses!$D$7)</f>
        <v>204.892961015758</v>
      </c>
      <c r="D59" s="13" t="n">
        <f aca="false">MAX(0,-D10)/(Epargne!$D$5*Hypotheses!$D$7)</f>
        <v>49.628946495456</v>
      </c>
      <c r="E59" s="13" t="n">
        <f aca="false">MAX(0,-E10)/(Epargne!$D$5*Hypotheses!$D$7)</f>
        <v>25.5851772205751</v>
      </c>
    </row>
    <row r="61" customFormat="false" ht="15" hidden="false" customHeight="false" outlineLevel="0" collapsed="false">
      <c r="B61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B1" s="1" t="s">
        <v>50</v>
      </c>
    </row>
    <row r="2" customFormat="false" ht="15" hidden="false" customHeight="false" outlineLevel="0" collapsed="false">
      <c r="B2" s="2" t="s">
        <v>51</v>
      </c>
    </row>
    <row r="4" customFormat="false" ht="15" hidden="false" customHeight="false" outlineLevel="0" collapsed="false">
      <c r="B4" s="3" t="s">
        <v>52</v>
      </c>
    </row>
    <row r="5" customFormat="false" ht="15" hidden="false" customHeight="false" outlineLevel="0" collapsed="false">
      <c r="B5" s="0" t="s">
        <v>53</v>
      </c>
      <c r="D5" s="14" t="n">
        <v>1</v>
      </c>
      <c r="G5" s="15" t="s">
        <v>54</v>
      </c>
    </row>
    <row r="6" customFormat="false" ht="15" hidden="false" customHeight="false" outlineLevel="0" collapsed="false">
      <c r="B6" s="0" t="s">
        <v>55</v>
      </c>
      <c r="D6" s="16" t="n">
        <v>47757</v>
      </c>
      <c r="G6" s="15" t="s">
        <v>56</v>
      </c>
    </row>
    <row r="7" customFormat="false" ht="15" hidden="false" customHeight="false" outlineLevel="0" collapsed="false">
      <c r="B7" s="0" t="s">
        <v>57</v>
      </c>
      <c r="D7" s="17" t="n">
        <v>655.957</v>
      </c>
      <c r="G7" s="15" t="s">
        <v>58</v>
      </c>
    </row>
    <row r="9" customFormat="false" ht="15" hidden="false" customHeight="false" outlineLevel="0" collapsed="false">
      <c r="B9" s="5" t="s">
        <v>59</v>
      </c>
      <c r="C9" s="5" t="s">
        <v>60</v>
      </c>
      <c r="D9" s="5" t="s">
        <v>21</v>
      </c>
      <c r="E9" s="5" t="s">
        <v>22</v>
      </c>
      <c r="F9" s="5" t="s">
        <v>23</v>
      </c>
      <c r="G9" s="5" t="s">
        <v>61</v>
      </c>
    </row>
    <row r="10" customFormat="false" ht="15" hidden="false" customHeight="false" outlineLevel="0" collapsed="false">
      <c r="B10" s="9" t="s">
        <v>62</v>
      </c>
      <c r="C10" s="10"/>
      <c r="D10" s="10"/>
      <c r="E10" s="10"/>
      <c r="F10" s="10"/>
      <c r="G10" s="10"/>
    </row>
    <row r="11" customFormat="false" ht="15" hidden="false" customHeight="false" outlineLevel="0" collapsed="false">
      <c r="B11" s="2" t="s">
        <v>63</v>
      </c>
      <c r="C11" s="2" t="s">
        <v>64</v>
      </c>
      <c r="D11" s="18" t="n">
        <v>40</v>
      </c>
      <c r="E11" s="18" t="n">
        <v>60</v>
      </c>
      <c r="F11" s="18" t="n">
        <v>80</v>
      </c>
      <c r="G11" s="2" t="s">
        <v>65</v>
      </c>
    </row>
    <row r="12" customFormat="false" ht="15" hidden="false" customHeight="false" outlineLevel="0" collapsed="false">
      <c r="B12" s="2" t="s">
        <v>66</v>
      </c>
      <c r="C12" s="2" t="s">
        <v>64</v>
      </c>
      <c r="D12" s="18" t="n">
        <v>220</v>
      </c>
      <c r="E12" s="18" t="n">
        <v>300</v>
      </c>
      <c r="F12" s="18" t="n">
        <v>320</v>
      </c>
      <c r="G12" s="2" t="s">
        <v>67</v>
      </c>
    </row>
    <row r="13" customFormat="false" ht="15" hidden="false" customHeight="false" outlineLevel="0" collapsed="false">
      <c r="B13" s="2" t="s">
        <v>68</v>
      </c>
      <c r="C13" s="2" t="s">
        <v>69</v>
      </c>
      <c r="D13" s="18" t="n">
        <v>24</v>
      </c>
      <c r="E13" s="18" t="n">
        <v>18</v>
      </c>
      <c r="F13" s="18" t="n">
        <v>12</v>
      </c>
      <c r="G13" s="2" t="s">
        <v>70</v>
      </c>
    </row>
    <row r="14" customFormat="false" ht="15" hidden="false" customHeight="false" outlineLevel="0" collapsed="false">
      <c r="B14" s="2" t="s">
        <v>71</v>
      </c>
      <c r="C14" s="2" t="s">
        <v>72</v>
      </c>
      <c r="D14" s="19" t="n">
        <v>0</v>
      </c>
      <c r="E14" s="19" t="n">
        <v>5</v>
      </c>
      <c r="F14" s="19" t="n">
        <v>10</v>
      </c>
      <c r="G14" s="2" t="s">
        <v>70</v>
      </c>
    </row>
    <row r="15" customFormat="false" ht="15" hidden="false" customHeight="false" outlineLevel="0" collapsed="false">
      <c r="B15" s="2" t="s">
        <v>73</v>
      </c>
      <c r="C15" s="2" t="s">
        <v>64</v>
      </c>
      <c r="D15" s="19" t="n">
        <v>320</v>
      </c>
      <c r="E15" s="19" t="n">
        <v>320</v>
      </c>
      <c r="F15" s="19" t="n">
        <v>320</v>
      </c>
      <c r="G15" s="2" t="s">
        <v>74</v>
      </c>
    </row>
    <row r="16" customFormat="false" ht="15" hidden="false" customHeight="false" outlineLevel="0" collapsed="false">
      <c r="B16" s="2" t="s">
        <v>75</v>
      </c>
      <c r="C16" s="2" t="s">
        <v>76</v>
      </c>
      <c r="D16" s="19" t="n">
        <v>99</v>
      </c>
      <c r="E16" s="19" t="n">
        <v>30</v>
      </c>
      <c r="F16" s="19" t="n">
        <v>20</v>
      </c>
      <c r="G16" s="2" t="s">
        <v>77</v>
      </c>
    </row>
    <row r="17" customFormat="false" ht="15" hidden="false" customHeight="false" outlineLevel="0" collapsed="false">
      <c r="B17" s="2" t="s">
        <v>78</v>
      </c>
      <c r="C17" s="2" t="s">
        <v>79</v>
      </c>
      <c r="D17" s="19" t="n">
        <v>26</v>
      </c>
      <c r="E17" s="19" t="n">
        <v>26</v>
      </c>
      <c r="F17" s="19" t="n">
        <v>26</v>
      </c>
      <c r="G17" s="2" t="s">
        <v>80</v>
      </c>
    </row>
    <row r="18" customFormat="false" ht="15" hidden="false" customHeight="false" outlineLevel="0" collapsed="false">
      <c r="B18" s="9" t="s">
        <v>81</v>
      </c>
      <c r="C18" s="10"/>
      <c r="D18" s="10"/>
      <c r="E18" s="10"/>
      <c r="F18" s="10"/>
      <c r="G18" s="10"/>
    </row>
    <row r="19" customFormat="false" ht="15" hidden="false" customHeight="false" outlineLevel="0" collapsed="false">
      <c r="B19" s="2" t="s">
        <v>82</v>
      </c>
      <c r="C19" s="2" t="s">
        <v>83</v>
      </c>
      <c r="D19" s="18" t="n">
        <v>550</v>
      </c>
      <c r="E19" s="18" t="n">
        <v>700</v>
      </c>
      <c r="F19" s="18" t="n">
        <v>850</v>
      </c>
      <c r="G19" s="2" t="s">
        <v>84</v>
      </c>
    </row>
    <row r="20" customFormat="false" ht="15" hidden="false" customHeight="false" outlineLevel="0" collapsed="false">
      <c r="B20" s="2" t="s">
        <v>85</v>
      </c>
      <c r="C20" s="2" t="s">
        <v>86</v>
      </c>
      <c r="D20" s="18" t="n">
        <v>950</v>
      </c>
      <c r="E20" s="18" t="n">
        <v>1100</v>
      </c>
      <c r="F20" s="18" t="n">
        <v>1250</v>
      </c>
      <c r="G20" s="2" t="s">
        <v>87</v>
      </c>
    </row>
    <row r="21" customFormat="false" ht="15" hidden="false" customHeight="false" outlineLevel="0" collapsed="false">
      <c r="B21" s="2" t="s">
        <v>88</v>
      </c>
      <c r="C21" s="2" t="s">
        <v>89</v>
      </c>
      <c r="D21" s="20" t="n">
        <v>0.25</v>
      </c>
      <c r="E21" s="20" t="n">
        <v>0.5</v>
      </c>
      <c r="F21" s="20" t="n">
        <v>0.6</v>
      </c>
      <c r="G21" s="2" t="s">
        <v>90</v>
      </c>
    </row>
    <row r="22" customFormat="false" ht="15" hidden="false" customHeight="false" outlineLevel="0" collapsed="false">
      <c r="B22" s="9" t="s">
        <v>91</v>
      </c>
      <c r="C22" s="10"/>
      <c r="D22" s="10"/>
      <c r="E22" s="10"/>
      <c r="F22" s="10"/>
      <c r="G22" s="10"/>
    </row>
    <row r="23" customFormat="false" ht="15" hidden="false" customHeight="false" outlineLevel="0" collapsed="false">
      <c r="B23" s="2" t="s">
        <v>92</v>
      </c>
      <c r="C23" s="2" t="s">
        <v>93</v>
      </c>
      <c r="D23" s="21" t="n">
        <v>12</v>
      </c>
      <c r="E23" s="21" t="n">
        <v>10</v>
      </c>
      <c r="F23" s="21" t="n">
        <v>8</v>
      </c>
      <c r="G23" s="2" t="s">
        <v>94</v>
      </c>
    </row>
    <row r="24" customFormat="false" ht="15" hidden="false" customHeight="false" outlineLevel="0" collapsed="false">
      <c r="B24" s="2" t="s">
        <v>95</v>
      </c>
      <c r="C24" s="2" t="s">
        <v>96</v>
      </c>
      <c r="D24" s="19" t="n">
        <v>880</v>
      </c>
      <c r="E24" s="19" t="n">
        <v>850</v>
      </c>
      <c r="F24" s="19" t="n">
        <v>800</v>
      </c>
      <c r="G24" s="2" t="s">
        <v>97</v>
      </c>
    </row>
    <row r="25" customFormat="false" ht="15" hidden="false" customHeight="false" outlineLevel="0" collapsed="false">
      <c r="B25" s="2" t="s">
        <v>98</v>
      </c>
      <c r="C25" s="2" t="s">
        <v>99</v>
      </c>
      <c r="D25" s="22" t="n">
        <v>0.7</v>
      </c>
      <c r="E25" s="22" t="n">
        <v>0.6</v>
      </c>
      <c r="F25" s="22" t="n">
        <v>0.5</v>
      </c>
      <c r="G25" s="2" t="s">
        <v>100</v>
      </c>
    </row>
    <row r="26" customFormat="false" ht="15" hidden="false" customHeight="false" outlineLevel="0" collapsed="false">
      <c r="B26" s="2" t="s">
        <v>101</v>
      </c>
      <c r="C26" s="2" t="s">
        <v>102</v>
      </c>
      <c r="D26" s="19" t="n">
        <v>210</v>
      </c>
      <c r="E26" s="19" t="n">
        <v>210</v>
      </c>
      <c r="F26" s="19" t="n">
        <v>190</v>
      </c>
      <c r="G26" s="2" t="s">
        <v>103</v>
      </c>
    </row>
    <row r="27" customFormat="false" ht="15" hidden="false" customHeight="false" outlineLevel="0" collapsed="false">
      <c r="B27" s="2" t="s">
        <v>104</v>
      </c>
      <c r="C27" s="2" t="s">
        <v>83</v>
      </c>
      <c r="D27" s="19" t="n">
        <v>60</v>
      </c>
      <c r="E27" s="19" t="n">
        <v>50</v>
      </c>
      <c r="F27" s="19" t="n">
        <v>40</v>
      </c>
      <c r="G27" s="2" t="s">
        <v>105</v>
      </c>
    </row>
    <row r="28" customFormat="false" ht="15" hidden="false" customHeight="false" outlineLevel="0" collapsed="false">
      <c r="B28" s="2" t="s">
        <v>106</v>
      </c>
      <c r="C28" s="2" t="s">
        <v>83</v>
      </c>
      <c r="D28" s="19" t="n">
        <v>35</v>
      </c>
      <c r="E28" s="19" t="n">
        <v>30</v>
      </c>
      <c r="F28" s="19" t="n">
        <v>25</v>
      </c>
      <c r="G28" s="2" t="s">
        <v>70</v>
      </c>
    </row>
    <row r="29" customFormat="false" ht="15" hidden="false" customHeight="false" outlineLevel="0" collapsed="false">
      <c r="B29" s="2" t="s">
        <v>107</v>
      </c>
      <c r="C29" s="2" t="s">
        <v>83</v>
      </c>
      <c r="D29" s="19" t="n">
        <v>12</v>
      </c>
      <c r="E29" s="19" t="n">
        <v>10</v>
      </c>
      <c r="F29" s="19" t="n">
        <v>8</v>
      </c>
      <c r="G29" s="2" t="s">
        <v>70</v>
      </c>
    </row>
    <row r="30" customFormat="false" ht="15" hidden="false" customHeight="false" outlineLevel="0" collapsed="false">
      <c r="B30" s="2" t="s">
        <v>108</v>
      </c>
      <c r="C30" s="2" t="s">
        <v>83</v>
      </c>
      <c r="D30" s="19" t="n">
        <v>8</v>
      </c>
      <c r="E30" s="19" t="n">
        <v>3</v>
      </c>
      <c r="F30" s="19" t="n">
        <v>2</v>
      </c>
      <c r="G30" s="2" t="s">
        <v>109</v>
      </c>
    </row>
    <row r="31" customFormat="false" ht="15" hidden="false" customHeight="false" outlineLevel="0" collapsed="false">
      <c r="B31" s="9" t="s">
        <v>110</v>
      </c>
      <c r="C31" s="10"/>
      <c r="D31" s="10"/>
      <c r="E31" s="10"/>
      <c r="F31" s="10"/>
      <c r="G31" s="10"/>
    </row>
    <row r="32" customFormat="false" ht="15" hidden="false" customHeight="false" outlineLevel="0" collapsed="false">
      <c r="B32" s="2" t="s">
        <v>111</v>
      </c>
      <c r="C32" s="2" t="s">
        <v>112</v>
      </c>
      <c r="D32" s="18" t="n">
        <v>10000</v>
      </c>
      <c r="E32" s="18" t="n">
        <v>9000</v>
      </c>
      <c r="F32" s="18" t="n">
        <v>8000</v>
      </c>
      <c r="G32" s="2" t="s">
        <v>113</v>
      </c>
    </row>
    <row r="33" customFormat="false" ht="15" hidden="false" customHeight="false" outlineLevel="0" collapsed="false">
      <c r="B33" s="2" t="s">
        <v>114</v>
      </c>
      <c r="C33" s="2" t="s">
        <v>115</v>
      </c>
      <c r="D33" s="21" t="n">
        <v>4</v>
      </c>
      <c r="E33" s="21" t="n">
        <v>3.5</v>
      </c>
      <c r="F33" s="21" t="n">
        <v>3</v>
      </c>
      <c r="G33" s="2" t="s">
        <v>116</v>
      </c>
    </row>
    <row r="34" customFormat="false" ht="15" hidden="false" customHeight="false" outlineLevel="0" collapsed="false">
      <c r="B34" s="2" t="s">
        <v>117</v>
      </c>
      <c r="C34" s="2" t="s">
        <v>118</v>
      </c>
      <c r="D34" s="19" t="n">
        <v>120</v>
      </c>
      <c r="E34" s="19" t="n">
        <v>150</v>
      </c>
      <c r="F34" s="19" t="n">
        <v>200</v>
      </c>
      <c r="G34" s="2" t="s">
        <v>119</v>
      </c>
    </row>
    <row r="35" customFormat="false" ht="15" hidden="false" customHeight="false" outlineLevel="0" collapsed="false">
      <c r="B35" s="2" t="s">
        <v>120</v>
      </c>
      <c r="C35" s="2" t="s">
        <v>121</v>
      </c>
      <c r="D35" s="23" t="n">
        <v>0.02</v>
      </c>
      <c r="E35" s="23" t="n">
        <v>0.01</v>
      </c>
      <c r="F35" s="23" t="n">
        <v>0.005</v>
      </c>
      <c r="G35" s="2" t="s">
        <v>70</v>
      </c>
    </row>
    <row r="36" customFormat="false" ht="15" hidden="false" customHeight="false" outlineLevel="0" collapsed="false">
      <c r="B36" s="9" t="s">
        <v>122</v>
      </c>
      <c r="C36" s="10"/>
      <c r="D36" s="10"/>
      <c r="E36" s="10"/>
      <c r="F36" s="10"/>
      <c r="G36" s="10"/>
    </row>
    <row r="37" customFormat="false" ht="15" hidden="false" customHeight="false" outlineLevel="0" collapsed="false">
      <c r="B37" s="2" t="s">
        <v>123</v>
      </c>
      <c r="C37" s="2" t="s">
        <v>124</v>
      </c>
      <c r="D37" s="19" t="n">
        <v>200000</v>
      </c>
      <c r="E37" s="19" t="n">
        <v>200000</v>
      </c>
      <c r="F37" s="19" t="n">
        <v>200000</v>
      </c>
      <c r="G37" s="2" t="s">
        <v>125</v>
      </c>
    </row>
    <row r="38" customFormat="false" ht="15" hidden="false" customHeight="false" outlineLevel="0" collapsed="false">
      <c r="B38" s="2" t="s">
        <v>126</v>
      </c>
      <c r="C38" s="2" t="s">
        <v>124</v>
      </c>
      <c r="D38" s="19" t="n">
        <v>110000</v>
      </c>
      <c r="E38" s="19" t="n">
        <v>105000</v>
      </c>
      <c r="F38" s="19" t="n">
        <v>100000</v>
      </c>
      <c r="G38" s="2" t="s">
        <v>127</v>
      </c>
    </row>
    <row r="39" customFormat="false" ht="15" hidden="false" customHeight="false" outlineLevel="0" collapsed="false">
      <c r="B39" s="2" t="s">
        <v>128</v>
      </c>
      <c r="C39" s="2" t="s">
        <v>124</v>
      </c>
      <c r="D39" s="19" t="n">
        <v>130000</v>
      </c>
      <c r="E39" s="19" t="n">
        <v>130000</v>
      </c>
      <c r="F39" s="19" t="n">
        <v>130000</v>
      </c>
      <c r="G39" s="2" t="s">
        <v>70</v>
      </c>
    </row>
    <row r="40" customFormat="false" ht="15" hidden="false" customHeight="false" outlineLevel="0" collapsed="false">
      <c r="B40" s="2" t="s">
        <v>129</v>
      </c>
      <c r="C40" s="2" t="s">
        <v>130</v>
      </c>
      <c r="D40" s="23" t="n">
        <v>0.25</v>
      </c>
      <c r="E40" s="23" t="n">
        <v>0.22</v>
      </c>
      <c r="F40" s="23" t="n">
        <v>0.21</v>
      </c>
      <c r="G40" s="2" t="s">
        <v>131</v>
      </c>
    </row>
    <row r="41" customFormat="false" ht="15" hidden="false" customHeight="false" outlineLevel="0" collapsed="false">
      <c r="B41" s="2" t="s">
        <v>132</v>
      </c>
      <c r="C41" s="2" t="s">
        <v>133</v>
      </c>
      <c r="D41" s="19" t="n">
        <v>2</v>
      </c>
      <c r="E41" s="19" t="n">
        <v>2</v>
      </c>
      <c r="F41" s="19" t="n">
        <v>2</v>
      </c>
      <c r="G41" s="2" t="s">
        <v>134</v>
      </c>
    </row>
    <row r="42" customFormat="false" ht="15" hidden="false" customHeight="false" outlineLevel="0" collapsed="false">
      <c r="B42" s="2" t="s">
        <v>135</v>
      </c>
      <c r="C42" s="2" t="s">
        <v>133</v>
      </c>
      <c r="D42" s="19" t="n">
        <v>4</v>
      </c>
      <c r="E42" s="19" t="n">
        <v>4</v>
      </c>
      <c r="F42" s="19" t="n">
        <v>4</v>
      </c>
      <c r="G42" s="2" t="s">
        <v>136</v>
      </c>
    </row>
    <row r="43" customFormat="false" ht="15" hidden="false" customHeight="false" outlineLevel="0" collapsed="false">
      <c r="B43" s="2" t="s">
        <v>137</v>
      </c>
      <c r="C43" s="2" t="s">
        <v>64</v>
      </c>
      <c r="D43" s="19" t="n">
        <v>180</v>
      </c>
      <c r="E43" s="19" t="n">
        <v>200</v>
      </c>
      <c r="F43" s="19" t="n">
        <v>200</v>
      </c>
      <c r="G43" s="2" t="s">
        <v>70</v>
      </c>
    </row>
    <row r="44" customFormat="false" ht="15" hidden="false" customHeight="false" outlineLevel="0" collapsed="false">
      <c r="B44" s="2" t="s">
        <v>138</v>
      </c>
      <c r="C44" s="2" t="s">
        <v>64</v>
      </c>
      <c r="D44" s="19" t="n">
        <v>350</v>
      </c>
      <c r="E44" s="19" t="n">
        <v>400</v>
      </c>
      <c r="F44" s="19" t="n">
        <v>400</v>
      </c>
      <c r="G44" s="2" t="s">
        <v>139</v>
      </c>
    </row>
    <row r="45" customFormat="false" ht="15" hidden="false" customHeight="false" outlineLevel="0" collapsed="false">
      <c r="B45" s="2" t="s">
        <v>140</v>
      </c>
      <c r="C45" s="2" t="s">
        <v>141</v>
      </c>
      <c r="D45" s="19" t="n">
        <v>6000000</v>
      </c>
      <c r="E45" s="19" t="n">
        <v>6000000</v>
      </c>
      <c r="F45" s="19" t="n">
        <v>6000000</v>
      </c>
      <c r="G45" s="2" t="s">
        <v>142</v>
      </c>
    </row>
    <row r="46" customFormat="false" ht="15" hidden="false" customHeight="false" outlineLevel="0" collapsed="false">
      <c r="B46" s="2" t="s">
        <v>143</v>
      </c>
      <c r="C46" s="2" t="s">
        <v>133</v>
      </c>
      <c r="D46" s="19" t="n">
        <v>4</v>
      </c>
      <c r="E46" s="19" t="n">
        <v>4</v>
      </c>
      <c r="F46" s="19" t="n">
        <v>4</v>
      </c>
      <c r="G46" s="2" t="s">
        <v>70</v>
      </c>
    </row>
    <row r="47" customFormat="false" ht="15" hidden="false" customHeight="false" outlineLevel="0" collapsed="false">
      <c r="B47" s="2" t="s">
        <v>144</v>
      </c>
      <c r="C47" s="2" t="s">
        <v>69</v>
      </c>
      <c r="D47" s="21" t="n">
        <v>13</v>
      </c>
      <c r="E47" s="21" t="n">
        <v>13</v>
      </c>
      <c r="F47" s="21" t="n">
        <v>12</v>
      </c>
      <c r="G47" s="2" t="s">
        <v>145</v>
      </c>
    </row>
    <row r="48" customFormat="false" ht="15" hidden="false" customHeight="false" outlineLevel="0" collapsed="false">
      <c r="B48" s="9" t="s">
        <v>146</v>
      </c>
      <c r="C48" s="10"/>
      <c r="D48" s="10"/>
      <c r="E48" s="10"/>
      <c r="F48" s="10"/>
      <c r="G48" s="10"/>
    </row>
    <row r="49" customFormat="false" ht="15" hidden="false" customHeight="false" outlineLevel="0" collapsed="false">
      <c r="B49" s="2" t="s">
        <v>147</v>
      </c>
      <c r="C49" s="2" t="s">
        <v>148</v>
      </c>
      <c r="D49" s="19" t="n">
        <v>200</v>
      </c>
      <c r="E49" s="19" t="n">
        <v>200</v>
      </c>
      <c r="F49" s="19" t="n">
        <v>175</v>
      </c>
      <c r="G49" s="2" t="s">
        <v>149</v>
      </c>
    </row>
    <row r="50" customFormat="false" ht="15" hidden="false" customHeight="false" outlineLevel="0" collapsed="false">
      <c r="B50" s="2" t="s">
        <v>150</v>
      </c>
      <c r="C50" s="2" t="s">
        <v>151</v>
      </c>
      <c r="D50" s="18" t="n">
        <v>3000</v>
      </c>
      <c r="E50" s="18" t="n">
        <v>2250</v>
      </c>
      <c r="F50" s="18" t="n">
        <v>1500</v>
      </c>
      <c r="G50" s="2" t="s">
        <v>152</v>
      </c>
    </row>
    <row r="51" customFormat="false" ht="15" hidden="false" customHeight="false" outlineLevel="0" collapsed="false">
      <c r="B51" s="2" t="s">
        <v>153</v>
      </c>
      <c r="C51" s="2" t="s">
        <v>124</v>
      </c>
      <c r="D51" s="19" t="n">
        <v>400000</v>
      </c>
      <c r="E51" s="19" t="n">
        <v>350000</v>
      </c>
      <c r="F51" s="19" t="n">
        <v>300000</v>
      </c>
      <c r="G51" s="2" t="s">
        <v>70</v>
      </c>
    </row>
    <row r="52" customFormat="false" ht="15" hidden="false" customHeight="false" outlineLevel="0" collapsed="false">
      <c r="B52" s="2" t="s">
        <v>154</v>
      </c>
      <c r="C52" s="2" t="s">
        <v>155</v>
      </c>
      <c r="D52" s="23" t="n">
        <v>0.02</v>
      </c>
      <c r="E52" s="23" t="n">
        <v>0.0175</v>
      </c>
      <c r="F52" s="23" t="n">
        <v>0.015</v>
      </c>
      <c r="G52" s="2" t="s">
        <v>156</v>
      </c>
    </row>
    <row r="53" customFormat="false" ht="15" hidden="false" customHeight="false" outlineLevel="0" collapsed="false">
      <c r="B53" s="2" t="s">
        <v>157</v>
      </c>
      <c r="C53" s="2" t="s">
        <v>155</v>
      </c>
      <c r="D53" s="23" t="n">
        <v>0.03</v>
      </c>
      <c r="E53" s="23" t="n">
        <v>0.02</v>
      </c>
      <c r="F53" s="23" t="n">
        <v>0.015</v>
      </c>
      <c r="G53" s="2" t="s">
        <v>70</v>
      </c>
    </row>
    <row r="54" customFormat="false" ht="15" hidden="false" customHeight="false" outlineLevel="0" collapsed="false">
      <c r="B54" s="2" t="s">
        <v>158</v>
      </c>
      <c r="C54" s="2" t="s">
        <v>124</v>
      </c>
      <c r="D54" s="19" t="n">
        <v>200000</v>
      </c>
      <c r="E54" s="19" t="n">
        <v>150000</v>
      </c>
      <c r="F54" s="19" t="n">
        <v>120000</v>
      </c>
      <c r="G54" s="2" t="s">
        <v>159</v>
      </c>
    </row>
    <row r="55" customFormat="false" ht="15" hidden="false" customHeight="false" outlineLevel="0" collapsed="false">
      <c r="B55" s="2" t="s">
        <v>160</v>
      </c>
      <c r="C55" s="2" t="s">
        <v>124</v>
      </c>
      <c r="D55" s="19" t="n">
        <v>60000</v>
      </c>
      <c r="E55" s="19" t="n">
        <v>50000</v>
      </c>
      <c r="F55" s="19" t="n">
        <v>40000</v>
      </c>
      <c r="G55" s="2" t="s">
        <v>70</v>
      </c>
    </row>
    <row r="56" customFormat="false" ht="15" hidden="false" customHeight="false" outlineLevel="0" collapsed="false">
      <c r="B56" s="2" t="s">
        <v>161</v>
      </c>
      <c r="C56" s="2" t="s">
        <v>124</v>
      </c>
      <c r="D56" s="19" t="n">
        <v>100000</v>
      </c>
      <c r="E56" s="19" t="n">
        <v>75000</v>
      </c>
      <c r="F56" s="19" t="n">
        <v>50000</v>
      </c>
      <c r="G56" s="2" t="s">
        <v>70</v>
      </c>
    </row>
    <row r="57" customFormat="false" ht="15" hidden="false" customHeight="false" outlineLevel="0" collapsed="false">
      <c r="B57" s="2" t="s">
        <v>162</v>
      </c>
      <c r="C57" s="2" t="s">
        <v>124</v>
      </c>
      <c r="D57" s="19" t="n">
        <v>200000</v>
      </c>
      <c r="E57" s="19" t="n">
        <v>150000</v>
      </c>
      <c r="F57" s="19" t="n">
        <v>100000</v>
      </c>
      <c r="G57" s="2" t="s">
        <v>70</v>
      </c>
    </row>
    <row r="58" customFormat="false" ht="15" hidden="false" customHeight="false" outlineLevel="0" collapsed="false">
      <c r="B58" s="2" t="s">
        <v>163</v>
      </c>
      <c r="C58" s="2" t="s">
        <v>124</v>
      </c>
      <c r="D58" s="19" t="n">
        <v>60000</v>
      </c>
      <c r="E58" s="19" t="n">
        <v>50000</v>
      </c>
      <c r="F58" s="19" t="n">
        <v>40000</v>
      </c>
      <c r="G58" s="2" t="s">
        <v>164</v>
      </c>
    </row>
    <row r="59" customFormat="false" ht="15" hidden="false" customHeight="false" outlineLevel="0" collapsed="false">
      <c r="B59" s="9" t="s">
        <v>165</v>
      </c>
      <c r="C59" s="10"/>
      <c r="D59" s="10"/>
      <c r="E59" s="10"/>
      <c r="F59" s="10"/>
      <c r="G59" s="10"/>
    </row>
    <row r="60" customFormat="false" ht="15" hidden="false" customHeight="false" outlineLevel="0" collapsed="false">
      <c r="B60" s="2" t="s">
        <v>166</v>
      </c>
      <c r="C60" s="2" t="s">
        <v>167</v>
      </c>
      <c r="D60" s="20" t="n">
        <v>0.2</v>
      </c>
      <c r="E60" s="20" t="n">
        <v>0</v>
      </c>
      <c r="F60" s="20" t="n">
        <v>-0.05</v>
      </c>
      <c r="G60" s="2" t="s">
        <v>70</v>
      </c>
    </row>
    <row r="61" customFormat="false" ht="15" hidden="false" customHeight="false" outlineLevel="0" collapsed="false">
      <c r="B61" s="2" t="s">
        <v>168</v>
      </c>
      <c r="C61" s="2" t="s">
        <v>141</v>
      </c>
      <c r="D61" s="19" t="n">
        <v>4000000</v>
      </c>
      <c r="E61" s="19" t="n">
        <v>3000000</v>
      </c>
      <c r="F61" s="19" t="n">
        <v>2500000</v>
      </c>
      <c r="G61" s="2" t="s">
        <v>70</v>
      </c>
    </row>
    <row r="62" customFormat="false" ht="15" hidden="false" customHeight="false" outlineLevel="0" collapsed="false">
      <c r="B62" s="2" t="s">
        <v>169</v>
      </c>
      <c r="C62" s="2" t="s">
        <v>79</v>
      </c>
      <c r="D62" s="18" t="n">
        <v>60</v>
      </c>
      <c r="E62" s="18" t="n">
        <v>45</v>
      </c>
      <c r="F62" s="18" t="n">
        <v>30</v>
      </c>
      <c r="G62" s="2" t="s">
        <v>170</v>
      </c>
    </row>
    <row r="63" customFormat="false" ht="15" hidden="false" customHeight="false" outlineLevel="0" collapsed="false">
      <c r="B63" s="2" t="s">
        <v>171</v>
      </c>
      <c r="C63" s="2" t="s">
        <v>79</v>
      </c>
      <c r="D63" s="19" t="n">
        <v>15</v>
      </c>
      <c r="E63" s="19" t="n">
        <v>30</v>
      </c>
      <c r="F63" s="19" t="n">
        <v>30</v>
      </c>
      <c r="G63" s="2" t="s">
        <v>70</v>
      </c>
    </row>
    <row r="64" customFormat="false" ht="15" hidden="false" customHeight="false" outlineLevel="0" collapsed="false">
      <c r="B64" s="2" t="s">
        <v>172</v>
      </c>
      <c r="C64" s="2" t="s">
        <v>167</v>
      </c>
      <c r="D64" s="23" t="n">
        <v>0.3</v>
      </c>
      <c r="E64" s="23" t="n">
        <v>0.3</v>
      </c>
      <c r="F64" s="23" t="n">
        <v>0.3</v>
      </c>
      <c r="G64" s="2" t="s">
        <v>173</v>
      </c>
    </row>
    <row r="65" customFormat="false" ht="15" hidden="false" customHeight="false" outlineLevel="0" collapsed="false">
      <c r="B65" s="2" t="s">
        <v>174</v>
      </c>
      <c r="C65" s="2" t="s">
        <v>175</v>
      </c>
      <c r="D65" s="23" t="n">
        <v>0.005</v>
      </c>
      <c r="E65" s="23" t="n">
        <v>0.005</v>
      </c>
      <c r="F65" s="23" t="n">
        <v>0.005</v>
      </c>
      <c r="G65" s="2" t="s">
        <v>176</v>
      </c>
    </row>
    <row r="66" customFormat="false" ht="15" hidden="false" customHeight="false" outlineLevel="0" collapsed="false">
      <c r="B66" s="2" t="s">
        <v>177</v>
      </c>
      <c r="C66" s="2" t="s">
        <v>178</v>
      </c>
      <c r="D66" s="19" t="n">
        <v>500000</v>
      </c>
      <c r="E66" s="19" t="n">
        <v>500000</v>
      </c>
      <c r="F66" s="19" t="n">
        <v>500000</v>
      </c>
      <c r="G66" s="2" t="s">
        <v>179</v>
      </c>
    </row>
    <row r="67" customFormat="false" ht="15" hidden="false" customHeight="false" outlineLevel="0" collapsed="false">
      <c r="B67" s="2" t="s">
        <v>180</v>
      </c>
      <c r="C67" s="2" t="s">
        <v>178</v>
      </c>
      <c r="D67" s="19" t="n">
        <v>5000000</v>
      </c>
      <c r="E67" s="19" t="n">
        <v>5000000</v>
      </c>
      <c r="F67" s="19" t="n">
        <v>5000000</v>
      </c>
      <c r="G67" s="2" t="s">
        <v>179</v>
      </c>
    </row>
    <row r="68" customFormat="false" ht="15" hidden="false" customHeight="false" outlineLevel="0" collapsed="false">
      <c r="B68" s="9" t="s">
        <v>181</v>
      </c>
      <c r="C68" s="10"/>
      <c r="D68" s="10"/>
      <c r="E68" s="10"/>
      <c r="F68" s="10"/>
      <c r="G68" s="10"/>
    </row>
    <row r="69" customFormat="false" ht="15" hidden="false" customHeight="false" outlineLevel="0" collapsed="false">
      <c r="B69" s="2" t="s">
        <v>182</v>
      </c>
      <c r="C69" s="2"/>
      <c r="D69" s="24" t="n">
        <v>1</v>
      </c>
      <c r="E69" s="24" t="n">
        <v>1</v>
      </c>
      <c r="F69" s="24" t="n">
        <v>1</v>
      </c>
      <c r="G69" s="2" t="s">
        <v>183</v>
      </c>
    </row>
    <row r="70" customFormat="false" ht="15" hidden="false" customHeight="false" outlineLevel="0" collapsed="false">
      <c r="B70" s="2" t="s">
        <v>184</v>
      </c>
      <c r="C70" s="2" t="s">
        <v>185</v>
      </c>
      <c r="D70" s="20" t="n">
        <v>0.2</v>
      </c>
      <c r="E70" s="20" t="n">
        <v>0.15</v>
      </c>
      <c r="F70" s="20" t="n">
        <v>0.1</v>
      </c>
      <c r="G70" s="2" t="s">
        <v>186</v>
      </c>
    </row>
    <row r="71" customFormat="false" ht="15" hidden="false" customHeight="false" outlineLevel="0" collapsed="false">
      <c r="B71" s="2" t="s">
        <v>187</v>
      </c>
      <c r="C71" s="2" t="s">
        <v>167</v>
      </c>
      <c r="D71" s="20" t="n">
        <v>0.14</v>
      </c>
      <c r="E71" s="20" t="n">
        <v>0.12</v>
      </c>
      <c r="F71" s="20" t="n">
        <v>0.1</v>
      </c>
      <c r="G71" s="2" t="s">
        <v>188</v>
      </c>
    </row>
    <row r="72" customFormat="false" ht="15" hidden="false" customHeight="false" outlineLevel="0" collapsed="false">
      <c r="B72" s="2" t="s">
        <v>189</v>
      </c>
      <c r="C72" s="2" t="s">
        <v>69</v>
      </c>
      <c r="D72" s="25" t="n">
        <v>48</v>
      </c>
      <c r="E72" s="25" t="n">
        <v>60</v>
      </c>
      <c r="F72" s="25" t="n">
        <v>60</v>
      </c>
      <c r="G72" s="2" t="s">
        <v>190</v>
      </c>
    </row>
    <row r="73" customFormat="false" ht="15" hidden="false" customHeight="false" outlineLevel="0" collapsed="false">
      <c r="B73" s="2" t="s">
        <v>191</v>
      </c>
      <c r="C73" s="2" t="s">
        <v>192</v>
      </c>
      <c r="D73" s="19" t="n">
        <v>3</v>
      </c>
      <c r="E73" s="19" t="n">
        <v>3</v>
      </c>
      <c r="F73" s="19" t="n">
        <v>3</v>
      </c>
      <c r="G73" s="2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7" min="3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B1" s="1" t="s">
        <v>194</v>
      </c>
    </row>
    <row r="2" customFormat="false" ht="15" hidden="false" customHeight="false" outlineLevel="0" collapsed="false">
      <c r="B2" s="2" t="s">
        <v>195</v>
      </c>
    </row>
    <row r="4" customFormat="false" ht="15" hidden="false" customHeight="false" outlineLevel="0" collapsed="false">
      <c r="B4" s="5" t="s">
        <v>196</v>
      </c>
      <c r="C4" s="5" t="s">
        <v>197</v>
      </c>
      <c r="D4" s="5" t="s">
        <v>198</v>
      </c>
      <c r="E4" s="5" t="s">
        <v>199</v>
      </c>
      <c r="F4" s="5" t="s">
        <v>200</v>
      </c>
      <c r="G4" s="5" t="s">
        <v>201</v>
      </c>
      <c r="H4" s="5" t="s">
        <v>202</v>
      </c>
    </row>
    <row r="5" customFormat="false" ht="15" hidden="false" customHeight="false" outlineLevel="0" collapsed="false">
      <c r="B5" s="2" t="s">
        <v>203</v>
      </c>
      <c r="C5" s="19" t="n">
        <v>15000000</v>
      </c>
      <c r="D5" s="19" t="n">
        <v>7000000</v>
      </c>
      <c r="E5" s="6" t="n">
        <f aca="false">IF(Hypotheses!$D$5=2,C5,D5)</f>
        <v>7000000</v>
      </c>
      <c r="F5" s="26" t="n">
        <v>8</v>
      </c>
      <c r="G5" s="27" t="n">
        <f aca="false">IF(F5&gt;0,E5/F5/12,0)</f>
        <v>72916.6666666667</v>
      </c>
      <c r="H5" s="14" t="n">
        <v>1</v>
      </c>
    </row>
    <row r="6" customFormat="false" ht="15" hidden="false" customHeight="false" outlineLevel="0" collapsed="false">
      <c r="B6" s="2" t="s">
        <v>204</v>
      </c>
      <c r="C6" s="19" t="n">
        <v>9600000</v>
      </c>
      <c r="D6" s="19" t="n">
        <v>4800000</v>
      </c>
      <c r="E6" s="6" t="n">
        <f aca="false">IF(Hypotheses!$D$5=2,C6,D6)</f>
        <v>4800000</v>
      </c>
      <c r="F6" s="26" t="n">
        <v>8</v>
      </c>
      <c r="G6" s="27" t="n">
        <f aca="false">IF(F6&gt;0,E6/F6/12,0)</f>
        <v>50000</v>
      </c>
      <c r="H6" s="14" t="n">
        <v>1</v>
      </c>
    </row>
    <row r="7" customFormat="false" ht="15" hidden="false" customHeight="false" outlineLevel="0" collapsed="false">
      <c r="B7" s="2" t="s">
        <v>205</v>
      </c>
      <c r="C7" s="19" t="n">
        <v>11000000</v>
      </c>
      <c r="D7" s="19" t="n">
        <v>6000000</v>
      </c>
      <c r="E7" s="6" t="n">
        <f aca="false">IF(Hypotheses!$D$5=2,C7,D7)</f>
        <v>6000000</v>
      </c>
      <c r="F7" s="26" t="n">
        <v>8</v>
      </c>
      <c r="G7" s="27" t="n">
        <f aca="false">IF(F7&gt;0,E7/F7/12,0)</f>
        <v>62500</v>
      </c>
      <c r="H7" s="14" t="n">
        <v>1</v>
      </c>
    </row>
    <row r="8" customFormat="false" ht="15" hidden="false" customHeight="false" outlineLevel="0" collapsed="false">
      <c r="B8" s="2" t="s">
        <v>206</v>
      </c>
      <c r="C8" s="19" t="n">
        <v>9000000</v>
      </c>
      <c r="D8" s="19" t="n">
        <v>4500000</v>
      </c>
      <c r="E8" s="6" t="n">
        <f aca="false">IF(Hypotheses!$D$5=2,C8,D8)</f>
        <v>4500000</v>
      </c>
      <c r="F8" s="26" t="n">
        <v>8</v>
      </c>
      <c r="G8" s="27" t="n">
        <f aca="false">IF(F8&gt;0,E8/F8/12,0)</f>
        <v>46875</v>
      </c>
      <c r="H8" s="14" t="n">
        <v>0</v>
      </c>
    </row>
    <row r="9" customFormat="false" ht="15" hidden="false" customHeight="false" outlineLevel="0" collapsed="false">
      <c r="B9" s="2" t="s">
        <v>207</v>
      </c>
      <c r="C9" s="19" t="n">
        <v>8000000</v>
      </c>
      <c r="D9" s="19" t="n">
        <v>5000000</v>
      </c>
      <c r="E9" s="6" t="n">
        <f aca="false">IF(Hypotheses!$D$5=2,C9,D9)</f>
        <v>5000000</v>
      </c>
      <c r="F9" s="26" t="n">
        <v>7</v>
      </c>
      <c r="G9" s="27" t="n">
        <f aca="false">IF(F9&gt;0,E9/F9/12,0)</f>
        <v>59523.8095238095</v>
      </c>
      <c r="H9" s="14" t="n">
        <v>0</v>
      </c>
    </row>
    <row r="10" customFormat="false" ht="15" hidden="false" customHeight="false" outlineLevel="0" collapsed="false">
      <c r="B10" s="2" t="s">
        <v>208</v>
      </c>
      <c r="C10" s="19" t="n">
        <v>2500000</v>
      </c>
      <c r="D10" s="19" t="n">
        <v>1500000</v>
      </c>
      <c r="E10" s="6" t="n">
        <f aca="false">IF(Hypotheses!$D$5=2,C10,D10)</f>
        <v>1500000</v>
      </c>
      <c r="F10" s="26" t="n">
        <v>7</v>
      </c>
      <c r="G10" s="27" t="n">
        <f aca="false">IF(F10&gt;0,E10/F10/12,0)</f>
        <v>17857.1428571429</v>
      </c>
      <c r="H10" s="14" t="n">
        <v>0</v>
      </c>
    </row>
    <row r="11" customFormat="false" ht="15" hidden="false" customHeight="false" outlineLevel="0" collapsed="false">
      <c r="B11" s="2" t="s">
        <v>209</v>
      </c>
      <c r="C11" s="19" t="n">
        <v>2000000</v>
      </c>
      <c r="D11" s="19" t="n">
        <v>1500000</v>
      </c>
      <c r="E11" s="6" t="n">
        <f aca="false">IF(Hypotheses!$D$5=2,C11,D11)</f>
        <v>1500000</v>
      </c>
      <c r="F11" s="26" t="n">
        <v>7</v>
      </c>
      <c r="G11" s="27" t="n">
        <f aca="false">IF(F11&gt;0,E11/F11/12,0)</f>
        <v>17857.1428571429</v>
      </c>
      <c r="H11" s="14" t="n">
        <v>0</v>
      </c>
    </row>
    <row r="12" customFormat="false" ht="15" hidden="false" customHeight="false" outlineLevel="0" collapsed="false">
      <c r="B12" s="2" t="s">
        <v>210</v>
      </c>
      <c r="C12" s="19" t="n">
        <v>8000000</v>
      </c>
      <c r="D12" s="19" t="n">
        <v>5000000</v>
      </c>
      <c r="E12" s="6" t="n">
        <f aca="false">IF(Hypotheses!$D$5=2,C12,D12)</f>
        <v>5000000</v>
      </c>
      <c r="F12" s="26" t="n">
        <v>6</v>
      </c>
      <c r="G12" s="27" t="n">
        <f aca="false">IF(F12&gt;0,E12/F12/12,0)</f>
        <v>69444.4444444445</v>
      </c>
      <c r="H12" s="14" t="n">
        <v>0</v>
      </c>
    </row>
    <row r="13" customFormat="false" ht="15" hidden="false" customHeight="false" outlineLevel="0" collapsed="false">
      <c r="B13" s="2" t="s">
        <v>211</v>
      </c>
      <c r="C13" s="19" t="n">
        <v>2500000</v>
      </c>
      <c r="D13" s="19" t="n">
        <v>1500000</v>
      </c>
      <c r="E13" s="6" t="n">
        <f aca="false">IF(Hypotheses!$D$5=2,C13,D13)</f>
        <v>1500000</v>
      </c>
      <c r="F13" s="26" t="n">
        <v>5</v>
      </c>
      <c r="G13" s="27" t="n">
        <f aca="false">IF(F13&gt;0,E13/F13/12,0)</f>
        <v>25000</v>
      </c>
      <c r="H13" s="14" t="n">
        <v>0</v>
      </c>
    </row>
    <row r="14" customFormat="false" ht="15" hidden="false" customHeight="false" outlineLevel="0" collapsed="false">
      <c r="B14" s="2" t="s">
        <v>212</v>
      </c>
      <c r="C14" s="19" t="n">
        <v>12000000</v>
      </c>
      <c r="D14" s="19" t="n">
        <v>6000000</v>
      </c>
      <c r="E14" s="6" t="n">
        <f aca="false">IF(Hypotheses!$D$5=2,C14,D14)</f>
        <v>6000000</v>
      </c>
      <c r="F14" s="26" t="n">
        <v>5</v>
      </c>
      <c r="G14" s="27" t="n">
        <f aca="false">IF(F14&gt;0,E14/F14/12,0)</f>
        <v>100000</v>
      </c>
      <c r="H14" s="14" t="n">
        <v>0</v>
      </c>
    </row>
    <row r="15" customFormat="false" ht="15" hidden="false" customHeight="false" outlineLevel="0" collapsed="false">
      <c r="B15" s="2" t="s">
        <v>213</v>
      </c>
      <c r="C15" s="19" t="n">
        <v>1500000</v>
      </c>
      <c r="D15" s="19" t="n">
        <v>800000</v>
      </c>
      <c r="E15" s="6" t="n">
        <f aca="false">IF(Hypotheses!$D$5=2,C15,D15)</f>
        <v>800000</v>
      </c>
      <c r="F15" s="26" t="n">
        <v>3</v>
      </c>
      <c r="G15" s="27" t="n">
        <f aca="false">IF(F15&gt;0,E15/F15/12,0)</f>
        <v>22222.2222222222</v>
      </c>
      <c r="H15" s="14" t="n">
        <v>0</v>
      </c>
    </row>
    <row r="16" customFormat="false" ht="15" hidden="false" customHeight="false" outlineLevel="0" collapsed="false">
      <c r="B16" s="2" t="s">
        <v>214</v>
      </c>
      <c r="C16" s="19" t="n">
        <v>1350000</v>
      </c>
      <c r="D16" s="19" t="n">
        <v>1050000</v>
      </c>
      <c r="E16" s="6" t="n">
        <f aca="false">IF(Hypotheses!$D$5=2,C16,D16)</f>
        <v>1050000</v>
      </c>
      <c r="F16" s="26" t="n">
        <v>0</v>
      </c>
      <c r="G16" s="27" t="n">
        <f aca="false">IF(F16&gt;0,E16/F16/12,0)</f>
        <v>0</v>
      </c>
      <c r="H16" s="14" t="n">
        <v>0</v>
      </c>
    </row>
    <row r="17" customFormat="false" ht="15" hidden="false" customHeight="false" outlineLevel="0" collapsed="false">
      <c r="B17" s="2" t="s">
        <v>215</v>
      </c>
      <c r="C17" s="19" t="n">
        <v>2500000</v>
      </c>
      <c r="D17" s="19" t="n">
        <v>1800000</v>
      </c>
      <c r="E17" s="6" t="n">
        <f aca="false">IF(Hypotheses!$D$5=2,C17,D17)</f>
        <v>1800000</v>
      </c>
      <c r="F17" s="26" t="n">
        <v>3</v>
      </c>
      <c r="G17" s="27" t="n">
        <f aca="false">IF(F17&gt;0,E17/F17/12,0)</f>
        <v>50000</v>
      </c>
      <c r="H17" s="14" t="n">
        <v>0</v>
      </c>
    </row>
    <row r="18" customFormat="false" ht="15" hidden="false" customHeight="false" outlineLevel="0" collapsed="false">
      <c r="B18" s="3" t="s">
        <v>216</v>
      </c>
      <c r="C18" s="28" t="n">
        <f aca="false">SUM(C5:C17)</f>
        <v>84950000</v>
      </c>
      <c r="D18" s="28" t="n">
        <f aca="false">SUM(D5:D17)</f>
        <v>46450000</v>
      </c>
      <c r="E18" s="28" t="n">
        <f aca="false">SUM(E5:E17)</f>
        <v>46450000</v>
      </c>
      <c r="G18" s="28" t="n">
        <f aca="false">SUM(G5:G17)</f>
        <v>594196.428571429</v>
      </c>
    </row>
    <row r="19" customFormat="false" ht="15" hidden="false" customHeight="false" outlineLevel="0" collapsed="false">
      <c r="B19" s="2" t="s">
        <v>217</v>
      </c>
      <c r="E19" s="12" t="n">
        <f aca="false">SUMPRODUCT(E5:E17,H5:H17)</f>
        <v>17800000</v>
      </c>
    </row>
    <row r="20" customFormat="false" ht="15" hidden="false" customHeight="false" outlineLevel="0" collapsed="false">
      <c r="B20" s="2" t="s">
        <v>218</v>
      </c>
      <c r="E20" s="12" t="n">
        <f aca="false">E18/Hypotheses!$D$7</f>
        <v>70812.5685067771</v>
      </c>
    </row>
    <row r="21" customFormat="false" ht="15" hidden="false" customHeight="false" outlineLevel="0" collapsed="false">
      <c r="B21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35" hidden="false" customHeight="false" outlineLevel="0" collapsed="false">
      <c r="B1" s="1" t="s">
        <v>220</v>
      </c>
    </row>
    <row r="3" customFormat="false" ht="15" hidden="false" customHeight="false" outlineLevel="0" collapsed="false">
      <c r="B3" s="2" t="s">
        <v>221</v>
      </c>
      <c r="C3" s="2" t="s">
        <v>141</v>
      </c>
      <c r="D3" s="19" t="n">
        <v>10000000</v>
      </c>
      <c r="E3" s="2" t="s">
        <v>222</v>
      </c>
    </row>
    <row r="4" customFormat="false" ht="15" hidden="false" customHeight="false" outlineLevel="0" collapsed="false">
      <c r="B4" s="2" t="s">
        <v>223</v>
      </c>
      <c r="C4" s="2" t="s">
        <v>224</v>
      </c>
      <c r="D4" s="19" t="n">
        <v>500</v>
      </c>
      <c r="E4" s="2" t="s">
        <v>225</v>
      </c>
    </row>
    <row r="5" customFormat="false" ht="15" hidden="false" customHeight="false" outlineLevel="0" collapsed="false">
      <c r="B5" s="2" t="s">
        <v>226</v>
      </c>
      <c r="C5" s="2" t="s">
        <v>224</v>
      </c>
      <c r="D5" s="18" t="n">
        <v>1000</v>
      </c>
      <c r="E5" s="2" t="s">
        <v>227</v>
      </c>
    </row>
    <row r="6" customFormat="false" ht="15" hidden="false" customHeight="false" outlineLevel="0" collapsed="false">
      <c r="B6" s="2" t="s">
        <v>228</v>
      </c>
      <c r="C6" s="2" t="s">
        <v>229</v>
      </c>
      <c r="D6" s="29" t="n">
        <v>46753</v>
      </c>
      <c r="E6" s="2" t="s">
        <v>230</v>
      </c>
    </row>
    <row r="7" customFormat="false" ht="15" hidden="false" customHeight="false" outlineLevel="0" collapsed="false">
      <c r="B7" s="2" t="s">
        <v>231</v>
      </c>
      <c r="C7" s="2" t="s">
        <v>141</v>
      </c>
      <c r="D7" s="19" t="n">
        <v>2000000</v>
      </c>
      <c r="E7" s="2" t="s">
        <v>232</v>
      </c>
    </row>
    <row r="8" customFormat="false" ht="15" hidden="false" customHeight="false" outlineLevel="0" collapsed="false">
      <c r="B8" s="2" t="s">
        <v>233</v>
      </c>
      <c r="C8" s="2" t="s">
        <v>229</v>
      </c>
      <c r="D8" s="16" t="n">
        <v>46508</v>
      </c>
      <c r="E8" s="2" t="s">
        <v>234</v>
      </c>
    </row>
    <row r="9" customFormat="false" ht="15" hidden="false" customHeight="false" outlineLevel="0" collapsed="false">
      <c r="B9" s="2" t="s">
        <v>235</v>
      </c>
      <c r="C9" s="2" t="s">
        <v>141</v>
      </c>
      <c r="D9" s="19" t="n">
        <v>1500000</v>
      </c>
      <c r="E9" s="2" t="s">
        <v>236</v>
      </c>
    </row>
    <row r="10" customFormat="false" ht="15" hidden="false" customHeight="false" outlineLevel="0" collapsed="false">
      <c r="B10" s="2" t="s">
        <v>237</v>
      </c>
      <c r="C10" s="2" t="s">
        <v>229</v>
      </c>
      <c r="D10" s="16" t="n">
        <v>46784</v>
      </c>
      <c r="E10" s="2" t="s">
        <v>234</v>
      </c>
    </row>
    <row r="11" customFormat="false" ht="15" hidden="false" customHeight="false" outlineLevel="0" collapsed="false">
      <c r="B11" s="2" t="s">
        <v>238</v>
      </c>
      <c r="C11" s="2" t="s">
        <v>141</v>
      </c>
      <c r="D11" s="19" t="n">
        <v>2000000</v>
      </c>
      <c r="E11" s="2" t="s">
        <v>236</v>
      </c>
    </row>
    <row r="12" customFormat="false" ht="15" hidden="false" customHeight="false" outlineLevel="0" collapsed="false">
      <c r="B12" s="2" t="s">
        <v>239</v>
      </c>
      <c r="C12" s="2" t="s">
        <v>229</v>
      </c>
      <c r="D12" s="16" t="n">
        <v>47543</v>
      </c>
      <c r="E12" s="2" t="s">
        <v>240</v>
      </c>
    </row>
    <row r="13" customFormat="false" ht="15" hidden="false" customHeight="false" outlineLevel="0" collapsed="false">
      <c r="B13" s="2" t="s">
        <v>241</v>
      </c>
      <c r="C13" s="2" t="s">
        <v>141</v>
      </c>
      <c r="D13" s="19" t="n">
        <v>2500000</v>
      </c>
      <c r="E13" s="2" t="s">
        <v>242</v>
      </c>
    </row>
    <row r="14" customFormat="false" ht="15" hidden="false" customHeight="false" outlineLevel="0" collapsed="false">
      <c r="B14" s="2" t="s">
        <v>243</v>
      </c>
      <c r="C14" s="2" t="s">
        <v>69</v>
      </c>
      <c r="D14" s="18" t="n">
        <v>12</v>
      </c>
      <c r="E14" s="2" t="s">
        <v>244</v>
      </c>
    </row>
    <row r="15" customFormat="false" ht="15" hidden="false" customHeight="false" outlineLevel="0" collapsed="false">
      <c r="B15" s="2" t="s">
        <v>245</v>
      </c>
      <c r="C15" s="2" t="s">
        <v>124</v>
      </c>
      <c r="D15" s="18" t="n">
        <v>350000</v>
      </c>
      <c r="E15" s="2" t="s">
        <v>246</v>
      </c>
    </row>
    <row r="16" customFormat="false" ht="15" hidden="false" customHeight="false" outlineLevel="0" collapsed="false">
      <c r="B16" s="2" t="s">
        <v>247</v>
      </c>
      <c r="C16" s="2" t="s">
        <v>167</v>
      </c>
      <c r="D16" s="23" t="n">
        <v>0</v>
      </c>
      <c r="E16" s="2" t="s">
        <v>248</v>
      </c>
    </row>
    <row r="18" customFormat="false" ht="15" hidden="false" customHeight="false" outlineLevel="0" collapsed="false">
      <c r="B18" s="5" t="s">
        <v>249</v>
      </c>
      <c r="C18" s="5" t="s">
        <v>250</v>
      </c>
      <c r="D18" s="5" t="s">
        <v>251</v>
      </c>
      <c r="E18" s="5" t="s">
        <v>252</v>
      </c>
      <c r="F18" s="5" t="s">
        <v>253</v>
      </c>
      <c r="G18" s="5" t="s">
        <v>254</v>
      </c>
      <c r="H18" s="5" t="s">
        <v>255</v>
      </c>
    </row>
    <row r="19" customFormat="false" ht="15" hidden="false" customHeight="false" outlineLevel="0" collapsed="false">
      <c r="B19" s="30" t="n">
        <v>46296</v>
      </c>
      <c r="C19" s="27" t="n">
        <f aca="false">IF(B19&gt;=$D$6,$D$5,$D$4)</f>
        <v>500</v>
      </c>
      <c r="D19" s="27" t="n">
        <f aca="false">C19*Hypotheses!$D$7</f>
        <v>327978.5</v>
      </c>
      <c r="E19" s="27" t="n">
        <f aca="false">-(IF(B19=$D$8,$D$7,0)+IF(B19=$D$10,$D$9,0)+IF(B19=$D$12,$D$11,0)+IF(B19=DATE(YEAR(Hypotheses!$D$6),MONTH(Hypotheses!$D$6)-1,1),$D$13,0))</f>
        <v>-0</v>
      </c>
      <c r="F19" s="27" t="n">
        <f aca="false">$D$3*$D$16/12</f>
        <v>0</v>
      </c>
      <c r="G19" s="27" t="n">
        <f aca="false">$D$3+D19+E19+F19</f>
        <v>10327978.5</v>
      </c>
      <c r="H19" s="2" t="n">
        <v>1</v>
      </c>
    </row>
    <row r="20" customFormat="false" ht="15" hidden="false" customHeight="false" outlineLevel="0" collapsed="false">
      <c r="B20" s="30" t="n">
        <f aca="false">DATE(YEAR(B19),MONTH(B19)+1,1)</f>
        <v>46327</v>
      </c>
      <c r="C20" s="27" t="n">
        <f aca="false">IF(B20&gt;=$D$6,$D$5,$D$4)</f>
        <v>500</v>
      </c>
      <c r="D20" s="27" t="n">
        <f aca="false">C20*Hypotheses!$D$7</f>
        <v>327978.5</v>
      </c>
      <c r="E20" s="27" t="n">
        <f aca="false">-(IF(B20=$D$8,$D$7,0)+IF(B20=$D$10,$D$9,0)+IF(B20=$D$12,$D$11,0)+IF(B20=DATE(YEAR(Hypotheses!$D$6),MONTH(Hypotheses!$D$6)-1,1),$D$13,0))</f>
        <v>-0</v>
      </c>
      <c r="F20" s="27" t="n">
        <f aca="false">G19*$D$16/12</f>
        <v>0</v>
      </c>
      <c r="G20" s="27" t="n">
        <f aca="false">G19+D20+E20+F20</f>
        <v>10655957</v>
      </c>
      <c r="H20" s="2" t="n">
        <v>2</v>
      </c>
    </row>
    <row r="21" customFormat="false" ht="15" hidden="false" customHeight="false" outlineLevel="0" collapsed="false">
      <c r="B21" s="30" t="n">
        <f aca="false">DATE(YEAR(B20),MONTH(B20)+1,1)</f>
        <v>46357</v>
      </c>
      <c r="C21" s="27" t="n">
        <f aca="false">IF(B21&gt;=$D$6,$D$5,$D$4)</f>
        <v>500</v>
      </c>
      <c r="D21" s="27" t="n">
        <f aca="false">C21*Hypotheses!$D$7</f>
        <v>327978.5</v>
      </c>
      <c r="E21" s="27" t="n">
        <f aca="false">-(IF(B21=$D$8,$D$7,0)+IF(B21=$D$10,$D$9,0)+IF(B21=$D$12,$D$11,0)+IF(B21=DATE(YEAR(Hypotheses!$D$6),MONTH(Hypotheses!$D$6)-1,1),$D$13,0))</f>
        <v>-0</v>
      </c>
      <c r="F21" s="27" t="n">
        <f aca="false">G20*$D$16/12</f>
        <v>0</v>
      </c>
      <c r="G21" s="27" t="n">
        <f aca="false">G20+D21+E21+F21</f>
        <v>10983935.5</v>
      </c>
      <c r="H21" s="2" t="n">
        <v>3</v>
      </c>
    </row>
    <row r="22" customFormat="false" ht="15" hidden="false" customHeight="false" outlineLevel="0" collapsed="false">
      <c r="B22" s="30" t="n">
        <f aca="false">DATE(YEAR(B21),MONTH(B21)+1,1)</f>
        <v>46388</v>
      </c>
      <c r="C22" s="27" t="n">
        <f aca="false">IF(B22&gt;=$D$6,$D$5,$D$4)</f>
        <v>500</v>
      </c>
      <c r="D22" s="27" t="n">
        <f aca="false">C22*Hypotheses!$D$7</f>
        <v>327978.5</v>
      </c>
      <c r="E22" s="27" t="n">
        <f aca="false">-(IF(B22=$D$8,$D$7,0)+IF(B22=$D$10,$D$9,0)+IF(B22=$D$12,$D$11,0)+IF(B22=DATE(YEAR(Hypotheses!$D$6),MONTH(Hypotheses!$D$6)-1,1),$D$13,0))</f>
        <v>-0</v>
      </c>
      <c r="F22" s="27" t="n">
        <f aca="false">G21*$D$16/12</f>
        <v>0</v>
      </c>
      <c r="G22" s="27" t="n">
        <f aca="false">G21+D22+E22+F22</f>
        <v>11311914</v>
      </c>
      <c r="H22" s="2" t="n">
        <v>4</v>
      </c>
    </row>
    <row r="23" customFormat="false" ht="15" hidden="false" customHeight="false" outlineLevel="0" collapsed="false">
      <c r="B23" s="30" t="n">
        <f aca="false">DATE(YEAR(B22),MONTH(B22)+1,1)</f>
        <v>46419</v>
      </c>
      <c r="C23" s="27" t="n">
        <f aca="false">IF(B23&gt;=$D$6,$D$5,$D$4)</f>
        <v>500</v>
      </c>
      <c r="D23" s="27" t="n">
        <f aca="false">C23*Hypotheses!$D$7</f>
        <v>327978.5</v>
      </c>
      <c r="E23" s="27" t="n">
        <f aca="false">-(IF(B23=$D$8,$D$7,0)+IF(B23=$D$10,$D$9,0)+IF(B23=$D$12,$D$11,0)+IF(B23=DATE(YEAR(Hypotheses!$D$6),MONTH(Hypotheses!$D$6)-1,1),$D$13,0))</f>
        <v>-0</v>
      </c>
      <c r="F23" s="27" t="n">
        <f aca="false">G22*$D$16/12</f>
        <v>0</v>
      </c>
      <c r="G23" s="27" t="n">
        <f aca="false">G22+D23+E23+F23</f>
        <v>11639892.5</v>
      </c>
      <c r="H23" s="2" t="n">
        <v>5</v>
      </c>
    </row>
    <row r="24" customFormat="false" ht="15" hidden="false" customHeight="false" outlineLevel="0" collapsed="false">
      <c r="B24" s="30" t="n">
        <f aca="false">DATE(YEAR(B23),MONTH(B23)+1,1)</f>
        <v>46447</v>
      </c>
      <c r="C24" s="27" t="n">
        <f aca="false">IF(B24&gt;=$D$6,$D$5,$D$4)</f>
        <v>500</v>
      </c>
      <c r="D24" s="27" t="n">
        <f aca="false">C24*Hypotheses!$D$7</f>
        <v>327978.5</v>
      </c>
      <c r="E24" s="27" t="n">
        <f aca="false">-(IF(B24=$D$8,$D$7,0)+IF(B24=$D$10,$D$9,0)+IF(B24=$D$12,$D$11,0)+IF(B24=DATE(YEAR(Hypotheses!$D$6),MONTH(Hypotheses!$D$6)-1,1),$D$13,0))</f>
        <v>-0</v>
      </c>
      <c r="F24" s="27" t="n">
        <f aca="false">G23*$D$16/12</f>
        <v>0</v>
      </c>
      <c r="G24" s="27" t="n">
        <f aca="false">G23+D24+E24+F24</f>
        <v>11967871</v>
      </c>
      <c r="H24" s="2" t="n">
        <v>6</v>
      </c>
    </row>
    <row r="25" customFormat="false" ht="15" hidden="false" customHeight="false" outlineLevel="0" collapsed="false">
      <c r="B25" s="30" t="n">
        <f aca="false">DATE(YEAR(B24),MONTH(B24)+1,1)</f>
        <v>46478</v>
      </c>
      <c r="C25" s="27" t="n">
        <f aca="false">IF(B25&gt;=$D$6,$D$5,$D$4)</f>
        <v>500</v>
      </c>
      <c r="D25" s="27" t="n">
        <f aca="false">C25*Hypotheses!$D$7</f>
        <v>327978.5</v>
      </c>
      <c r="E25" s="27" t="n">
        <f aca="false">-(IF(B25=$D$8,$D$7,0)+IF(B25=$D$10,$D$9,0)+IF(B25=$D$12,$D$11,0)+IF(B25=DATE(YEAR(Hypotheses!$D$6),MONTH(Hypotheses!$D$6)-1,1),$D$13,0))</f>
        <v>-0</v>
      </c>
      <c r="F25" s="27" t="n">
        <f aca="false">G24*$D$16/12</f>
        <v>0</v>
      </c>
      <c r="G25" s="27" t="n">
        <f aca="false">G24+D25+E25+F25</f>
        <v>12295849.5</v>
      </c>
      <c r="H25" s="2" t="n">
        <v>7</v>
      </c>
    </row>
    <row r="26" customFormat="false" ht="15" hidden="false" customHeight="false" outlineLevel="0" collapsed="false">
      <c r="B26" s="30" t="n">
        <f aca="false">DATE(YEAR(B25),MONTH(B25)+1,1)</f>
        <v>46508</v>
      </c>
      <c r="C26" s="27" t="n">
        <f aca="false">IF(B26&gt;=$D$6,$D$5,$D$4)</f>
        <v>500</v>
      </c>
      <c r="D26" s="27" t="n">
        <f aca="false">C26*Hypotheses!$D$7</f>
        <v>327978.5</v>
      </c>
      <c r="E26" s="27" t="n">
        <f aca="false">-(IF(B26=$D$8,$D$7,0)+IF(B26=$D$10,$D$9,0)+IF(B26=$D$12,$D$11,0)+IF(B26=DATE(YEAR(Hypotheses!$D$6),MONTH(Hypotheses!$D$6)-1,1),$D$13,0))</f>
        <v>-2000000</v>
      </c>
      <c r="F26" s="27" t="n">
        <f aca="false">G25*$D$16/12</f>
        <v>0</v>
      </c>
      <c r="G26" s="27" t="n">
        <f aca="false">G25+D26+E26+F26</f>
        <v>10623828</v>
      </c>
      <c r="H26" s="2" t="n">
        <v>8</v>
      </c>
    </row>
    <row r="27" customFormat="false" ht="15" hidden="false" customHeight="false" outlineLevel="0" collapsed="false">
      <c r="B27" s="30" t="n">
        <f aca="false">DATE(YEAR(B26),MONTH(B26)+1,1)</f>
        <v>46539</v>
      </c>
      <c r="C27" s="27" t="n">
        <f aca="false">IF(B27&gt;=$D$6,$D$5,$D$4)</f>
        <v>500</v>
      </c>
      <c r="D27" s="27" t="n">
        <f aca="false">C27*Hypotheses!$D$7</f>
        <v>327978.5</v>
      </c>
      <c r="E27" s="27" t="n">
        <f aca="false">-(IF(B27=$D$8,$D$7,0)+IF(B27=$D$10,$D$9,0)+IF(B27=$D$12,$D$11,0)+IF(B27=DATE(YEAR(Hypotheses!$D$6),MONTH(Hypotheses!$D$6)-1,1),$D$13,0))</f>
        <v>-0</v>
      </c>
      <c r="F27" s="27" t="n">
        <f aca="false">G26*$D$16/12</f>
        <v>0</v>
      </c>
      <c r="G27" s="27" t="n">
        <f aca="false">G26+D27+E27+F27</f>
        <v>10951806.5</v>
      </c>
      <c r="H27" s="2" t="n">
        <v>9</v>
      </c>
    </row>
    <row r="28" customFormat="false" ht="15" hidden="false" customHeight="false" outlineLevel="0" collapsed="false">
      <c r="B28" s="30" t="n">
        <f aca="false">DATE(YEAR(B27),MONTH(B27)+1,1)</f>
        <v>46569</v>
      </c>
      <c r="C28" s="27" t="n">
        <f aca="false">IF(B28&gt;=$D$6,$D$5,$D$4)</f>
        <v>500</v>
      </c>
      <c r="D28" s="27" t="n">
        <f aca="false">C28*Hypotheses!$D$7</f>
        <v>327978.5</v>
      </c>
      <c r="E28" s="27" t="n">
        <f aca="false">-(IF(B28=$D$8,$D$7,0)+IF(B28=$D$10,$D$9,0)+IF(B28=$D$12,$D$11,0)+IF(B28=DATE(YEAR(Hypotheses!$D$6),MONTH(Hypotheses!$D$6)-1,1),$D$13,0))</f>
        <v>-0</v>
      </c>
      <c r="F28" s="27" t="n">
        <f aca="false">G27*$D$16/12</f>
        <v>0</v>
      </c>
      <c r="G28" s="27" t="n">
        <f aca="false">G27+D28+E28+F28</f>
        <v>11279785</v>
      </c>
      <c r="H28" s="2" t="n">
        <v>10</v>
      </c>
    </row>
    <row r="29" customFormat="false" ht="15" hidden="false" customHeight="false" outlineLevel="0" collapsed="false">
      <c r="B29" s="30" t="n">
        <f aca="false">DATE(YEAR(B28),MONTH(B28)+1,1)</f>
        <v>46600</v>
      </c>
      <c r="C29" s="27" t="n">
        <f aca="false">IF(B29&gt;=$D$6,$D$5,$D$4)</f>
        <v>500</v>
      </c>
      <c r="D29" s="27" t="n">
        <f aca="false">C29*Hypotheses!$D$7</f>
        <v>327978.5</v>
      </c>
      <c r="E29" s="27" t="n">
        <f aca="false">-(IF(B29=$D$8,$D$7,0)+IF(B29=$D$10,$D$9,0)+IF(B29=$D$12,$D$11,0)+IF(B29=DATE(YEAR(Hypotheses!$D$6),MONTH(Hypotheses!$D$6)-1,1),$D$13,0))</f>
        <v>-0</v>
      </c>
      <c r="F29" s="27" t="n">
        <f aca="false">G28*$D$16/12</f>
        <v>0</v>
      </c>
      <c r="G29" s="27" t="n">
        <f aca="false">G28+D29+E29+F29</f>
        <v>11607763.5</v>
      </c>
      <c r="H29" s="2" t="n">
        <v>11</v>
      </c>
    </row>
    <row r="30" customFormat="false" ht="15" hidden="false" customHeight="false" outlineLevel="0" collapsed="false">
      <c r="B30" s="30" t="n">
        <f aca="false">DATE(YEAR(B29),MONTH(B29)+1,1)</f>
        <v>46631</v>
      </c>
      <c r="C30" s="27" t="n">
        <f aca="false">IF(B30&gt;=$D$6,$D$5,$D$4)</f>
        <v>500</v>
      </c>
      <c r="D30" s="27" t="n">
        <f aca="false">C30*Hypotheses!$D$7</f>
        <v>327978.5</v>
      </c>
      <c r="E30" s="27" t="n">
        <f aca="false">-(IF(B30=$D$8,$D$7,0)+IF(B30=$D$10,$D$9,0)+IF(B30=$D$12,$D$11,0)+IF(B30=DATE(YEAR(Hypotheses!$D$6),MONTH(Hypotheses!$D$6)-1,1),$D$13,0))</f>
        <v>-0</v>
      </c>
      <c r="F30" s="27" t="n">
        <f aca="false">G29*$D$16/12</f>
        <v>0</v>
      </c>
      <c r="G30" s="27" t="n">
        <f aca="false">G29+D30+E30+F30</f>
        <v>11935742</v>
      </c>
      <c r="H30" s="2" t="n">
        <v>12</v>
      </c>
    </row>
    <row r="31" customFormat="false" ht="15" hidden="false" customHeight="false" outlineLevel="0" collapsed="false">
      <c r="B31" s="30" t="n">
        <f aca="false">DATE(YEAR(B30),MONTH(B30)+1,1)</f>
        <v>46661</v>
      </c>
      <c r="C31" s="27" t="n">
        <f aca="false">IF(B31&gt;=$D$6,$D$5,$D$4)</f>
        <v>500</v>
      </c>
      <c r="D31" s="27" t="n">
        <f aca="false">C31*Hypotheses!$D$7</f>
        <v>327978.5</v>
      </c>
      <c r="E31" s="27" t="n">
        <f aca="false">-(IF(B31=$D$8,$D$7,0)+IF(B31=$D$10,$D$9,0)+IF(B31=$D$12,$D$11,0)+IF(B31=DATE(YEAR(Hypotheses!$D$6),MONTH(Hypotheses!$D$6)-1,1),$D$13,0))</f>
        <v>-0</v>
      </c>
      <c r="F31" s="27" t="n">
        <f aca="false">G30*$D$16/12</f>
        <v>0</v>
      </c>
      <c r="G31" s="27" t="n">
        <f aca="false">G30+D31+E31+F31</f>
        <v>12263720.5</v>
      </c>
      <c r="H31" s="2" t="n">
        <v>13</v>
      </c>
    </row>
    <row r="32" customFormat="false" ht="15" hidden="false" customHeight="false" outlineLevel="0" collapsed="false">
      <c r="B32" s="30" t="n">
        <f aca="false">DATE(YEAR(B31),MONTH(B31)+1,1)</f>
        <v>46692</v>
      </c>
      <c r="C32" s="27" t="n">
        <f aca="false">IF(B32&gt;=$D$6,$D$5,$D$4)</f>
        <v>500</v>
      </c>
      <c r="D32" s="27" t="n">
        <f aca="false">C32*Hypotheses!$D$7</f>
        <v>327978.5</v>
      </c>
      <c r="E32" s="27" t="n">
        <f aca="false">-(IF(B32=$D$8,$D$7,0)+IF(B32=$D$10,$D$9,0)+IF(B32=$D$12,$D$11,0)+IF(B32=DATE(YEAR(Hypotheses!$D$6),MONTH(Hypotheses!$D$6)-1,1),$D$13,0))</f>
        <v>-0</v>
      </c>
      <c r="F32" s="27" t="n">
        <f aca="false">G31*$D$16/12</f>
        <v>0</v>
      </c>
      <c r="G32" s="27" t="n">
        <f aca="false">G31+D32+E32+F32</f>
        <v>12591699</v>
      </c>
      <c r="H32" s="2" t="n">
        <v>14</v>
      </c>
    </row>
    <row r="33" customFormat="false" ht="15" hidden="false" customHeight="false" outlineLevel="0" collapsed="false">
      <c r="B33" s="30" t="n">
        <f aca="false">DATE(YEAR(B32),MONTH(B32)+1,1)</f>
        <v>46722</v>
      </c>
      <c r="C33" s="27" t="n">
        <f aca="false">IF(B33&gt;=$D$6,$D$5,$D$4)</f>
        <v>500</v>
      </c>
      <c r="D33" s="27" t="n">
        <f aca="false">C33*Hypotheses!$D$7</f>
        <v>327978.5</v>
      </c>
      <c r="E33" s="27" t="n">
        <f aca="false">-(IF(B33=$D$8,$D$7,0)+IF(B33=$D$10,$D$9,0)+IF(B33=$D$12,$D$11,0)+IF(B33=DATE(YEAR(Hypotheses!$D$6),MONTH(Hypotheses!$D$6)-1,1),$D$13,0))</f>
        <v>-0</v>
      </c>
      <c r="F33" s="27" t="n">
        <f aca="false">G32*$D$16/12</f>
        <v>0</v>
      </c>
      <c r="G33" s="27" t="n">
        <f aca="false">G32+D33+E33+F33</f>
        <v>12919677.5</v>
      </c>
      <c r="H33" s="2" t="n">
        <v>15</v>
      </c>
    </row>
    <row r="34" customFormat="false" ht="15" hidden="false" customHeight="false" outlineLevel="0" collapsed="false">
      <c r="B34" s="30" t="n">
        <f aca="false">DATE(YEAR(B33),MONTH(B33)+1,1)</f>
        <v>46753</v>
      </c>
      <c r="C34" s="27" t="n">
        <f aca="false">IF(B34&gt;=$D$6,$D$5,$D$4)</f>
        <v>1000</v>
      </c>
      <c r="D34" s="27" t="n">
        <f aca="false">C34*Hypotheses!$D$7</f>
        <v>655957</v>
      </c>
      <c r="E34" s="27" t="n">
        <f aca="false">-(IF(B34=$D$8,$D$7,0)+IF(B34=$D$10,$D$9,0)+IF(B34=$D$12,$D$11,0)+IF(B34=DATE(YEAR(Hypotheses!$D$6),MONTH(Hypotheses!$D$6)-1,1),$D$13,0))</f>
        <v>-0</v>
      </c>
      <c r="F34" s="27" t="n">
        <f aca="false">G33*$D$16/12</f>
        <v>0</v>
      </c>
      <c r="G34" s="27" t="n">
        <f aca="false">G33+D34+E34+F34</f>
        <v>13575634.5</v>
      </c>
      <c r="H34" s="2" t="n">
        <v>16</v>
      </c>
    </row>
    <row r="35" customFormat="false" ht="15" hidden="false" customHeight="false" outlineLevel="0" collapsed="false">
      <c r="B35" s="30" t="n">
        <f aca="false">DATE(YEAR(B34),MONTH(B34)+1,1)</f>
        <v>46784</v>
      </c>
      <c r="C35" s="27" t="n">
        <f aca="false">IF(B35&gt;=$D$6,$D$5,$D$4)</f>
        <v>1000</v>
      </c>
      <c r="D35" s="27" t="n">
        <f aca="false">C35*Hypotheses!$D$7</f>
        <v>655957</v>
      </c>
      <c r="E35" s="27" t="n">
        <f aca="false">-(IF(B35=$D$8,$D$7,0)+IF(B35=$D$10,$D$9,0)+IF(B35=$D$12,$D$11,0)+IF(B35=DATE(YEAR(Hypotheses!$D$6),MONTH(Hypotheses!$D$6)-1,1),$D$13,0))</f>
        <v>-1500000</v>
      </c>
      <c r="F35" s="27" t="n">
        <f aca="false">G34*$D$16/12</f>
        <v>0</v>
      </c>
      <c r="G35" s="27" t="n">
        <f aca="false">G34+D35+E35+F35</f>
        <v>12731591.5</v>
      </c>
      <c r="H35" s="2" t="n">
        <v>17</v>
      </c>
    </row>
    <row r="36" customFormat="false" ht="15" hidden="false" customHeight="false" outlineLevel="0" collapsed="false">
      <c r="B36" s="30" t="n">
        <f aca="false">DATE(YEAR(B35),MONTH(B35)+1,1)</f>
        <v>46813</v>
      </c>
      <c r="C36" s="27" t="n">
        <f aca="false">IF(B36&gt;=$D$6,$D$5,$D$4)</f>
        <v>1000</v>
      </c>
      <c r="D36" s="27" t="n">
        <f aca="false">C36*Hypotheses!$D$7</f>
        <v>655957</v>
      </c>
      <c r="E36" s="27" t="n">
        <f aca="false">-(IF(B36=$D$8,$D$7,0)+IF(B36=$D$10,$D$9,0)+IF(B36=$D$12,$D$11,0)+IF(B36=DATE(YEAR(Hypotheses!$D$6),MONTH(Hypotheses!$D$6)-1,1),$D$13,0))</f>
        <v>-0</v>
      </c>
      <c r="F36" s="27" t="n">
        <f aca="false">G35*$D$16/12</f>
        <v>0</v>
      </c>
      <c r="G36" s="27" t="n">
        <f aca="false">G35+D36+E36+F36</f>
        <v>13387548.5</v>
      </c>
      <c r="H36" s="2" t="n">
        <v>18</v>
      </c>
    </row>
    <row r="37" customFormat="false" ht="15" hidden="false" customHeight="false" outlineLevel="0" collapsed="false">
      <c r="B37" s="30" t="n">
        <f aca="false">DATE(YEAR(B36),MONTH(B36)+1,1)</f>
        <v>46844</v>
      </c>
      <c r="C37" s="27" t="n">
        <f aca="false">IF(B37&gt;=$D$6,$D$5,$D$4)</f>
        <v>1000</v>
      </c>
      <c r="D37" s="27" t="n">
        <f aca="false">C37*Hypotheses!$D$7</f>
        <v>655957</v>
      </c>
      <c r="E37" s="27" t="n">
        <f aca="false">-(IF(B37=$D$8,$D$7,0)+IF(B37=$D$10,$D$9,0)+IF(B37=$D$12,$D$11,0)+IF(B37=DATE(YEAR(Hypotheses!$D$6),MONTH(Hypotheses!$D$6)-1,1),$D$13,0))</f>
        <v>-0</v>
      </c>
      <c r="F37" s="27" t="n">
        <f aca="false">G36*$D$16/12</f>
        <v>0</v>
      </c>
      <c r="G37" s="27" t="n">
        <f aca="false">G36+D37+E37+F37</f>
        <v>14043505.5</v>
      </c>
      <c r="H37" s="2" t="n">
        <v>19</v>
      </c>
    </row>
    <row r="38" customFormat="false" ht="15" hidden="false" customHeight="false" outlineLevel="0" collapsed="false">
      <c r="B38" s="30" t="n">
        <f aca="false">DATE(YEAR(B37),MONTH(B37)+1,1)</f>
        <v>46874</v>
      </c>
      <c r="C38" s="27" t="n">
        <f aca="false">IF(B38&gt;=$D$6,$D$5,$D$4)</f>
        <v>1000</v>
      </c>
      <c r="D38" s="27" t="n">
        <f aca="false">C38*Hypotheses!$D$7</f>
        <v>655957</v>
      </c>
      <c r="E38" s="27" t="n">
        <f aca="false">-(IF(B38=$D$8,$D$7,0)+IF(B38=$D$10,$D$9,0)+IF(B38=$D$12,$D$11,0)+IF(B38=DATE(YEAR(Hypotheses!$D$6),MONTH(Hypotheses!$D$6)-1,1),$D$13,0))</f>
        <v>-0</v>
      </c>
      <c r="F38" s="27" t="n">
        <f aca="false">G37*$D$16/12</f>
        <v>0</v>
      </c>
      <c r="G38" s="27" t="n">
        <f aca="false">G37+D38+E38+F38</f>
        <v>14699462.5</v>
      </c>
      <c r="H38" s="2" t="n">
        <v>20</v>
      </c>
    </row>
    <row r="39" customFormat="false" ht="15" hidden="false" customHeight="false" outlineLevel="0" collapsed="false">
      <c r="B39" s="30" t="n">
        <f aca="false">DATE(YEAR(B38),MONTH(B38)+1,1)</f>
        <v>46905</v>
      </c>
      <c r="C39" s="27" t="n">
        <f aca="false">IF(B39&gt;=$D$6,$D$5,$D$4)</f>
        <v>1000</v>
      </c>
      <c r="D39" s="27" t="n">
        <f aca="false">C39*Hypotheses!$D$7</f>
        <v>655957</v>
      </c>
      <c r="E39" s="27" t="n">
        <f aca="false">-(IF(B39=$D$8,$D$7,0)+IF(B39=$D$10,$D$9,0)+IF(B39=$D$12,$D$11,0)+IF(B39=DATE(YEAR(Hypotheses!$D$6),MONTH(Hypotheses!$D$6)-1,1),$D$13,0))</f>
        <v>-0</v>
      </c>
      <c r="F39" s="27" t="n">
        <f aca="false">G38*$D$16/12</f>
        <v>0</v>
      </c>
      <c r="G39" s="27" t="n">
        <f aca="false">G38+D39+E39+F39</f>
        <v>15355419.5</v>
      </c>
      <c r="H39" s="2" t="n">
        <v>21</v>
      </c>
    </row>
    <row r="40" customFormat="false" ht="15" hidden="false" customHeight="false" outlineLevel="0" collapsed="false">
      <c r="B40" s="30" t="n">
        <f aca="false">DATE(YEAR(B39),MONTH(B39)+1,1)</f>
        <v>46935</v>
      </c>
      <c r="C40" s="27" t="n">
        <f aca="false">IF(B40&gt;=$D$6,$D$5,$D$4)</f>
        <v>1000</v>
      </c>
      <c r="D40" s="27" t="n">
        <f aca="false">C40*Hypotheses!$D$7</f>
        <v>655957</v>
      </c>
      <c r="E40" s="27" t="n">
        <f aca="false">-(IF(B40=$D$8,$D$7,0)+IF(B40=$D$10,$D$9,0)+IF(B40=$D$12,$D$11,0)+IF(B40=DATE(YEAR(Hypotheses!$D$6),MONTH(Hypotheses!$D$6)-1,1),$D$13,0))</f>
        <v>-0</v>
      </c>
      <c r="F40" s="27" t="n">
        <f aca="false">G39*$D$16/12</f>
        <v>0</v>
      </c>
      <c r="G40" s="27" t="n">
        <f aca="false">G39+D40+E40+F40</f>
        <v>16011376.5</v>
      </c>
      <c r="H40" s="2" t="n">
        <v>22</v>
      </c>
    </row>
    <row r="41" customFormat="false" ht="15" hidden="false" customHeight="false" outlineLevel="0" collapsed="false">
      <c r="B41" s="30" t="n">
        <f aca="false">DATE(YEAR(B40),MONTH(B40)+1,1)</f>
        <v>46966</v>
      </c>
      <c r="C41" s="27" t="n">
        <f aca="false">IF(B41&gt;=$D$6,$D$5,$D$4)</f>
        <v>1000</v>
      </c>
      <c r="D41" s="27" t="n">
        <f aca="false">C41*Hypotheses!$D$7</f>
        <v>655957</v>
      </c>
      <c r="E41" s="27" t="n">
        <f aca="false">-(IF(B41=$D$8,$D$7,0)+IF(B41=$D$10,$D$9,0)+IF(B41=$D$12,$D$11,0)+IF(B41=DATE(YEAR(Hypotheses!$D$6),MONTH(Hypotheses!$D$6)-1,1),$D$13,0))</f>
        <v>-0</v>
      </c>
      <c r="F41" s="27" t="n">
        <f aca="false">G40*$D$16/12</f>
        <v>0</v>
      </c>
      <c r="G41" s="27" t="n">
        <f aca="false">G40+D41+E41+F41</f>
        <v>16667333.5</v>
      </c>
      <c r="H41" s="2" t="n">
        <v>23</v>
      </c>
    </row>
    <row r="42" customFormat="false" ht="15" hidden="false" customHeight="false" outlineLevel="0" collapsed="false">
      <c r="B42" s="30" t="n">
        <f aca="false">DATE(YEAR(B41),MONTH(B41)+1,1)</f>
        <v>46997</v>
      </c>
      <c r="C42" s="27" t="n">
        <f aca="false">IF(B42&gt;=$D$6,$D$5,$D$4)</f>
        <v>1000</v>
      </c>
      <c r="D42" s="27" t="n">
        <f aca="false">C42*Hypotheses!$D$7</f>
        <v>655957</v>
      </c>
      <c r="E42" s="27" t="n">
        <f aca="false">-(IF(B42=$D$8,$D$7,0)+IF(B42=$D$10,$D$9,0)+IF(B42=$D$12,$D$11,0)+IF(B42=DATE(YEAR(Hypotheses!$D$6),MONTH(Hypotheses!$D$6)-1,1),$D$13,0))</f>
        <v>-0</v>
      </c>
      <c r="F42" s="27" t="n">
        <f aca="false">G41*$D$16/12</f>
        <v>0</v>
      </c>
      <c r="G42" s="27" t="n">
        <f aca="false">G41+D42+E42+F42</f>
        <v>17323290.5</v>
      </c>
      <c r="H42" s="2" t="n">
        <v>24</v>
      </c>
    </row>
    <row r="43" customFormat="false" ht="15" hidden="false" customHeight="false" outlineLevel="0" collapsed="false">
      <c r="B43" s="30" t="n">
        <f aca="false">DATE(YEAR(B42),MONTH(B42)+1,1)</f>
        <v>47027</v>
      </c>
      <c r="C43" s="27" t="n">
        <f aca="false">IF(B43&gt;=$D$6,$D$5,$D$4)</f>
        <v>1000</v>
      </c>
      <c r="D43" s="27" t="n">
        <f aca="false">C43*Hypotheses!$D$7</f>
        <v>655957</v>
      </c>
      <c r="E43" s="27" t="n">
        <f aca="false">-(IF(B43=$D$8,$D$7,0)+IF(B43=$D$10,$D$9,0)+IF(B43=$D$12,$D$11,0)+IF(B43=DATE(YEAR(Hypotheses!$D$6),MONTH(Hypotheses!$D$6)-1,1),$D$13,0))</f>
        <v>-0</v>
      </c>
      <c r="F43" s="27" t="n">
        <f aca="false">G42*$D$16/12</f>
        <v>0</v>
      </c>
      <c r="G43" s="27" t="n">
        <f aca="false">G42+D43+E43+F43</f>
        <v>17979247.5</v>
      </c>
      <c r="H43" s="2" t="n">
        <v>25</v>
      </c>
    </row>
    <row r="44" customFormat="false" ht="15" hidden="false" customHeight="false" outlineLevel="0" collapsed="false">
      <c r="B44" s="30" t="n">
        <f aca="false">DATE(YEAR(B43),MONTH(B43)+1,1)</f>
        <v>47058</v>
      </c>
      <c r="C44" s="27" t="n">
        <f aca="false">IF(B44&gt;=$D$6,$D$5,$D$4)</f>
        <v>1000</v>
      </c>
      <c r="D44" s="27" t="n">
        <f aca="false">C44*Hypotheses!$D$7</f>
        <v>655957</v>
      </c>
      <c r="E44" s="27" t="n">
        <f aca="false">-(IF(B44=$D$8,$D$7,0)+IF(B44=$D$10,$D$9,0)+IF(B44=$D$12,$D$11,0)+IF(B44=DATE(YEAR(Hypotheses!$D$6),MONTH(Hypotheses!$D$6)-1,1),$D$13,0))</f>
        <v>-0</v>
      </c>
      <c r="F44" s="27" t="n">
        <f aca="false">G43*$D$16/12</f>
        <v>0</v>
      </c>
      <c r="G44" s="27" t="n">
        <f aca="false">G43+D44+E44+F44</f>
        <v>18635204.5</v>
      </c>
      <c r="H44" s="2" t="n">
        <v>26</v>
      </c>
    </row>
    <row r="45" customFormat="false" ht="15" hidden="false" customHeight="false" outlineLevel="0" collapsed="false">
      <c r="B45" s="30" t="n">
        <f aca="false">DATE(YEAR(B44),MONTH(B44)+1,1)</f>
        <v>47088</v>
      </c>
      <c r="C45" s="27" t="n">
        <f aca="false">IF(B45&gt;=$D$6,$D$5,$D$4)</f>
        <v>1000</v>
      </c>
      <c r="D45" s="27" t="n">
        <f aca="false">C45*Hypotheses!$D$7</f>
        <v>655957</v>
      </c>
      <c r="E45" s="27" t="n">
        <f aca="false">-(IF(B45=$D$8,$D$7,0)+IF(B45=$D$10,$D$9,0)+IF(B45=$D$12,$D$11,0)+IF(B45=DATE(YEAR(Hypotheses!$D$6),MONTH(Hypotheses!$D$6)-1,1),$D$13,0))</f>
        <v>-0</v>
      </c>
      <c r="F45" s="27" t="n">
        <f aca="false">G44*$D$16/12</f>
        <v>0</v>
      </c>
      <c r="G45" s="27" t="n">
        <f aca="false">G44+D45+E45+F45</f>
        <v>19291161.5</v>
      </c>
      <c r="H45" s="2" t="n">
        <v>27</v>
      </c>
    </row>
    <row r="46" customFormat="false" ht="15" hidden="false" customHeight="false" outlineLevel="0" collapsed="false">
      <c r="B46" s="30" t="n">
        <f aca="false">DATE(YEAR(B45),MONTH(B45)+1,1)</f>
        <v>47119</v>
      </c>
      <c r="C46" s="27" t="n">
        <f aca="false">IF(B46&gt;=$D$6,$D$5,$D$4)</f>
        <v>1000</v>
      </c>
      <c r="D46" s="27" t="n">
        <f aca="false">C46*Hypotheses!$D$7</f>
        <v>655957</v>
      </c>
      <c r="E46" s="27" t="n">
        <f aca="false">-(IF(B46=$D$8,$D$7,0)+IF(B46=$D$10,$D$9,0)+IF(B46=$D$12,$D$11,0)+IF(B46=DATE(YEAR(Hypotheses!$D$6),MONTH(Hypotheses!$D$6)-1,1),$D$13,0))</f>
        <v>-0</v>
      </c>
      <c r="F46" s="27" t="n">
        <f aca="false">G45*$D$16/12</f>
        <v>0</v>
      </c>
      <c r="G46" s="27" t="n">
        <f aca="false">G45+D46+E46+F46</f>
        <v>19947118.5</v>
      </c>
      <c r="H46" s="2" t="n">
        <v>28</v>
      </c>
    </row>
    <row r="47" customFormat="false" ht="15" hidden="false" customHeight="false" outlineLevel="0" collapsed="false">
      <c r="B47" s="30" t="n">
        <f aca="false">DATE(YEAR(B46),MONTH(B46)+1,1)</f>
        <v>47150</v>
      </c>
      <c r="C47" s="27" t="n">
        <f aca="false">IF(B47&gt;=$D$6,$D$5,$D$4)</f>
        <v>1000</v>
      </c>
      <c r="D47" s="27" t="n">
        <f aca="false">C47*Hypotheses!$D$7</f>
        <v>655957</v>
      </c>
      <c r="E47" s="27" t="n">
        <f aca="false">-(IF(B47=$D$8,$D$7,0)+IF(B47=$D$10,$D$9,0)+IF(B47=$D$12,$D$11,0)+IF(B47=DATE(YEAR(Hypotheses!$D$6),MONTH(Hypotheses!$D$6)-1,1),$D$13,0))</f>
        <v>-0</v>
      </c>
      <c r="F47" s="27" t="n">
        <f aca="false">G46*$D$16/12</f>
        <v>0</v>
      </c>
      <c r="G47" s="27" t="n">
        <f aca="false">G46+D47+E47+F47</f>
        <v>20603075.5</v>
      </c>
      <c r="H47" s="2" t="n">
        <v>29</v>
      </c>
    </row>
    <row r="48" customFormat="false" ht="15" hidden="false" customHeight="false" outlineLevel="0" collapsed="false">
      <c r="B48" s="30" t="n">
        <f aca="false">DATE(YEAR(B47),MONTH(B47)+1,1)</f>
        <v>47178</v>
      </c>
      <c r="C48" s="27" t="n">
        <f aca="false">IF(B48&gt;=$D$6,$D$5,$D$4)</f>
        <v>1000</v>
      </c>
      <c r="D48" s="27" t="n">
        <f aca="false">C48*Hypotheses!$D$7</f>
        <v>655957</v>
      </c>
      <c r="E48" s="27" t="n">
        <f aca="false">-(IF(B48=$D$8,$D$7,0)+IF(B48=$D$10,$D$9,0)+IF(B48=$D$12,$D$11,0)+IF(B48=DATE(YEAR(Hypotheses!$D$6),MONTH(Hypotheses!$D$6)-1,1),$D$13,0))</f>
        <v>-0</v>
      </c>
      <c r="F48" s="27" t="n">
        <f aca="false">G47*$D$16/12</f>
        <v>0</v>
      </c>
      <c r="G48" s="27" t="n">
        <f aca="false">G47+D48+E48+F48</f>
        <v>21259032.5</v>
      </c>
      <c r="H48" s="2" t="n">
        <v>30</v>
      </c>
    </row>
    <row r="49" customFormat="false" ht="15" hidden="false" customHeight="false" outlineLevel="0" collapsed="false">
      <c r="B49" s="30" t="n">
        <f aca="false">DATE(YEAR(B48),MONTH(B48)+1,1)</f>
        <v>47209</v>
      </c>
      <c r="C49" s="27" t="n">
        <f aca="false">IF(B49&gt;=$D$6,$D$5,$D$4)</f>
        <v>1000</v>
      </c>
      <c r="D49" s="27" t="n">
        <f aca="false">C49*Hypotheses!$D$7</f>
        <v>655957</v>
      </c>
      <c r="E49" s="27" t="n">
        <f aca="false">-(IF(B49=$D$8,$D$7,0)+IF(B49=$D$10,$D$9,0)+IF(B49=$D$12,$D$11,0)+IF(B49=DATE(YEAR(Hypotheses!$D$6),MONTH(Hypotheses!$D$6)-1,1),$D$13,0))</f>
        <v>-0</v>
      </c>
      <c r="F49" s="27" t="n">
        <f aca="false">G48*$D$16/12</f>
        <v>0</v>
      </c>
      <c r="G49" s="27" t="n">
        <f aca="false">G48+D49+E49+F49</f>
        <v>21914989.5</v>
      </c>
      <c r="H49" s="2" t="n">
        <v>31</v>
      </c>
    </row>
    <row r="50" customFormat="false" ht="15" hidden="false" customHeight="false" outlineLevel="0" collapsed="false">
      <c r="B50" s="30" t="n">
        <f aca="false">DATE(YEAR(B49),MONTH(B49)+1,1)</f>
        <v>47239</v>
      </c>
      <c r="C50" s="27" t="n">
        <f aca="false">IF(B50&gt;=$D$6,$D$5,$D$4)</f>
        <v>1000</v>
      </c>
      <c r="D50" s="27" t="n">
        <f aca="false">C50*Hypotheses!$D$7</f>
        <v>655957</v>
      </c>
      <c r="E50" s="27" t="n">
        <f aca="false">-(IF(B50=$D$8,$D$7,0)+IF(B50=$D$10,$D$9,0)+IF(B50=$D$12,$D$11,0)+IF(B50=DATE(YEAR(Hypotheses!$D$6),MONTH(Hypotheses!$D$6)-1,1),$D$13,0))</f>
        <v>-0</v>
      </c>
      <c r="F50" s="27" t="n">
        <f aca="false">G49*$D$16/12</f>
        <v>0</v>
      </c>
      <c r="G50" s="27" t="n">
        <f aca="false">G49+D50+E50+F50</f>
        <v>22570946.5</v>
      </c>
      <c r="H50" s="2" t="n">
        <v>32</v>
      </c>
    </row>
    <row r="51" customFormat="false" ht="15" hidden="false" customHeight="false" outlineLevel="0" collapsed="false">
      <c r="B51" s="30" t="n">
        <f aca="false">DATE(YEAR(B50),MONTH(B50)+1,1)</f>
        <v>47270</v>
      </c>
      <c r="C51" s="27" t="n">
        <f aca="false">IF(B51&gt;=$D$6,$D$5,$D$4)</f>
        <v>1000</v>
      </c>
      <c r="D51" s="27" t="n">
        <f aca="false">C51*Hypotheses!$D$7</f>
        <v>655957</v>
      </c>
      <c r="E51" s="27" t="n">
        <f aca="false">-(IF(B51=$D$8,$D$7,0)+IF(B51=$D$10,$D$9,0)+IF(B51=$D$12,$D$11,0)+IF(B51=DATE(YEAR(Hypotheses!$D$6),MONTH(Hypotheses!$D$6)-1,1),$D$13,0))</f>
        <v>-0</v>
      </c>
      <c r="F51" s="27" t="n">
        <f aca="false">G50*$D$16/12</f>
        <v>0</v>
      </c>
      <c r="G51" s="27" t="n">
        <f aca="false">G50+D51+E51+F51</f>
        <v>23226903.5</v>
      </c>
      <c r="H51" s="2" t="n">
        <v>33</v>
      </c>
    </row>
    <row r="52" customFormat="false" ht="15" hidden="false" customHeight="false" outlineLevel="0" collapsed="false">
      <c r="B52" s="30" t="n">
        <f aca="false">DATE(YEAR(B51),MONTH(B51)+1,1)</f>
        <v>47300</v>
      </c>
      <c r="C52" s="27" t="n">
        <f aca="false">IF(B52&gt;=$D$6,$D$5,$D$4)</f>
        <v>1000</v>
      </c>
      <c r="D52" s="27" t="n">
        <f aca="false">C52*Hypotheses!$D$7</f>
        <v>655957</v>
      </c>
      <c r="E52" s="27" t="n">
        <f aca="false">-(IF(B52=$D$8,$D$7,0)+IF(B52=$D$10,$D$9,0)+IF(B52=$D$12,$D$11,0)+IF(B52=DATE(YEAR(Hypotheses!$D$6),MONTH(Hypotheses!$D$6)-1,1),$D$13,0))</f>
        <v>-0</v>
      </c>
      <c r="F52" s="27" t="n">
        <f aca="false">G51*$D$16/12</f>
        <v>0</v>
      </c>
      <c r="G52" s="27" t="n">
        <f aca="false">G51+D52+E52+F52</f>
        <v>23882860.5</v>
      </c>
      <c r="H52" s="2" t="n">
        <v>34</v>
      </c>
    </row>
    <row r="53" customFormat="false" ht="15" hidden="false" customHeight="false" outlineLevel="0" collapsed="false">
      <c r="B53" s="30" t="n">
        <f aca="false">DATE(YEAR(B52),MONTH(B52)+1,1)</f>
        <v>47331</v>
      </c>
      <c r="C53" s="27" t="n">
        <f aca="false">IF(B53&gt;=$D$6,$D$5,$D$4)</f>
        <v>1000</v>
      </c>
      <c r="D53" s="27" t="n">
        <f aca="false">C53*Hypotheses!$D$7</f>
        <v>655957</v>
      </c>
      <c r="E53" s="27" t="n">
        <f aca="false">-(IF(B53=$D$8,$D$7,0)+IF(B53=$D$10,$D$9,0)+IF(B53=$D$12,$D$11,0)+IF(B53=DATE(YEAR(Hypotheses!$D$6),MONTH(Hypotheses!$D$6)-1,1),$D$13,0))</f>
        <v>-0</v>
      </c>
      <c r="F53" s="27" t="n">
        <f aca="false">G52*$D$16/12</f>
        <v>0</v>
      </c>
      <c r="G53" s="27" t="n">
        <f aca="false">G52+D53+E53+F53</f>
        <v>24538817.5</v>
      </c>
      <c r="H53" s="2" t="n">
        <v>35</v>
      </c>
    </row>
    <row r="54" customFormat="false" ht="15" hidden="false" customHeight="false" outlineLevel="0" collapsed="false">
      <c r="B54" s="30" t="n">
        <f aca="false">DATE(YEAR(B53),MONTH(B53)+1,1)</f>
        <v>47362</v>
      </c>
      <c r="C54" s="27" t="n">
        <f aca="false">IF(B54&gt;=$D$6,$D$5,$D$4)</f>
        <v>1000</v>
      </c>
      <c r="D54" s="27" t="n">
        <f aca="false">C54*Hypotheses!$D$7</f>
        <v>655957</v>
      </c>
      <c r="E54" s="27" t="n">
        <f aca="false">-(IF(B54=$D$8,$D$7,0)+IF(B54=$D$10,$D$9,0)+IF(B54=$D$12,$D$11,0)+IF(B54=DATE(YEAR(Hypotheses!$D$6),MONTH(Hypotheses!$D$6)-1,1),$D$13,0))</f>
        <v>-0</v>
      </c>
      <c r="F54" s="27" t="n">
        <f aca="false">G53*$D$16/12</f>
        <v>0</v>
      </c>
      <c r="G54" s="27" t="n">
        <f aca="false">G53+D54+E54+F54</f>
        <v>25194774.5</v>
      </c>
      <c r="H54" s="2" t="n">
        <v>36</v>
      </c>
    </row>
    <row r="55" customFormat="false" ht="15" hidden="false" customHeight="false" outlineLevel="0" collapsed="false">
      <c r="B55" s="30" t="n">
        <f aca="false">DATE(YEAR(B54),MONTH(B54)+1,1)</f>
        <v>47392</v>
      </c>
      <c r="C55" s="27" t="n">
        <f aca="false">IF(B55&gt;=$D$6,$D$5,$D$4)</f>
        <v>1000</v>
      </c>
      <c r="D55" s="27" t="n">
        <f aca="false">C55*Hypotheses!$D$7</f>
        <v>655957</v>
      </c>
      <c r="E55" s="27" t="n">
        <f aca="false">-(IF(B55=$D$8,$D$7,0)+IF(B55=$D$10,$D$9,0)+IF(B55=$D$12,$D$11,0)+IF(B55=DATE(YEAR(Hypotheses!$D$6),MONTH(Hypotheses!$D$6)-1,1),$D$13,0))</f>
        <v>-0</v>
      </c>
      <c r="F55" s="27" t="n">
        <f aca="false">G54*$D$16/12</f>
        <v>0</v>
      </c>
      <c r="G55" s="27" t="n">
        <f aca="false">G54+D55+E55+F55</f>
        <v>25850731.5</v>
      </c>
      <c r="H55" s="2" t="n">
        <v>37</v>
      </c>
    </row>
    <row r="56" customFormat="false" ht="15" hidden="false" customHeight="false" outlineLevel="0" collapsed="false">
      <c r="B56" s="30" t="n">
        <f aca="false">DATE(YEAR(B55),MONTH(B55)+1,1)</f>
        <v>47423</v>
      </c>
      <c r="C56" s="27" t="n">
        <f aca="false">IF(B56&gt;=$D$6,$D$5,$D$4)</f>
        <v>1000</v>
      </c>
      <c r="D56" s="27" t="n">
        <f aca="false">C56*Hypotheses!$D$7</f>
        <v>655957</v>
      </c>
      <c r="E56" s="27" t="n">
        <f aca="false">-(IF(B56=$D$8,$D$7,0)+IF(B56=$D$10,$D$9,0)+IF(B56=$D$12,$D$11,0)+IF(B56=DATE(YEAR(Hypotheses!$D$6),MONTH(Hypotheses!$D$6)-1,1),$D$13,0))</f>
        <v>-0</v>
      </c>
      <c r="F56" s="27" t="n">
        <f aca="false">G55*$D$16/12</f>
        <v>0</v>
      </c>
      <c r="G56" s="27" t="n">
        <f aca="false">G55+D56+E56+F56</f>
        <v>26506688.5</v>
      </c>
      <c r="H56" s="2" t="n">
        <v>38</v>
      </c>
    </row>
    <row r="57" customFormat="false" ht="15" hidden="false" customHeight="false" outlineLevel="0" collapsed="false">
      <c r="B57" s="30" t="n">
        <f aca="false">DATE(YEAR(B56),MONTH(B56)+1,1)</f>
        <v>47453</v>
      </c>
      <c r="C57" s="27" t="n">
        <f aca="false">IF(B57&gt;=$D$6,$D$5,$D$4)</f>
        <v>1000</v>
      </c>
      <c r="D57" s="27" t="n">
        <f aca="false">C57*Hypotheses!$D$7</f>
        <v>655957</v>
      </c>
      <c r="E57" s="27" t="n">
        <f aca="false">-(IF(B57=$D$8,$D$7,0)+IF(B57=$D$10,$D$9,0)+IF(B57=$D$12,$D$11,0)+IF(B57=DATE(YEAR(Hypotheses!$D$6),MONTH(Hypotheses!$D$6)-1,1),$D$13,0))</f>
        <v>-0</v>
      </c>
      <c r="F57" s="27" t="n">
        <f aca="false">G56*$D$16/12</f>
        <v>0</v>
      </c>
      <c r="G57" s="27" t="n">
        <f aca="false">G56+D57+E57+F57</f>
        <v>27162645.5</v>
      </c>
      <c r="H57" s="2" t="n">
        <v>39</v>
      </c>
    </row>
    <row r="58" customFormat="false" ht="15" hidden="false" customHeight="false" outlineLevel="0" collapsed="false">
      <c r="B58" s="30" t="n">
        <f aca="false">DATE(YEAR(B57),MONTH(B57)+1,1)</f>
        <v>47484</v>
      </c>
      <c r="C58" s="27" t="n">
        <f aca="false">IF(B58&gt;=$D$6,$D$5,$D$4)</f>
        <v>1000</v>
      </c>
      <c r="D58" s="27" t="n">
        <f aca="false">C58*Hypotheses!$D$7</f>
        <v>655957</v>
      </c>
      <c r="E58" s="27" t="n">
        <f aca="false">-(IF(B58=$D$8,$D$7,0)+IF(B58=$D$10,$D$9,0)+IF(B58=$D$12,$D$11,0)+IF(B58=DATE(YEAR(Hypotheses!$D$6),MONTH(Hypotheses!$D$6)-1,1),$D$13,0))</f>
        <v>-0</v>
      </c>
      <c r="F58" s="27" t="n">
        <f aca="false">G57*$D$16/12</f>
        <v>0</v>
      </c>
      <c r="G58" s="27" t="n">
        <f aca="false">G57+D58+E58+F58</f>
        <v>27818602.5</v>
      </c>
      <c r="H58" s="2" t="n">
        <v>40</v>
      </c>
    </row>
    <row r="59" customFormat="false" ht="15" hidden="false" customHeight="false" outlineLevel="0" collapsed="false">
      <c r="B59" s="30" t="n">
        <f aca="false">DATE(YEAR(B58),MONTH(B58)+1,1)</f>
        <v>47515</v>
      </c>
      <c r="C59" s="27" t="n">
        <f aca="false">IF(B59&gt;=$D$6,$D$5,$D$4)</f>
        <v>1000</v>
      </c>
      <c r="D59" s="27" t="n">
        <f aca="false">C59*Hypotheses!$D$7</f>
        <v>655957</v>
      </c>
      <c r="E59" s="27" t="n">
        <f aca="false">-(IF(B59=$D$8,$D$7,0)+IF(B59=$D$10,$D$9,0)+IF(B59=$D$12,$D$11,0)+IF(B59=DATE(YEAR(Hypotheses!$D$6),MONTH(Hypotheses!$D$6)-1,1),$D$13,0))</f>
        <v>-0</v>
      </c>
      <c r="F59" s="27" t="n">
        <f aca="false">G58*$D$16/12</f>
        <v>0</v>
      </c>
      <c r="G59" s="27" t="n">
        <f aca="false">G58+D59+E59+F59</f>
        <v>28474559.5</v>
      </c>
      <c r="H59" s="2" t="n">
        <v>41</v>
      </c>
    </row>
    <row r="60" customFormat="false" ht="15" hidden="false" customHeight="false" outlineLevel="0" collapsed="false">
      <c r="B60" s="30" t="n">
        <f aca="false">DATE(YEAR(B59),MONTH(B59)+1,1)</f>
        <v>47543</v>
      </c>
      <c r="C60" s="27" t="n">
        <f aca="false">IF(B60&gt;=$D$6,$D$5,$D$4)</f>
        <v>1000</v>
      </c>
      <c r="D60" s="27" t="n">
        <f aca="false">C60*Hypotheses!$D$7</f>
        <v>655957</v>
      </c>
      <c r="E60" s="27" t="n">
        <f aca="false">-(IF(B60=$D$8,$D$7,0)+IF(B60=$D$10,$D$9,0)+IF(B60=$D$12,$D$11,0)+IF(B60=DATE(YEAR(Hypotheses!$D$6),MONTH(Hypotheses!$D$6)-1,1),$D$13,0))</f>
        <v>-2000000</v>
      </c>
      <c r="F60" s="27" t="n">
        <f aca="false">G59*$D$16/12</f>
        <v>0</v>
      </c>
      <c r="G60" s="27" t="n">
        <f aca="false">G59+D60+E60+F60</f>
        <v>27130516.5</v>
      </c>
      <c r="H60" s="2" t="n">
        <v>42</v>
      </c>
    </row>
    <row r="61" customFormat="false" ht="15" hidden="false" customHeight="false" outlineLevel="0" collapsed="false">
      <c r="B61" s="30" t="n">
        <f aca="false">DATE(YEAR(B60),MONTH(B60)+1,1)</f>
        <v>47574</v>
      </c>
      <c r="C61" s="27" t="n">
        <f aca="false">IF(B61&gt;=$D$6,$D$5,$D$4)</f>
        <v>1000</v>
      </c>
      <c r="D61" s="27" t="n">
        <f aca="false">C61*Hypotheses!$D$7</f>
        <v>655957</v>
      </c>
      <c r="E61" s="27" t="n">
        <f aca="false">-(IF(B61=$D$8,$D$7,0)+IF(B61=$D$10,$D$9,0)+IF(B61=$D$12,$D$11,0)+IF(B61=DATE(YEAR(Hypotheses!$D$6),MONTH(Hypotheses!$D$6)-1,1),$D$13,0))</f>
        <v>-0</v>
      </c>
      <c r="F61" s="27" t="n">
        <f aca="false">G60*$D$16/12</f>
        <v>0</v>
      </c>
      <c r="G61" s="27" t="n">
        <f aca="false">G60+D61+E61+F61</f>
        <v>27786473.5</v>
      </c>
      <c r="H61" s="2" t="n">
        <v>43</v>
      </c>
    </row>
    <row r="62" customFormat="false" ht="15" hidden="false" customHeight="false" outlineLevel="0" collapsed="false">
      <c r="B62" s="30" t="n">
        <f aca="false">DATE(YEAR(B61),MONTH(B61)+1,1)</f>
        <v>47604</v>
      </c>
      <c r="C62" s="27" t="n">
        <f aca="false">IF(B62&gt;=$D$6,$D$5,$D$4)</f>
        <v>1000</v>
      </c>
      <c r="D62" s="27" t="n">
        <f aca="false">C62*Hypotheses!$D$7</f>
        <v>655957</v>
      </c>
      <c r="E62" s="27" t="n">
        <f aca="false">-(IF(B62=$D$8,$D$7,0)+IF(B62=$D$10,$D$9,0)+IF(B62=$D$12,$D$11,0)+IF(B62=DATE(YEAR(Hypotheses!$D$6),MONTH(Hypotheses!$D$6)-1,1),$D$13,0))</f>
        <v>-0</v>
      </c>
      <c r="F62" s="27" t="n">
        <f aca="false">G61*$D$16/12</f>
        <v>0</v>
      </c>
      <c r="G62" s="27" t="n">
        <f aca="false">G61+D62+E62+F62</f>
        <v>28442430.5</v>
      </c>
      <c r="H62" s="2" t="n">
        <v>44</v>
      </c>
    </row>
    <row r="63" customFormat="false" ht="15" hidden="false" customHeight="false" outlineLevel="0" collapsed="false">
      <c r="B63" s="30" t="n">
        <f aca="false">DATE(YEAR(B62),MONTH(B62)+1,1)</f>
        <v>47635</v>
      </c>
      <c r="C63" s="27" t="n">
        <f aca="false">IF(B63&gt;=$D$6,$D$5,$D$4)</f>
        <v>1000</v>
      </c>
      <c r="D63" s="27" t="n">
        <f aca="false">C63*Hypotheses!$D$7</f>
        <v>655957</v>
      </c>
      <c r="E63" s="27" t="n">
        <f aca="false">-(IF(B63=$D$8,$D$7,0)+IF(B63=$D$10,$D$9,0)+IF(B63=$D$12,$D$11,0)+IF(B63=DATE(YEAR(Hypotheses!$D$6),MONTH(Hypotheses!$D$6)-1,1),$D$13,0))</f>
        <v>-0</v>
      </c>
      <c r="F63" s="27" t="n">
        <f aca="false">G62*$D$16/12</f>
        <v>0</v>
      </c>
      <c r="G63" s="27" t="n">
        <f aca="false">G62+D63+E63+F63</f>
        <v>29098387.5</v>
      </c>
      <c r="H63" s="2" t="n">
        <v>45</v>
      </c>
    </row>
    <row r="64" customFormat="false" ht="15" hidden="false" customHeight="false" outlineLevel="0" collapsed="false">
      <c r="B64" s="30" t="n">
        <f aca="false">DATE(YEAR(B63),MONTH(B63)+1,1)</f>
        <v>47665</v>
      </c>
      <c r="C64" s="27" t="n">
        <f aca="false">IF(B64&gt;=$D$6,$D$5,$D$4)</f>
        <v>1000</v>
      </c>
      <c r="D64" s="27" t="n">
        <f aca="false">C64*Hypotheses!$D$7</f>
        <v>655957</v>
      </c>
      <c r="E64" s="27" t="n">
        <f aca="false">-(IF(B64=$D$8,$D$7,0)+IF(B64=$D$10,$D$9,0)+IF(B64=$D$12,$D$11,0)+IF(B64=DATE(YEAR(Hypotheses!$D$6),MONTH(Hypotheses!$D$6)-1,1),$D$13,0))</f>
        <v>-0</v>
      </c>
      <c r="F64" s="27" t="n">
        <f aca="false">G63*$D$16/12</f>
        <v>0</v>
      </c>
      <c r="G64" s="27" t="n">
        <f aca="false">G63+D64+E64+F64</f>
        <v>29754344.5</v>
      </c>
      <c r="H64" s="2" t="n">
        <v>46</v>
      </c>
    </row>
    <row r="65" customFormat="false" ht="15" hidden="false" customHeight="false" outlineLevel="0" collapsed="false">
      <c r="B65" s="30" t="n">
        <f aca="false">DATE(YEAR(B64),MONTH(B64)+1,1)</f>
        <v>47696</v>
      </c>
      <c r="C65" s="27" t="n">
        <f aca="false">IF(B65&gt;=$D$6,$D$5,$D$4)</f>
        <v>1000</v>
      </c>
      <c r="D65" s="27" t="n">
        <f aca="false">C65*Hypotheses!$D$7</f>
        <v>655957</v>
      </c>
      <c r="E65" s="27" t="n">
        <f aca="false">-(IF(B65=$D$8,$D$7,0)+IF(B65=$D$10,$D$9,0)+IF(B65=$D$12,$D$11,0)+IF(B65=DATE(YEAR(Hypotheses!$D$6),MONTH(Hypotheses!$D$6)-1,1),$D$13,0))</f>
        <v>-0</v>
      </c>
      <c r="F65" s="27" t="n">
        <f aca="false">G64*$D$16/12</f>
        <v>0</v>
      </c>
      <c r="G65" s="27" t="n">
        <f aca="false">G64+D65+E65+F65</f>
        <v>30410301.5</v>
      </c>
      <c r="H65" s="2" t="n">
        <v>47</v>
      </c>
    </row>
    <row r="66" customFormat="false" ht="15" hidden="false" customHeight="false" outlineLevel="0" collapsed="false">
      <c r="B66" s="30" t="n">
        <f aca="false">DATE(YEAR(B65),MONTH(B65)+1,1)</f>
        <v>47727</v>
      </c>
      <c r="C66" s="27" t="n">
        <f aca="false">IF(B66&gt;=$D$6,$D$5,$D$4)</f>
        <v>1000</v>
      </c>
      <c r="D66" s="27" t="n">
        <f aca="false">C66*Hypotheses!$D$7</f>
        <v>655957</v>
      </c>
      <c r="E66" s="27" t="n">
        <f aca="false">-(IF(B66=$D$8,$D$7,0)+IF(B66=$D$10,$D$9,0)+IF(B66=$D$12,$D$11,0)+IF(B66=DATE(YEAR(Hypotheses!$D$6),MONTH(Hypotheses!$D$6)-1,1),$D$13,0))</f>
        <v>-2500000</v>
      </c>
      <c r="F66" s="27" t="n">
        <f aca="false">G65*$D$16/12</f>
        <v>0</v>
      </c>
      <c r="G66" s="27" t="n">
        <f aca="false">G65+D66+E66+F66</f>
        <v>28566258.5</v>
      </c>
      <c r="H66" s="2" t="n">
        <v>48</v>
      </c>
    </row>
    <row r="67" customFormat="false" ht="15" hidden="false" customHeight="false" outlineLevel="0" collapsed="false">
      <c r="B67" s="30" t="n">
        <f aca="false">DATE(YEAR(B66),MONTH(B66)+1,1)</f>
        <v>47757</v>
      </c>
      <c r="C67" s="27" t="n">
        <f aca="false">IF(B67&gt;=$D$6,$D$5,$D$4)</f>
        <v>1000</v>
      </c>
      <c r="D67" s="27" t="n">
        <f aca="false">C67*Hypotheses!$D$7</f>
        <v>655957</v>
      </c>
      <c r="E67" s="27" t="n">
        <f aca="false">-(IF(B67=$D$8,$D$7,0)+IF(B67=$D$10,$D$9,0)+IF(B67=$D$12,$D$11,0)+IF(B67=DATE(YEAR(Hypotheses!$D$6),MONTH(Hypotheses!$D$6)-1,1),$D$13,0))</f>
        <v>-0</v>
      </c>
      <c r="F67" s="27" t="n">
        <f aca="false">G66*$D$16/12</f>
        <v>0</v>
      </c>
      <c r="G67" s="27" t="n">
        <f aca="false">G66+D67+E67+F67</f>
        <v>29222215.5</v>
      </c>
      <c r="H67" s="2" t="n">
        <v>49</v>
      </c>
    </row>
    <row r="68" customFormat="false" ht="15" hidden="false" customHeight="false" outlineLevel="0" collapsed="false">
      <c r="B68" s="30" t="n">
        <f aca="false">DATE(YEAR(B67),MONTH(B67)+1,1)</f>
        <v>47788</v>
      </c>
      <c r="C68" s="27" t="n">
        <f aca="false">IF(B68&gt;=$D$6,$D$5,$D$4)</f>
        <v>1000</v>
      </c>
      <c r="D68" s="27" t="n">
        <f aca="false">C68*Hypotheses!$D$7</f>
        <v>655957</v>
      </c>
      <c r="E68" s="27" t="n">
        <f aca="false">-(IF(B68=$D$8,$D$7,0)+IF(B68=$D$10,$D$9,0)+IF(B68=$D$12,$D$11,0)+IF(B68=DATE(YEAR(Hypotheses!$D$6),MONTH(Hypotheses!$D$6)-1,1),$D$13,0))</f>
        <v>-0</v>
      </c>
      <c r="F68" s="27" t="n">
        <f aca="false">G67*$D$16/12</f>
        <v>0</v>
      </c>
      <c r="G68" s="27" t="n">
        <f aca="false">G67+D68+E68+F68</f>
        <v>29878172.5</v>
      </c>
      <c r="H68" s="2" t="n">
        <v>50</v>
      </c>
    </row>
    <row r="69" customFormat="false" ht="15" hidden="false" customHeight="false" outlineLevel="0" collapsed="false">
      <c r="B69" s="30" t="n">
        <f aca="false">DATE(YEAR(B68),MONTH(B68)+1,1)</f>
        <v>47818</v>
      </c>
      <c r="C69" s="27" t="n">
        <f aca="false">IF(B69&gt;=$D$6,$D$5,$D$4)</f>
        <v>1000</v>
      </c>
      <c r="D69" s="27" t="n">
        <f aca="false">C69*Hypotheses!$D$7</f>
        <v>655957</v>
      </c>
      <c r="E69" s="27" t="n">
        <f aca="false">-(IF(B69=$D$8,$D$7,0)+IF(B69=$D$10,$D$9,0)+IF(B69=$D$12,$D$11,0)+IF(B69=DATE(YEAR(Hypotheses!$D$6),MONTH(Hypotheses!$D$6)-1,1),$D$13,0))</f>
        <v>-0</v>
      </c>
      <c r="F69" s="27" t="n">
        <f aca="false">G68*$D$16/12</f>
        <v>0</v>
      </c>
      <c r="G69" s="27" t="n">
        <f aca="false">G68+D69+E69+F69</f>
        <v>30534129.5</v>
      </c>
      <c r="H69" s="2" t="n">
        <v>51</v>
      </c>
    </row>
    <row r="70" customFormat="false" ht="15" hidden="false" customHeight="false" outlineLevel="0" collapsed="false">
      <c r="B70" s="30" t="n">
        <f aca="false">DATE(YEAR(B69),MONTH(B69)+1,1)</f>
        <v>47849</v>
      </c>
      <c r="C70" s="27" t="n">
        <f aca="false">IF(B70&gt;=$D$6,$D$5,$D$4)</f>
        <v>1000</v>
      </c>
      <c r="D70" s="27" t="n">
        <f aca="false">C70*Hypotheses!$D$7</f>
        <v>655957</v>
      </c>
      <c r="E70" s="27" t="n">
        <f aca="false">-(IF(B70=$D$8,$D$7,0)+IF(B70=$D$10,$D$9,0)+IF(B70=$D$12,$D$11,0)+IF(B70=DATE(YEAR(Hypotheses!$D$6),MONTH(Hypotheses!$D$6)-1,1),$D$13,0))</f>
        <v>-0</v>
      </c>
      <c r="F70" s="27" t="n">
        <f aca="false">G69*$D$16/12</f>
        <v>0</v>
      </c>
      <c r="G70" s="27" t="n">
        <f aca="false">G69+D70+E70+F70</f>
        <v>31190086.5</v>
      </c>
      <c r="H70" s="2" t="n">
        <v>52</v>
      </c>
    </row>
    <row r="71" customFormat="false" ht="15" hidden="false" customHeight="false" outlineLevel="0" collapsed="false">
      <c r="B71" s="30" t="n">
        <f aca="false">DATE(YEAR(B70),MONTH(B70)+1,1)</f>
        <v>47880</v>
      </c>
      <c r="C71" s="27" t="n">
        <f aca="false">IF(B71&gt;=$D$6,$D$5,$D$4)</f>
        <v>1000</v>
      </c>
      <c r="D71" s="27" t="n">
        <f aca="false">C71*Hypotheses!$D$7</f>
        <v>655957</v>
      </c>
      <c r="E71" s="27" t="n">
        <f aca="false">-(IF(B71=$D$8,$D$7,0)+IF(B71=$D$10,$D$9,0)+IF(B71=$D$12,$D$11,0)+IF(B71=DATE(YEAR(Hypotheses!$D$6),MONTH(Hypotheses!$D$6)-1,1),$D$13,0))</f>
        <v>-0</v>
      </c>
      <c r="F71" s="27" t="n">
        <f aca="false">G70*$D$16/12</f>
        <v>0</v>
      </c>
      <c r="G71" s="27" t="n">
        <f aca="false">G70+D71+E71+F71</f>
        <v>31846043.5</v>
      </c>
      <c r="H71" s="2" t="n">
        <v>53</v>
      </c>
    </row>
    <row r="72" customFormat="false" ht="15" hidden="false" customHeight="false" outlineLevel="0" collapsed="false">
      <c r="B72" s="30" t="n">
        <f aca="false">DATE(YEAR(B71),MONTH(B71)+1,1)</f>
        <v>47908</v>
      </c>
      <c r="C72" s="27" t="n">
        <f aca="false">IF(B72&gt;=$D$6,$D$5,$D$4)</f>
        <v>1000</v>
      </c>
      <c r="D72" s="27" t="n">
        <f aca="false">C72*Hypotheses!$D$7</f>
        <v>655957</v>
      </c>
      <c r="E72" s="27" t="n">
        <f aca="false">-(IF(B72=$D$8,$D$7,0)+IF(B72=$D$10,$D$9,0)+IF(B72=$D$12,$D$11,0)+IF(B72=DATE(YEAR(Hypotheses!$D$6),MONTH(Hypotheses!$D$6)-1,1),$D$13,0))</f>
        <v>-0</v>
      </c>
      <c r="F72" s="27" t="n">
        <f aca="false">G71*$D$16/12</f>
        <v>0</v>
      </c>
      <c r="G72" s="27" t="n">
        <f aca="false">G71+D72+E72+F72</f>
        <v>32502000.5</v>
      </c>
      <c r="H72" s="2" t="n">
        <v>54</v>
      </c>
    </row>
    <row r="73" customFormat="false" ht="15" hidden="false" customHeight="false" outlineLevel="0" collapsed="false">
      <c r="B73" s="30" t="n">
        <f aca="false">DATE(YEAR(B72),MONTH(B72)+1,1)</f>
        <v>47939</v>
      </c>
      <c r="C73" s="27" t="n">
        <f aca="false">IF(B73&gt;=$D$6,$D$5,$D$4)</f>
        <v>1000</v>
      </c>
      <c r="D73" s="27" t="n">
        <f aca="false">C73*Hypotheses!$D$7</f>
        <v>655957</v>
      </c>
      <c r="E73" s="27" t="n">
        <f aca="false">-(IF(B73=$D$8,$D$7,0)+IF(B73=$D$10,$D$9,0)+IF(B73=$D$12,$D$11,0)+IF(B73=DATE(YEAR(Hypotheses!$D$6),MONTH(Hypotheses!$D$6)-1,1),$D$13,0))</f>
        <v>-0</v>
      </c>
      <c r="F73" s="27" t="n">
        <f aca="false">G72*$D$16/12</f>
        <v>0</v>
      </c>
      <c r="G73" s="27" t="n">
        <f aca="false">G72+D73+E73+F73</f>
        <v>33157957.5</v>
      </c>
      <c r="H73" s="2" t="n">
        <v>55</v>
      </c>
    </row>
    <row r="74" customFormat="false" ht="15" hidden="false" customHeight="false" outlineLevel="0" collapsed="false">
      <c r="B74" s="30" t="n">
        <f aca="false">DATE(YEAR(B73),MONTH(B73)+1,1)</f>
        <v>47969</v>
      </c>
      <c r="C74" s="27" t="n">
        <f aca="false">IF(B74&gt;=$D$6,$D$5,$D$4)</f>
        <v>1000</v>
      </c>
      <c r="D74" s="27" t="n">
        <f aca="false">C74*Hypotheses!$D$7</f>
        <v>655957</v>
      </c>
      <c r="E74" s="27" t="n">
        <f aca="false">-(IF(B74=$D$8,$D$7,0)+IF(B74=$D$10,$D$9,0)+IF(B74=$D$12,$D$11,0)+IF(B74=DATE(YEAR(Hypotheses!$D$6),MONTH(Hypotheses!$D$6)-1,1),$D$13,0))</f>
        <v>-0</v>
      </c>
      <c r="F74" s="27" t="n">
        <f aca="false">G73*$D$16/12</f>
        <v>0</v>
      </c>
      <c r="G74" s="27" t="n">
        <f aca="false">G73+D74+E74+F74</f>
        <v>33813914.5</v>
      </c>
      <c r="H74" s="2" t="n">
        <v>56</v>
      </c>
    </row>
    <row r="75" customFormat="false" ht="15" hidden="false" customHeight="false" outlineLevel="0" collapsed="false">
      <c r="B75" s="30" t="n">
        <f aca="false">DATE(YEAR(B74),MONTH(B74)+1,1)</f>
        <v>48000</v>
      </c>
      <c r="C75" s="27" t="n">
        <f aca="false">IF(B75&gt;=$D$6,$D$5,$D$4)</f>
        <v>1000</v>
      </c>
      <c r="D75" s="27" t="n">
        <f aca="false">C75*Hypotheses!$D$7</f>
        <v>655957</v>
      </c>
      <c r="E75" s="27" t="n">
        <f aca="false">-(IF(B75=$D$8,$D$7,0)+IF(B75=$D$10,$D$9,0)+IF(B75=$D$12,$D$11,0)+IF(B75=DATE(YEAR(Hypotheses!$D$6),MONTH(Hypotheses!$D$6)-1,1),$D$13,0))</f>
        <v>-0</v>
      </c>
      <c r="F75" s="27" t="n">
        <f aca="false">G74*$D$16/12</f>
        <v>0</v>
      </c>
      <c r="G75" s="27" t="n">
        <f aca="false">G74+D75+E75+F75</f>
        <v>34469871.5</v>
      </c>
      <c r="H75" s="2" t="n">
        <v>57</v>
      </c>
    </row>
    <row r="76" customFormat="false" ht="15" hidden="false" customHeight="false" outlineLevel="0" collapsed="false">
      <c r="B76" s="30" t="n">
        <f aca="false">DATE(YEAR(B75),MONTH(B75)+1,1)</f>
        <v>48030</v>
      </c>
      <c r="C76" s="27" t="n">
        <f aca="false">IF(B76&gt;=$D$6,$D$5,$D$4)</f>
        <v>1000</v>
      </c>
      <c r="D76" s="27" t="n">
        <f aca="false">C76*Hypotheses!$D$7</f>
        <v>655957</v>
      </c>
      <c r="E76" s="27" t="n">
        <f aca="false">-(IF(B76=$D$8,$D$7,0)+IF(B76=$D$10,$D$9,0)+IF(B76=$D$12,$D$11,0)+IF(B76=DATE(YEAR(Hypotheses!$D$6),MONTH(Hypotheses!$D$6)-1,1),$D$13,0))</f>
        <v>-0</v>
      </c>
      <c r="F76" s="27" t="n">
        <f aca="false">G75*$D$16/12</f>
        <v>0</v>
      </c>
      <c r="G76" s="27" t="n">
        <f aca="false">G75+D76+E76+F76</f>
        <v>35125828.5</v>
      </c>
      <c r="H76" s="2" t="n">
        <v>58</v>
      </c>
    </row>
    <row r="77" customFormat="false" ht="15" hidden="false" customHeight="false" outlineLevel="0" collapsed="false">
      <c r="B77" s="30" t="n">
        <f aca="false">DATE(YEAR(B76),MONTH(B76)+1,1)</f>
        <v>48061</v>
      </c>
      <c r="C77" s="27" t="n">
        <f aca="false">IF(B77&gt;=$D$6,$D$5,$D$4)</f>
        <v>1000</v>
      </c>
      <c r="D77" s="27" t="n">
        <f aca="false">C77*Hypotheses!$D$7</f>
        <v>655957</v>
      </c>
      <c r="E77" s="27" t="n">
        <f aca="false">-(IF(B77=$D$8,$D$7,0)+IF(B77=$D$10,$D$9,0)+IF(B77=$D$12,$D$11,0)+IF(B77=DATE(YEAR(Hypotheses!$D$6),MONTH(Hypotheses!$D$6)-1,1),$D$13,0))</f>
        <v>-0</v>
      </c>
      <c r="F77" s="27" t="n">
        <f aca="false">G76*$D$16/12</f>
        <v>0</v>
      </c>
      <c r="G77" s="27" t="n">
        <f aca="false">G76+D77+E77+F77</f>
        <v>35781785.5</v>
      </c>
      <c r="H77" s="2" t="n">
        <v>59</v>
      </c>
    </row>
    <row r="78" customFormat="false" ht="15" hidden="false" customHeight="false" outlineLevel="0" collapsed="false">
      <c r="B78" s="30" t="n">
        <f aca="false">DATE(YEAR(B77),MONTH(B77)+1,1)</f>
        <v>48092</v>
      </c>
      <c r="C78" s="27" t="n">
        <f aca="false">IF(B78&gt;=$D$6,$D$5,$D$4)</f>
        <v>1000</v>
      </c>
      <c r="D78" s="27" t="n">
        <f aca="false">C78*Hypotheses!$D$7</f>
        <v>655957</v>
      </c>
      <c r="E78" s="27" t="n">
        <f aca="false">-(IF(B78=$D$8,$D$7,0)+IF(B78=$D$10,$D$9,0)+IF(B78=$D$12,$D$11,0)+IF(B78=DATE(YEAR(Hypotheses!$D$6),MONTH(Hypotheses!$D$6)-1,1),$D$13,0))</f>
        <v>-0</v>
      </c>
      <c r="F78" s="27" t="n">
        <f aca="false">G77*$D$16/12</f>
        <v>0</v>
      </c>
      <c r="G78" s="27" t="n">
        <f aca="false">G77+D78+E78+F78</f>
        <v>36437742.5</v>
      </c>
      <c r="H78" s="2" t="n">
        <v>60</v>
      </c>
    </row>
    <row r="79" customFormat="false" ht="15" hidden="false" customHeight="false" outlineLevel="0" collapsed="false">
      <c r="B79" s="30" t="n">
        <f aca="false">DATE(YEAR(B78),MONTH(B78)+1,1)</f>
        <v>48122</v>
      </c>
      <c r="C79" s="27" t="n">
        <f aca="false">IF(B79&gt;=$D$6,$D$5,$D$4)</f>
        <v>1000</v>
      </c>
      <c r="D79" s="27" t="n">
        <f aca="false">C79*Hypotheses!$D$7</f>
        <v>655957</v>
      </c>
      <c r="E79" s="27" t="n">
        <f aca="false">-(IF(B79=$D$8,$D$7,0)+IF(B79=$D$10,$D$9,0)+IF(B79=$D$12,$D$11,0)+IF(B79=DATE(YEAR(Hypotheses!$D$6),MONTH(Hypotheses!$D$6)-1,1),$D$13,0))</f>
        <v>-0</v>
      </c>
      <c r="F79" s="27" t="n">
        <f aca="false">G78*$D$16/12</f>
        <v>0</v>
      </c>
      <c r="G79" s="27" t="n">
        <f aca="false">G78+D79+E79+F79</f>
        <v>37093699.5</v>
      </c>
      <c r="H79" s="2" t="n">
        <v>61</v>
      </c>
    </row>
    <row r="80" customFormat="false" ht="15" hidden="false" customHeight="false" outlineLevel="0" collapsed="false">
      <c r="B80" s="30" t="n">
        <f aca="false">DATE(YEAR(B79),MONTH(B79)+1,1)</f>
        <v>48153</v>
      </c>
      <c r="C80" s="27" t="n">
        <f aca="false">IF(B80&gt;=$D$6,$D$5,$D$4)</f>
        <v>1000</v>
      </c>
      <c r="D80" s="27" t="n">
        <f aca="false">C80*Hypotheses!$D$7</f>
        <v>655957</v>
      </c>
      <c r="E80" s="27" t="n">
        <f aca="false">-(IF(B80=$D$8,$D$7,0)+IF(B80=$D$10,$D$9,0)+IF(B80=$D$12,$D$11,0)+IF(B80=DATE(YEAR(Hypotheses!$D$6),MONTH(Hypotheses!$D$6)-1,1),$D$13,0))</f>
        <v>-0</v>
      </c>
      <c r="F80" s="27" t="n">
        <f aca="false">G79*$D$16/12</f>
        <v>0</v>
      </c>
      <c r="G80" s="27" t="n">
        <f aca="false">G79+D80+E80+F80</f>
        <v>37749656.5</v>
      </c>
      <c r="H80" s="2" t="n">
        <v>62</v>
      </c>
    </row>
    <row r="81" customFormat="false" ht="15" hidden="false" customHeight="false" outlineLevel="0" collapsed="false">
      <c r="B81" s="30" t="n">
        <f aca="false">DATE(YEAR(B80),MONTH(B80)+1,1)</f>
        <v>48183</v>
      </c>
      <c r="C81" s="27" t="n">
        <f aca="false">IF(B81&gt;=$D$6,$D$5,$D$4)</f>
        <v>1000</v>
      </c>
      <c r="D81" s="27" t="n">
        <f aca="false">C81*Hypotheses!$D$7</f>
        <v>655957</v>
      </c>
      <c r="E81" s="27" t="n">
        <f aca="false">-(IF(B81=$D$8,$D$7,0)+IF(B81=$D$10,$D$9,0)+IF(B81=$D$12,$D$11,0)+IF(B81=DATE(YEAR(Hypotheses!$D$6),MONTH(Hypotheses!$D$6)-1,1),$D$13,0))</f>
        <v>-0</v>
      </c>
      <c r="F81" s="27" t="n">
        <f aca="false">G80*$D$16/12</f>
        <v>0</v>
      </c>
      <c r="G81" s="27" t="n">
        <f aca="false">G80+D81+E81+F81</f>
        <v>38405613.5</v>
      </c>
      <c r="H81" s="2" t="n">
        <v>63</v>
      </c>
    </row>
    <row r="82" customFormat="false" ht="15" hidden="false" customHeight="false" outlineLevel="0" collapsed="false">
      <c r="B82" s="30" t="n">
        <f aca="false">DATE(YEAR(B81),MONTH(B81)+1,1)</f>
        <v>48214</v>
      </c>
      <c r="C82" s="27" t="n">
        <f aca="false">IF(B82&gt;=$D$6,$D$5,$D$4)</f>
        <v>1000</v>
      </c>
      <c r="D82" s="27" t="n">
        <f aca="false">C82*Hypotheses!$D$7</f>
        <v>655957</v>
      </c>
      <c r="E82" s="27" t="n">
        <f aca="false">-(IF(B82=$D$8,$D$7,0)+IF(B82=$D$10,$D$9,0)+IF(B82=$D$12,$D$11,0)+IF(B82=DATE(YEAR(Hypotheses!$D$6),MONTH(Hypotheses!$D$6)-1,1),$D$13,0))</f>
        <v>-0</v>
      </c>
      <c r="F82" s="27" t="n">
        <f aca="false">G81*$D$16/12</f>
        <v>0</v>
      </c>
      <c r="G82" s="27" t="n">
        <f aca="false">G81+D82+E82+F82</f>
        <v>39061570.5</v>
      </c>
      <c r="H82" s="2" t="n">
        <v>64</v>
      </c>
    </row>
    <row r="83" customFormat="false" ht="15" hidden="false" customHeight="false" outlineLevel="0" collapsed="false">
      <c r="B83" s="30" t="n">
        <f aca="false">DATE(YEAR(B82),MONTH(B82)+1,1)</f>
        <v>48245</v>
      </c>
      <c r="C83" s="27" t="n">
        <f aca="false">IF(B83&gt;=$D$6,$D$5,$D$4)</f>
        <v>1000</v>
      </c>
      <c r="D83" s="27" t="n">
        <f aca="false">C83*Hypotheses!$D$7</f>
        <v>655957</v>
      </c>
      <c r="E83" s="27" t="n">
        <f aca="false">-(IF(B83=$D$8,$D$7,0)+IF(B83=$D$10,$D$9,0)+IF(B83=$D$12,$D$11,0)+IF(B83=DATE(YEAR(Hypotheses!$D$6),MONTH(Hypotheses!$D$6)-1,1),$D$13,0))</f>
        <v>-0</v>
      </c>
      <c r="F83" s="27" t="n">
        <f aca="false">G82*$D$16/12</f>
        <v>0</v>
      </c>
      <c r="G83" s="27" t="n">
        <f aca="false">G82+D83+E83+F83</f>
        <v>39717527.5</v>
      </c>
      <c r="H83" s="2" t="n">
        <v>65</v>
      </c>
    </row>
    <row r="84" customFormat="false" ht="15" hidden="false" customHeight="false" outlineLevel="0" collapsed="false">
      <c r="B84" s="30" t="n">
        <f aca="false">DATE(YEAR(B83),MONTH(B83)+1,1)</f>
        <v>48274</v>
      </c>
      <c r="C84" s="27" t="n">
        <f aca="false">IF(B84&gt;=$D$6,$D$5,$D$4)</f>
        <v>1000</v>
      </c>
      <c r="D84" s="27" t="n">
        <f aca="false">C84*Hypotheses!$D$7</f>
        <v>655957</v>
      </c>
      <c r="E84" s="27" t="n">
        <f aca="false">-(IF(B84=$D$8,$D$7,0)+IF(B84=$D$10,$D$9,0)+IF(B84=$D$12,$D$11,0)+IF(B84=DATE(YEAR(Hypotheses!$D$6),MONTH(Hypotheses!$D$6)-1,1),$D$13,0))</f>
        <v>-0</v>
      </c>
      <c r="F84" s="27" t="n">
        <f aca="false">G83*$D$16/12</f>
        <v>0</v>
      </c>
      <c r="G84" s="27" t="n">
        <f aca="false">G83+D84+E84+F84</f>
        <v>40373484.5</v>
      </c>
      <c r="H84" s="2" t="n">
        <v>66</v>
      </c>
    </row>
    <row r="85" customFormat="false" ht="15" hidden="false" customHeight="false" outlineLevel="0" collapsed="false">
      <c r="B85" s="30" t="n">
        <f aca="false">DATE(YEAR(B84),MONTH(B84)+1,1)</f>
        <v>48305</v>
      </c>
      <c r="C85" s="27" t="n">
        <f aca="false">IF(B85&gt;=$D$6,$D$5,$D$4)</f>
        <v>1000</v>
      </c>
      <c r="D85" s="27" t="n">
        <f aca="false">C85*Hypotheses!$D$7</f>
        <v>655957</v>
      </c>
      <c r="E85" s="27" t="n">
        <f aca="false">-(IF(B85=$D$8,$D$7,0)+IF(B85=$D$10,$D$9,0)+IF(B85=$D$12,$D$11,0)+IF(B85=DATE(YEAR(Hypotheses!$D$6),MONTH(Hypotheses!$D$6)-1,1),$D$13,0))</f>
        <v>-0</v>
      </c>
      <c r="F85" s="27" t="n">
        <f aca="false">G84*$D$16/12</f>
        <v>0</v>
      </c>
      <c r="G85" s="27" t="n">
        <f aca="false">G84+D85+E85+F85</f>
        <v>41029441.5</v>
      </c>
      <c r="H85" s="2" t="n">
        <v>67</v>
      </c>
    </row>
    <row r="86" customFormat="false" ht="15" hidden="false" customHeight="false" outlineLevel="0" collapsed="false">
      <c r="B86" s="30" t="n">
        <f aca="false">DATE(YEAR(B85),MONTH(B85)+1,1)</f>
        <v>48335</v>
      </c>
      <c r="C86" s="27" t="n">
        <f aca="false">IF(B86&gt;=$D$6,$D$5,$D$4)</f>
        <v>1000</v>
      </c>
      <c r="D86" s="27" t="n">
        <f aca="false">C86*Hypotheses!$D$7</f>
        <v>655957</v>
      </c>
      <c r="E86" s="27" t="n">
        <f aca="false">-(IF(B86=$D$8,$D$7,0)+IF(B86=$D$10,$D$9,0)+IF(B86=$D$12,$D$11,0)+IF(B86=DATE(YEAR(Hypotheses!$D$6),MONTH(Hypotheses!$D$6)-1,1),$D$13,0))</f>
        <v>-0</v>
      </c>
      <c r="F86" s="27" t="n">
        <f aca="false">G85*$D$16/12</f>
        <v>0</v>
      </c>
      <c r="G86" s="27" t="n">
        <f aca="false">G85+D86+E86+F86</f>
        <v>41685398.5</v>
      </c>
      <c r="H86" s="2" t="n">
        <v>68</v>
      </c>
    </row>
    <row r="87" customFormat="false" ht="15" hidden="false" customHeight="false" outlineLevel="0" collapsed="false">
      <c r="B87" s="30" t="n">
        <f aca="false">DATE(YEAR(B86),MONTH(B86)+1,1)</f>
        <v>48366</v>
      </c>
      <c r="C87" s="27" t="n">
        <f aca="false">IF(B87&gt;=$D$6,$D$5,$D$4)</f>
        <v>1000</v>
      </c>
      <c r="D87" s="27" t="n">
        <f aca="false">C87*Hypotheses!$D$7</f>
        <v>655957</v>
      </c>
      <c r="E87" s="27" t="n">
        <f aca="false">-(IF(B87=$D$8,$D$7,0)+IF(B87=$D$10,$D$9,0)+IF(B87=$D$12,$D$11,0)+IF(B87=DATE(YEAR(Hypotheses!$D$6),MONTH(Hypotheses!$D$6)-1,1),$D$13,0))</f>
        <v>-0</v>
      </c>
      <c r="F87" s="27" t="n">
        <f aca="false">G86*$D$16/12</f>
        <v>0</v>
      </c>
      <c r="G87" s="27" t="n">
        <f aca="false">G86+D87+E87+F87</f>
        <v>42341355.5</v>
      </c>
      <c r="H87" s="2" t="n">
        <v>69</v>
      </c>
    </row>
    <row r="88" customFormat="false" ht="15" hidden="false" customHeight="false" outlineLevel="0" collapsed="false">
      <c r="B88" s="30" t="n">
        <f aca="false">DATE(YEAR(B87),MONTH(B87)+1,1)</f>
        <v>48396</v>
      </c>
      <c r="C88" s="27" t="n">
        <f aca="false">IF(B88&gt;=$D$6,$D$5,$D$4)</f>
        <v>1000</v>
      </c>
      <c r="D88" s="27" t="n">
        <f aca="false">C88*Hypotheses!$D$7</f>
        <v>655957</v>
      </c>
      <c r="E88" s="27" t="n">
        <f aca="false">-(IF(B88=$D$8,$D$7,0)+IF(B88=$D$10,$D$9,0)+IF(B88=$D$12,$D$11,0)+IF(B88=DATE(YEAR(Hypotheses!$D$6),MONTH(Hypotheses!$D$6)-1,1),$D$13,0))</f>
        <v>-0</v>
      </c>
      <c r="F88" s="27" t="n">
        <f aca="false">G87*$D$16/12</f>
        <v>0</v>
      </c>
      <c r="G88" s="27" t="n">
        <f aca="false">G87+D88+E88+F88</f>
        <v>42997312.5</v>
      </c>
      <c r="H88" s="2" t="n">
        <v>70</v>
      </c>
    </row>
    <row r="89" customFormat="false" ht="15" hidden="false" customHeight="false" outlineLevel="0" collapsed="false">
      <c r="B89" s="30" t="n">
        <f aca="false">DATE(YEAR(B88),MONTH(B88)+1,1)</f>
        <v>48427</v>
      </c>
      <c r="C89" s="27" t="n">
        <f aca="false">IF(B89&gt;=$D$6,$D$5,$D$4)</f>
        <v>1000</v>
      </c>
      <c r="D89" s="27" t="n">
        <f aca="false">C89*Hypotheses!$D$7</f>
        <v>655957</v>
      </c>
      <c r="E89" s="27" t="n">
        <f aca="false">-(IF(B89=$D$8,$D$7,0)+IF(B89=$D$10,$D$9,0)+IF(B89=$D$12,$D$11,0)+IF(B89=DATE(YEAR(Hypotheses!$D$6),MONTH(Hypotheses!$D$6)-1,1),$D$13,0))</f>
        <v>-0</v>
      </c>
      <c r="F89" s="27" t="n">
        <f aca="false">G88*$D$16/12</f>
        <v>0</v>
      </c>
      <c r="G89" s="27" t="n">
        <f aca="false">G88+D89+E89+F89</f>
        <v>43653269.5</v>
      </c>
      <c r="H89" s="2" t="n">
        <v>71</v>
      </c>
    </row>
    <row r="90" customFormat="false" ht="15" hidden="false" customHeight="false" outlineLevel="0" collapsed="false">
      <c r="B90" s="30" t="n">
        <f aca="false">DATE(YEAR(B89),MONTH(B89)+1,1)</f>
        <v>48458</v>
      </c>
      <c r="C90" s="27" t="n">
        <f aca="false">IF(B90&gt;=$D$6,$D$5,$D$4)</f>
        <v>1000</v>
      </c>
      <c r="D90" s="27" t="n">
        <f aca="false">C90*Hypotheses!$D$7</f>
        <v>655957</v>
      </c>
      <c r="E90" s="27" t="n">
        <f aca="false">-(IF(B90=$D$8,$D$7,0)+IF(B90=$D$10,$D$9,0)+IF(B90=$D$12,$D$11,0)+IF(B90=DATE(YEAR(Hypotheses!$D$6),MONTH(Hypotheses!$D$6)-1,1),$D$13,0))</f>
        <v>-0</v>
      </c>
      <c r="F90" s="27" t="n">
        <f aca="false">G89*$D$16/12</f>
        <v>0</v>
      </c>
      <c r="G90" s="27" t="n">
        <f aca="false">G89+D90+E90+F90</f>
        <v>44309226.5</v>
      </c>
      <c r="H90" s="2" t="n">
        <v>72</v>
      </c>
    </row>
    <row r="91" customFormat="false" ht="15" hidden="false" customHeight="false" outlineLevel="0" collapsed="false">
      <c r="B91" s="30" t="n">
        <f aca="false">DATE(YEAR(B90),MONTH(B90)+1,1)</f>
        <v>48488</v>
      </c>
      <c r="C91" s="27" t="n">
        <f aca="false">IF(B91&gt;=$D$6,$D$5,$D$4)</f>
        <v>1000</v>
      </c>
      <c r="D91" s="27" t="n">
        <f aca="false">C91*Hypotheses!$D$7</f>
        <v>655957</v>
      </c>
      <c r="E91" s="27" t="n">
        <f aca="false">-(IF(B91=$D$8,$D$7,0)+IF(B91=$D$10,$D$9,0)+IF(B91=$D$12,$D$11,0)+IF(B91=DATE(YEAR(Hypotheses!$D$6),MONTH(Hypotheses!$D$6)-1,1),$D$13,0))</f>
        <v>-0</v>
      </c>
      <c r="F91" s="27" t="n">
        <f aca="false">G90*$D$16/12</f>
        <v>0</v>
      </c>
      <c r="G91" s="27" t="n">
        <f aca="false">G90+D91+E91+F91</f>
        <v>44965183.5</v>
      </c>
      <c r="H91" s="2" t="n">
        <v>73</v>
      </c>
    </row>
    <row r="92" customFormat="false" ht="15" hidden="false" customHeight="false" outlineLevel="0" collapsed="false">
      <c r="B92" s="30" t="n">
        <f aca="false">DATE(YEAR(B91),MONTH(B91)+1,1)</f>
        <v>48519</v>
      </c>
      <c r="C92" s="27" t="n">
        <f aca="false">IF(B92&gt;=$D$6,$D$5,$D$4)</f>
        <v>1000</v>
      </c>
      <c r="D92" s="27" t="n">
        <f aca="false">C92*Hypotheses!$D$7</f>
        <v>655957</v>
      </c>
      <c r="E92" s="27" t="n">
        <f aca="false">-(IF(B92=$D$8,$D$7,0)+IF(B92=$D$10,$D$9,0)+IF(B92=$D$12,$D$11,0)+IF(B92=DATE(YEAR(Hypotheses!$D$6),MONTH(Hypotheses!$D$6)-1,1),$D$13,0))</f>
        <v>-0</v>
      </c>
      <c r="F92" s="27" t="n">
        <f aca="false">G91*$D$16/12</f>
        <v>0</v>
      </c>
      <c r="G92" s="27" t="n">
        <f aca="false">G91+D92+E92+F92</f>
        <v>45621140.5</v>
      </c>
      <c r="H92" s="2" t="n">
        <v>74</v>
      </c>
    </row>
    <row r="93" customFormat="false" ht="15" hidden="false" customHeight="false" outlineLevel="0" collapsed="false">
      <c r="B93" s="30" t="n">
        <f aca="false">DATE(YEAR(B92),MONTH(B92)+1,1)</f>
        <v>48549</v>
      </c>
      <c r="C93" s="27" t="n">
        <f aca="false">IF(B93&gt;=$D$6,$D$5,$D$4)</f>
        <v>1000</v>
      </c>
      <c r="D93" s="27" t="n">
        <f aca="false">C93*Hypotheses!$D$7</f>
        <v>655957</v>
      </c>
      <c r="E93" s="27" t="n">
        <f aca="false">-(IF(B93=$D$8,$D$7,0)+IF(B93=$D$10,$D$9,0)+IF(B93=$D$12,$D$11,0)+IF(B93=DATE(YEAR(Hypotheses!$D$6),MONTH(Hypotheses!$D$6)-1,1),$D$13,0))</f>
        <v>-0</v>
      </c>
      <c r="F93" s="27" t="n">
        <f aca="false">G92*$D$16/12</f>
        <v>0</v>
      </c>
      <c r="G93" s="27" t="n">
        <f aca="false">G92+D93+E93+F93</f>
        <v>46277097.5</v>
      </c>
      <c r="H93" s="2" t="n">
        <v>75</v>
      </c>
    </row>
    <row r="94" customFormat="false" ht="15" hidden="false" customHeight="false" outlineLevel="0" collapsed="false">
      <c r="B94" s="30" t="n">
        <f aca="false">DATE(YEAR(B93),MONTH(B93)+1,1)</f>
        <v>48580</v>
      </c>
      <c r="C94" s="27" t="n">
        <f aca="false">IF(B94&gt;=$D$6,$D$5,$D$4)</f>
        <v>1000</v>
      </c>
      <c r="D94" s="27" t="n">
        <f aca="false">C94*Hypotheses!$D$7</f>
        <v>655957</v>
      </c>
      <c r="E94" s="27" t="n">
        <f aca="false">-(IF(B94=$D$8,$D$7,0)+IF(B94=$D$10,$D$9,0)+IF(B94=$D$12,$D$11,0)+IF(B94=DATE(YEAR(Hypotheses!$D$6),MONTH(Hypotheses!$D$6)-1,1),$D$13,0))</f>
        <v>-0</v>
      </c>
      <c r="F94" s="27" t="n">
        <f aca="false">G93*$D$16/12</f>
        <v>0</v>
      </c>
      <c r="G94" s="27" t="n">
        <f aca="false">G93+D94+E94+F94</f>
        <v>46933054.5</v>
      </c>
      <c r="H94" s="2" t="n">
        <v>76</v>
      </c>
    </row>
    <row r="95" customFormat="false" ht="15" hidden="false" customHeight="false" outlineLevel="0" collapsed="false">
      <c r="B95" s="30" t="n">
        <f aca="false">DATE(YEAR(B94),MONTH(B94)+1,1)</f>
        <v>48611</v>
      </c>
      <c r="C95" s="27" t="n">
        <f aca="false">IF(B95&gt;=$D$6,$D$5,$D$4)</f>
        <v>1000</v>
      </c>
      <c r="D95" s="27" t="n">
        <f aca="false">C95*Hypotheses!$D$7</f>
        <v>655957</v>
      </c>
      <c r="E95" s="27" t="n">
        <f aca="false">-(IF(B95=$D$8,$D$7,0)+IF(B95=$D$10,$D$9,0)+IF(B95=$D$12,$D$11,0)+IF(B95=DATE(YEAR(Hypotheses!$D$6),MONTH(Hypotheses!$D$6)-1,1),$D$13,0))</f>
        <v>-0</v>
      </c>
      <c r="F95" s="27" t="n">
        <f aca="false">G94*$D$16/12</f>
        <v>0</v>
      </c>
      <c r="G95" s="27" t="n">
        <f aca="false">G94+D95+E95+F95</f>
        <v>47589011.5</v>
      </c>
      <c r="H95" s="2" t="n">
        <v>77</v>
      </c>
    </row>
    <row r="96" customFormat="false" ht="15" hidden="false" customHeight="false" outlineLevel="0" collapsed="false">
      <c r="B96" s="30" t="n">
        <f aca="false">DATE(YEAR(B95),MONTH(B95)+1,1)</f>
        <v>48639</v>
      </c>
      <c r="C96" s="27" t="n">
        <f aca="false">IF(B96&gt;=$D$6,$D$5,$D$4)</f>
        <v>1000</v>
      </c>
      <c r="D96" s="27" t="n">
        <f aca="false">C96*Hypotheses!$D$7</f>
        <v>655957</v>
      </c>
      <c r="E96" s="27" t="n">
        <f aca="false">-(IF(B96=$D$8,$D$7,0)+IF(B96=$D$10,$D$9,0)+IF(B96=$D$12,$D$11,0)+IF(B96=DATE(YEAR(Hypotheses!$D$6),MONTH(Hypotheses!$D$6)-1,1),$D$13,0))</f>
        <v>-0</v>
      </c>
      <c r="F96" s="27" t="n">
        <f aca="false">G95*$D$16/12</f>
        <v>0</v>
      </c>
      <c r="G96" s="27" t="n">
        <f aca="false">G95+D96+E96+F96</f>
        <v>48244968.5</v>
      </c>
      <c r="H96" s="2" t="n">
        <v>78</v>
      </c>
    </row>
    <row r="97" customFormat="false" ht="15" hidden="false" customHeight="false" outlineLevel="0" collapsed="false">
      <c r="B97" s="30" t="n">
        <f aca="false">DATE(YEAR(B96),MONTH(B96)+1,1)</f>
        <v>48670</v>
      </c>
      <c r="C97" s="27" t="n">
        <f aca="false">IF(B97&gt;=$D$6,$D$5,$D$4)</f>
        <v>1000</v>
      </c>
      <c r="D97" s="27" t="n">
        <f aca="false">C97*Hypotheses!$D$7</f>
        <v>655957</v>
      </c>
      <c r="E97" s="27" t="n">
        <f aca="false">-(IF(B97=$D$8,$D$7,0)+IF(B97=$D$10,$D$9,0)+IF(B97=$D$12,$D$11,0)+IF(B97=DATE(YEAR(Hypotheses!$D$6),MONTH(Hypotheses!$D$6)-1,1),$D$13,0))</f>
        <v>-0</v>
      </c>
      <c r="F97" s="27" t="n">
        <f aca="false">G96*$D$16/12</f>
        <v>0</v>
      </c>
      <c r="G97" s="27" t="n">
        <f aca="false">G96+D97+E97+F97</f>
        <v>48900925.5</v>
      </c>
      <c r="H97" s="2" t="n">
        <v>79</v>
      </c>
    </row>
    <row r="98" customFormat="false" ht="15" hidden="false" customHeight="false" outlineLevel="0" collapsed="false">
      <c r="B98" s="30" t="n">
        <f aca="false">DATE(YEAR(B97),MONTH(B97)+1,1)</f>
        <v>48700</v>
      </c>
      <c r="C98" s="27" t="n">
        <f aca="false">IF(B98&gt;=$D$6,$D$5,$D$4)</f>
        <v>1000</v>
      </c>
      <c r="D98" s="27" t="n">
        <f aca="false">C98*Hypotheses!$D$7</f>
        <v>655957</v>
      </c>
      <c r="E98" s="27" t="n">
        <f aca="false">-(IF(B98=$D$8,$D$7,0)+IF(B98=$D$10,$D$9,0)+IF(B98=$D$12,$D$11,0)+IF(B98=DATE(YEAR(Hypotheses!$D$6),MONTH(Hypotheses!$D$6)-1,1),$D$13,0))</f>
        <v>-0</v>
      </c>
      <c r="F98" s="27" t="n">
        <f aca="false">G97*$D$16/12</f>
        <v>0</v>
      </c>
      <c r="G98" s="27" t="n">
        <f aca="false">G97+D98+E98+F98</f>
        <v>49556882.5</v>
      </c>
      <c r="H98" s="2" t="n">
        <v>80</v>
      </c>
    </row>
    <row r="99" customFormat="false" ht="15" hidden="false" customHeight="false" outlineLevel="0" collapsed="false">
      <c r="B99" s="30" t="n">
        <f aca="false">DATE(YEAR(B98),MONTH(B98)+1,1)</f>
        <v>48731</v>
      </c>
      <c r="C99" s="27" t="n">
        <f aca="false">IF(B99&gt;=$D$6,$D$5,$D$4)</f>
        <v>1000</v>
      </c>
      <c r="D99" s="27" t="n">
        <f aca="false">C99*Hypotheses!$D$7</f>
        <v>655957</v>
      </c>
      <c r="E99" s="27" t="n">
        <f aca="false">-(IF(B99=$D$8,$D$7,0)+IF(B99=$D$10,$D$9,0)+IF(B99=$D$12,$D$11,0)+IF(B99=DATE(YEAR(Hypotheses!$D$6),MONTH(Hypotheses!$D$6)-1,1),$D$13,0))</f>
        <v>-0</v>
      </c>
      <c r="F99" s="27" t="n">
        <f aca="false">G98*$D$16/12</f>
        <v>0</v>
      </c>
      <c r="G99" s="27" t="n">
        <f aca="false">G98+D99+E99+F99</f>
        <v>50212839.5</v>
      </c>
      <c r="H99" s="2" t="n">
        <v>81</v>
      </c>
    </row>
    <row r="100" customFormat="false" ht="15" hidden="false" customHeight="false" outlineLevel="0" collapsed="false">
      <c r="B100" s="30" t="n">
        <f aca="false">DATE(YEAR(B99),MONTH(B99)+1,1)</f>
        <v>48761</v>
      </c>
      <c r="C100" s="27" t="n">
        <f aca="false">IF(B100&gt;=$D$6,$D$5,$D$4)</f>
        <v>1000</v>
      </c>
      <c r="D100" s="27" t="n">
        <f aca="false">C100*Hypotheses!$D$7</f>
        <v>655957</v>
      </c>
      <c r="E100" s="27" t="n">
        <f aca="false">-(IF(B100=$D$8,$D$7,0)+IF(B100=$D$10,$D$9,0)+IF(B100=$D$12,$D$11,0)+IF(B100=DATE(YEAR(Hypotheses!$D$6),MONTH(Hypotheses!$D$6)-1,1),$D$13,0))</f>
        <v>-0</v>
      </c>
      <c r="F100" s="27" t="n">
        <f aca="false">G99*$D$16/12</f>
        <v>0</v>
      </c>
      <c r="G100" s="27" t="n">
        <f aca="false">G99+D100+E100+F100</f>
        <v>50868796.5</v>
      </c>
      <c r="H100" s="2" t="n">
        <v>82</v>
      </c>
    </row>
    <row r="101" customFormat="false" ht="15" hidden="false" customHeight="false" outlineLevel="0" collapsed="false">
      <c r="B101" s="30" t="n">
        <f aca="false">DATE(YEAR(B100),MONTH(B100)+1,1)</f>
        <v>48792</v>
      </c>
      <c r="C101" s="27" t="n">
        <f aca="false">IF(B101&gt;=$D$6,$D$5,$D$4)</f>
        <v>1000</v>
      </c>
      <c r="D101" s="27" t="n">
        <f aca="false">C101*Hypotheses!$D$7</f>
        <v>655957</v>
      </c>
      <c r="E101" s="27" t="n">
        <f aca="false">-(IF(B101=$D$8,$D$7,0)+IF(B101=$D$10,$D$9,0)+IF(B101=$D$12,$D$11,0)+IF(B101=DATE(YEAR(Hypotheses!$D$6),MONTH(Hypotheses!$D$6)-1,1),$D$13,0))</f>
        <v>-0</v>
      </c>
      <c r="F101" s="27" t="n">
        <f aca="false">G100*$D$16/12</f>
        <v>0</v>
      </c>
      <c r="G101" s="27" t="n">
        <f aca="false">G100+D101+E101+F101</f>
        <v>51524753.5</v>
      </c>
      <c r="H101" s="2" t="n">
        <v>83</v>
      </c>
    </row>
    <row r="102" customFormat="false" ht="15" hidden="false" customHeight="false" outlineLevel="0" collapsed="false">
      <c r="B102" s="30" t="n">
        <f aca="false">DATE(YEAR(B101),MONTH(B101)+1,1)</f>
        <v>48823</v>
      </c>
      <c r="C102" s="27" t="n">
        <f aca="false">IF(B102&gt;=$D$6,$D$5,$D$4)</f>
        <v>1000</v>
      </c>
      <c r="D102" s="27" t="n">
        <f aca="false">C102*Hypotheses!$D$7</f>
        <v>655957</v>
      </c>
      <c r="E102" s="27" t="n">
        <f aca="false">-(IF(B102=$D$8,$D$7,0)+IF(B102=$D$10,$D$9,0)+IF(B102=$D$12,$D$11,0)+IF(B102=DATE(YEAR(Hypotheses!$D$6),MONTH(Hypotheses!$D$6)-1,1),$D$13,0))</f>
        <v>-0</v>
      </c>
      <c r="F102" s="27" t="n">
        <f aca="false">G101*$D$16/12</f>
        <v>0</v>
      </c>
      <c r="G102" s="27" t="n">
        <f aca="false">G101+D102+E102+F102</f>
        <v>52180710.5</v>
      </c>
      <c r="H102" s="2" t="n">
        <v>84</v>
      </c>
    </row>
    <row r="103" customFormat="false" ht="15" hidden="false" customHeight="false" outlineLevel="0" collapsed="false">
      <c r="B103" s="30" t="n">
        <f aca="false">DATE(YEAR(B102),MONTH(B102)+1,1)</f>
        <v>48853</v>
      </c>
      <c r="C103" s="27" t="n">
        <f aca="false">IF(B103&gt;=$D$6,$D$5,$D$4)</f>
        <v>1000</v>
      </c>
      <c r="D103" s="27" t="n">
        <f aca="false">C103*Hypotheses!$D$7</f>
        <v>655957</v>
      </c>
      <c r="E103" s="27" t="n">
        <f aca="false">-(IF(B103=$D$8,$D$7,0)+IF(B103=$D$10,$D$9,0)+IF(B103=$D$12,$D$11,0)+IF(B103=DATE(YEAR(Hypotheses!$D$6),MONTH(Hypotheses!$D$6)-1,1),$D$13,0))</f>
        <v>-0</v>
      </c>
      <c r="F103" s="27" t="n">
        <f aca="false">G102*$D$16/12</f>
        <v>0</v>
      </c>
      <c r="G103" s="27" t="n">
        <f aca="false">G102+D103+E103+F103</f>
        <v>52836667.5</v>
      </c>
      <c r="H103" s="2" t="n">
        <v>85</v>
      </c>
    </row>
    <row r="104" customFormat="false" ht="15" hidden="false" customHeight="false" outlineLevel="0" collapsed="false">
      <c r="B104" s="30" t="n">
        <f aca="false">DATE(YEAR(B103),MONTH(B103)+1,1)</f>
        <v>48884</v>
      </c>
      <c r="C104" s="27" t="n">
        <f aca="false">IF(B104&gt;=$D$6,$D$5,$D$4)</f>
        <v>1000</v>
      </c>
      <c r="D104" s="27" t="n">
        <f aca="false">C104*Hypotheses!$D$7</f>
        <v>655957</v>
      </c>
      <c r="E104" s="27" t="n">
        <f aca="false">-(IF(B104=$D$8,$D$7,0)+IF(B104=$D$10,$D$9,0)+IF(B104=$D$12,$D$11,0)+IF(B104=DATE(YEAR(Hypotheses!$D$6),MONTH(Hypotheses!$D$6)-1,1),$D$13,0))</f>
        <v>-0</v>
      </c>
      <c r="F104" s="27" t="n">
        <f aca="false">G103*$D$16/12</f>
        <v>0</v>
      </c>
      <c r="G104" s="27" t="n">
        <f aca="false">G103+D104+E104+F104</f>
        <v>53492624.5</v>
      </c>
      <c r="H104" s="2" t="n">
        <v>86</v>
      </c>
    </row>
    <row r="105" customFormat="false" ht="15" hidden="false" customHeight="false" outlineLevel="0" collapsed="false">
      <c r="B105" s="30" t="n">
        <f aca="false">DATE(YEAR(B104),MONTH(B104)+1,1)</f>
        <v>48914</v>
      </c>
      <c r="C105" s="27" t="n">
        <f aca="false">IF(B105&gt;=$D$6,$D$5,$D$4)</f>
        <v>1000</v>
      </c>
      <c r="D105" s="27" t="n">
        <f aca="false">C105*Hypotheses!$D$7</f>
        <v>655957</v>
      </c>
      <c r="E105" s="27" t="n">
        <f aca="false">-(IF(B105=$D$8,$D$7,0)+IF(B105=$D$10,$D$9,0)+IF(B105=$D$12,$D$11,0)+IF(B105=DATE(YEAR(Hypotheses!$D$6),MONTH(Hypotheses!$D$6)-1,1),$D$13,0))</f>
        <v>-0</v>
      </c>
      <c r="F105" s="27" t="n">
        <f aca="false">G104*$D$16/12</f>
        <v>0</v>
      </c>
      <c r="G105" s="27" t="n">
        <f aca="false">G104+D105+E105+F105</f>
        <v>54148581.5</v>
      </c>
      <c r="H105" s="2" t="n">
        <v>87</v>
      </c>
    </row>
    <row r="106" customFormat="false" ht="15" hidden="false" customHeight="false" outlineLevel="0" collapsed="false">
      <c r="B106" s="30" t="n">
        <f aca="false">DATE(YEAR(B105),MONTH(B105)+1,1)</f>
        <v>48945</v>
      </c>
      <c r="C106" s="27" t="n">
        <f aca="false">IF(B106&gt;=$D$6,$D$5,$D$4)</f>
        <v>1000</v>
      </c>
      <c r="D106" s="27" t="n">
        <f aca="false">C106*Hypotheses!$D$7</f>
        <v>655957</v>
      </c>
      <c r="E106" s="27" t="n">
        <f aca="false">-(IF(B106=$D$8,$D$7,0)+IF(B106=$D$10,$D$9,0)+IF(B106=$D$12,$D$11,0)+IF(B106=DATE(YEAR(Hypotheses!$D$6),MONTH(Hypotheses!$D$6)-1,1),$D$13,0))</f>
        <v>-0</v>
      </c>
      <c r="F106" s="27" t="n">
        <f aca="false">G105*$D$16/12</f>
        <v>0</v>
      </c>
      <c r="G106" s="27" t="n">
        <f aca="false">G105+D106+E106+F106</f>
        <v>54804538.5</v>
      </c>
      <c r="H106" s="2" t="n">
        <v>88</v>
      </c>
    </row>
    <row r="107" customFormat="false" ht="15" hidden="false" customHeight="false" outlineLevel="0" collapsed="false">
      <c r="B107" s="30" t="n">
        <f aca="false">DATE(YEAR(B106),MONTH(B106)+1,1)</f>
        <v>48976</v>
      </c>
      <c r="C107" s="27" t="n">
        <f aca="false">IF(B107&gt;=$D$6,$D$5,$D$4)</f>
        <v>1000</v>
      </c>
      <c r="D107" s="27" t="n">
        <f aca="false">C107*Hypotheses!$D$7</f>
        <v>655957</v>
      </c>
      <c r="E107" s="27" t="n">
        <f aca="false">-(IF(B107=$D$8,$D$7,0)+IF(B107=$D$10,$D$9,0)+IF(B107=$D$12,$D$11,0)+IF(B107=DATE(YEAR(Hypotheses!$D$6),MONTH(Hypotheses!$D$6)-1,1),$D$13,0))</f>
        <v>-0</v>
      </c>
      <c r="F107" s="27" t="n">
        <f aca="false">G106*$D$16/12</f>
        <v>0</v>
      </c>
      <c r="G107" s="27" t="n">
        <f aca="false">G106+D107+E107+F107</f>
        <v>55460495.5</v>
      </c>
      <c r="H107" s="2" t="n">
        <v>89</v>
      </c>
    </row>
    <row r="108" customFormat="false" ht="15" hidden="false" customHeight="false" outlineLevel="0" collapsed="false">
      <c r="B108" s="30" t="n">
        <f aca="false">DATE(YEAR(B107),MONTH(B107)+1,1)</f>
        <v>49004</v>
      </c>
      <c r="C108" s="27" t="n">
        <f aca="false">IF(B108&gt;=$D$6,$D$5,$D$4)</f>
        <v>1000</v>
      </c>
      <c r="D108" s="27" t="n">
        <f aca="false">C108*Hypotheses!$D$7</f>
        <v>655957</v>
      </c>
      <c r="E108" s="27" t="n">
        <f aca="false">-(IF(B108=$D$8,$D$7,0)+IF(B108=$D$10,$D$9,0)+IF(B108=$D$12,$D$11,0)+IF(B108=DATE(YEAR(Hypotheses!$D$6),MONTH(Hypotheses!$D$6)-1,1),$D$13,0))</f>
        <v>-0</v>
      </c>
      <c r="F108" s="27" t="n">
        <f aca="false">G107*$D$16/12</f>
        <v>0</v>
      </c>
      <c r="G108" s="27" t="n">
        <f aca="false">G107+D108+E108+F108</f>
        <v>56116452.5</v>
      </c>
      <c r="H108" s="2" t="n">
        <v>90</v>
      </c>
    </row>
    <row r="109" customFormat="false" ht="15" hidden="false" customHeight="false" outlineLevel="0" collapsed="false">
      <c r="B109" s="30" t="n">
        <f aca="false">DATE(YEAR(B108),MONTH(B108)+1,1)</f>
        <v>49035</v>
      </c>
      <c r="C109" s="27" t="n">
        <f aca="false">IF(B109&gt;=$D$6,$D$5,$D$4)</f>
        <v>1000</v>
      </c>
      <c r="D109" s="27" t="n">
        <f aca="false">C109*Hypotheses!$D$7</f>
        <v>655957</v>
      </c>
      <c r="E109" s="27" t="n">
        <f aca="false">-(IF(B109=$D$8,$D$7,0)+IF(B109=$D$10,$D$9,0)+IF(B109=$D$12,$D$11,0)+IF(B109=DATE(YEAR(Hypotheses!$D$6),MONTH(Hypotheses!$D$6)-1,1),$D$13,0))</f>
        <v>-0</v>
      </c>
      <c r="F109" s="27" t="n">
        <f aca="false">G108*$D$16/12</f>
        <v>0</v>
      </c>
      <c r="G109" s="27" t="n">
        <f aca="false">G108+D109+E109+F109</f>
        <v>56772409.5</v>
      </c>
      <c r="H109" s="2" t="n">
        <v>91</v>
      </c>
    </row>
    <row r="110" customFormat="false" ht="15" hidden="false" customHeight="false" outlineLevel="0" collapsed="false">
      <c r="B110" s="30" t="n">
        <f aca="false">DATE(YEAR(B109),MONTH(B109)+1,1)</f>
        <v>49065</v>
      </c>
      <c r="C110" s="27" t="n">
        <f aca="false">IF(B110&gt;=$D$6,$D$5,$D$4)</f>
        <v>1000</v>
      </c>
      <c r="D110" s="27" t="n">
        <f aca="false">C110*Hypotheses!$D$7</f>
        <v>655957</v>
      </c>
      <c r="E110" s="27" t="n">
        <f aca="false">-(IF(B110=$D$8,$D$7,0)+IF(B110=$D$10,$D$9,0)+IF(B110=$D$12,$D$11,0)+IF(B110=DATE(YEAR(Hypotheses!$D$6),MONTH(Hypotheses!$D$6)-1,1),$D$13,0))</f>
        <v>-0</v>
      </c>
      <c r="F110" s="27" t="n">
        <f aca="false">G109*$D$16/12</f>
        <v>0</v>
      </c>
      <c r="G110" s="27" t="n">
        <f aca="false">G109+D110+E110+F110</f>
        <v>57428366.5</v>
      </c>
      <c r="H110" s="2" t="n">
        <v>92</v>
      </c>
    </row>
    <row r="111" customFormat="false" ht="15" hidden="false" customHeight="false" outlineLevel="0" collapsed="false">
      <c r="B111" s="30" t="n">
        <f aca="false">DATE(YEAR(B110),MONTH(B110)+1,1)</f>
        <v>49096</v>
      </c>
      <c r="C111" s="27" t="n">
        <f aca="false">IF(B111&gt;=$D$6,$D$5,$D$4)</f>
        <v>1000</v>
      </c>
      <c r="D111" s="27" t="n">
        <f aca="false">C111*Hypotheses!$D$7</f>
        <v>655957</v>
      </c>
      <c r="E111" s="27" t="n">
        <f aca="false">-(IF(B111=$D$8,$D$7,0)+IF(B111=$D$10,$D$9,0)+IF(B111=$D$12,$D$11,0)+IF(B111=DATE(YEAR(Hypotheses!$D$6),MONTH(Hypotheses!$D$6)-1,1),$D$13,0))</f>
        <v>-0</v>
      </c>
      <c r="F111" s="27" t="n">
        <f aca="false">G110*$D$16/12</f>
        <v>0</v>
      </c>
      <c r="G111" s="27" t="n">
        <f aca="false">G110+D111+E111+F111</f>
        <v>58084323.5</v>
      </c>
      <c r="H111" s="2" t="n">
        <v>93</v>
      </c>
    </row>
    <row r="112" customFormat="false" ht="15" hidden="false" customHeight="false" outlineLevel="0" collapsed="false">
      <c r="B112" s="30" t="n">
        <f aca="false">DATE(YEAR(B111),MONTH(B111)+1,1)</f>
        <v>49126</v>
      </c>
      <c r="C112" s="27" t="n">
        <f aca="false">IF(B112&gt;=$D$6,$D$5,$D$4)</f>
        <v>1000</v>
      </c>
      <c r="D112" s="27" t="n">
        <f aca="false">C112*Hypotheses!$D$7</f>
        <v>655957</v>
      </c>
      <c r="E112" s="27" t="n">
        <f aca="false">-(IF(B112=$D$8,$D$7,0)+IF(B112=$D$10,$D$9,0)+IF(B112=$D$12,$D$11,0)+IF(B112=DATE(YEAR(Hypotheses!$D$6),MONTH(Hypotheses!$D$6)-1,1),$D$13,0))</f>
        <v>-0</v>
      </c>
      <c r="F112" s="27" t="n">
        <f aca="false">G111*$D$16/12</f>
        <v>0</v>
      </c>
      <c r="G112" s="27" t="n">
        <f aca="false">G111+D112+E112+F112</f>
        <v>58740280.5</v>
      </c>
      <c r="H112" s="2" t="n">
        <v>94</v>
      </c>
    </row>
    <row r="113" customFormat="false" ht="15" hidden="false" customHeight="false" outlineLevel="0" collapsed="false">
      <c r="B113" s="30" t="n">
        <f aca="false">DATE(YEAR(B112),MONTH(B112)+1,1)</f>
        <v>49157</v>
      </c>
      <c r="C113" s="27" t="n">
        <f aca="false">IF(B113&gt;=$D$6,$D$5,$D$4)</f>
        <v>1000</v>
      </c>
      <c r="D113" s="27" t="n">
        <f aca="false">C113*Hypotheses!$D$7</f>
        <v>655957</v>
      </c>
      <c r="E113" s="27" t="n">
        <f aca="false">-(IF(B113=$D$8,$D$7,0)+IF(B113=$D$10,$D$9,0)+IF(B113=$D$12,$D$11,0)+IF(B113=DATE(YEAR(Hypotheses!$D$6),MONTH(Hypotheses!$D$6)-1,1),$D$13,0))</f>
        <v>-0</v>
      </c>
      <c r="F113" s="27" t="n">
        <f aca="false">G112*$D$16/12</f>
        <v>0</v>
      </c>
      <c r="G113" s="27" t="n">
        <f aca="false">G112+D113+E113+F113</f>
        <v>59396237.5</v>
      </c>
      <c r="H113" s="2" t="n">
        <v>95</v>
      </c>
    </row>
    <row r="114" customFormat="false" ht="15" hidden="false" customHeight="false" outlineLevel="0" collapsed="false">
      <c r="B114" s="30" t="n">
        <f aca="false">DATE(YEAR(B113),MONTH(B113)+1,1)</f>
        <v>49188</v>
      </c>
      <c r="C114" s="27" t="n">
        <f aca="false">IF(B114&gt;=$D$6,$D$5,$D$4)</f>
        <v>1000</v>
      </c>
      <c r="D114" s="27" t="n">
        <f aca="false">C114*Hypotheses!$D$7</f>
        <v>655957</v>
      </c>
      <c r="E114" s="27" t="n">
        <f aca="false">-(IF(B114=$D$8,$D$7,0)+IF(B114=$D$10,$D$9,0)+IF(B114=$D$12,$D$11,0)+IF(B114=DATE(YEAR(Hypotheses!$D$6),MONTH(Hypotheses!$D$6)-1,1),$D$13,0))</f>
        <v>-0</v>
      </c>
      <c r="F114" s="27" t="n">
        <f aca="false">G113*$D$16/12</f>
        <v>0</v>
      </c>
      <c r="G114" s="27" t="n">
        <f aca="false">G113+D114+E114+F114</f>
        <v>60052194.5</v>
      </c>
      <c r="H114" s="2" t="n">
        <v>96</v>
      </c>
    </row>
    <row r="115" customFormat="false" ht="15" hidden="false" customHeight="false" outlineLevel="0" collapsed="false">
      <c r="B115" s="30" t="n">
        <f aca="false">DATE(YEAR(B114),MONTH(B114)+1,1)</f>
        <v>49218</v>
      </c>
      <c r="C115" s="27" t="n">
        <f aca="false">IF(B115&gt;=$D$6,$D$5,$D$4)</f>
        <v>1000</v>
      </c>
      <c r="D115" s="27" t="n">
        <f aca="false">C115*Hypotheses!$D$7</f>
        <v>655957</v>
      </c>
      <c r="E115" s="27" t="n">
        <f aca="false">-(IF(B115=$D$8,$D$7,0)+IF(B115=$D$10,$D$9,0)+IF(B115=$D$12,$D$11,0)+IF(B115=DATE(YEAR(Hypotheses!$D$6),MONTH(Hypotheses!$D$6)-1,1),$D$13,0))</f>
        <v>-0</v>
      </c>
      <c r="F115" s="27" t="n">
        <f aca="false">G114*$D$16/12</f>
        <v>0</v>
      </c>
      <c r="G115" s="27" t="n">
        <f aca="false">G114+D115+E115+F115</f>
        <v>60708151.5</v>
      </c>
      <c r="H115" s="2" t="n">
        <v>97</v>
      </c>
    </row>
    <row r="116" customFormat="false" ht="15" hidden="false" customHeight="false" outlineLevel="0" collapsed="false">
      <c r="B116" s="30" t="n">
        <f aca="false">DATE(YEAR(B115),MONTH(B115)+1,1)</f>
        <v>49249</v>
      </c>
      <c r="C116" s="27" t="n">
        <f aca="false">IF(B116&gt;=$D$6,$D$5,$D$4)</f>
        <v>1000</v>
      </c>
      <c r="D116" s="27" t="n">
        <f aca="false">C116*Hypotheses!$D$7</f>
        <v>655957</v>
      </c>
      <c r="E116" s="27" t="n">
        <f aca="false">-(IF(B116=$D$8,$D$7,0)+IF(B116=$D$10,$D$9,0)+IF(B116=$D$12,$D$11,0)+IF(B116=DATE(YEAR(Hypotheses!$D$6),MONTH(Hypotheses!$D$6)-1,1),$D$13,0))</f>
        <v>-0</v>
      </c>
      <c r="F116" s="27" t="n">
        <f aca="false">G115*$D$16/12</f>
        <v>0</v>
      </c>
      <c r="G116" s="27" t="n">
        <f aca="false">G115+D116+E116+F116</f>
        <v>61364108.5</v>
      </c>
      <c r="H116" s="2" t="n">
        <v>98</v>
      </c>
    </row>
    <row r="117" customFormat="false" ht="15" hidden="false" customHeight="false" outlineLevel="0" collapsed="false">
      <c r="B117" s="30" t="n">
        <f aca="false">DATE(YEAR(B116),MONTH(B116)+1,1)</f>
        <v>49279</v>
      </c>
      <c r="C117" s="27" t="n">
        <f aca="false">IF(B117&gt;=$D$6,$D$5,$D$4)</f>
        <v>1000</v>
      </c>
      <c r="D117" s="27" t="n">
        <f aca="false">C117*Hypotheses!$D$7</f>
        <v>655957</v>
      </c>
      <c r="E117" s="27" t="n">
        <f aca="false">-(IF(B117=$D$8,$D$7,0)+IF(B117=$D$10,$D$9,0)+IF(B117=$D$12,$D$11,0)+IF(B117=DATE(YEAR(Hypotheses!$D$6),MONTH(Hypotheses!$D$6)-1,1),$D$13,0))</f>
        <v>-0</v>
      </c>
      <c r="F117" s="27" t="n">
        <f aca="false">G116*$D$16/12</f>
        <v>0</v>
      </c>
      <c r="G117" s="27" t="n">
        <f aca="false">G116+D117+E117+F117</f>
        <v>62020065.5</v>
      </c>
      <c r="H117" s="2" t="n">
        <v>99</v>
      </c>
    </row>
    <row r="118" customFormat="false" ht="15" hidden="false" customHeight="false" outlineLevel="0" collapsed="false">
      <c r="B118" s="30" t="n">
        <f aca="false">DATE(YEAR(B117),MONTH(B117)+1,1)</f>
        <v>49310</v>
      </c>
      <c r="C118" s="27" t="n">
        <f aca="false">IF(B118&gt;=$D$6,$D$5,$D$4)</f>
        <v>1000</v>
      </c>
      <c r="D118" s="27" t="n">
        <f aca="false">C118*Hypotheses!$D$7</f>
        <v>655957</v>
      </c>
      <c r="E118" s="27" t="n">
        <f aca="false">-(IF(B118=$D$8,$D$7,0)+IF(B118=$D$10,$D$9,0)+IF(B118=$D$12,$D$11,0)+IF(B118=DATE(YEAR(Hypotheses!$D$6),MONTH(Hypotheses!$D$6)-1,1),$D$13,0))</f>
        <v>-0</v>
      </c>
      <c r="F118" s="27" t="n">
        <f aca="false">G117*$D$16/12</f>
        <v>0</v>
      </c>
      <c r="G118" s="27" t="n">
        <f aca="false">G117+D118+E118+F118</f>
        <v>62676022.5</v>
      </c>
      <c r="H118" s="2" t="n">
        <v>100</v>
      </c>
    </row>
    <row r="119" customFormat="false" ht="15" hidden="false" customHeight="false" outlineLevel="0" collapsed="false">
      <c r="B119" s="30" t="n">
        <f aca="false">DATE(YEAR(B118),MONTH(B118)+1,1)</f>
        <v>49341</v>
      </c>
      <c r="C119" s="27" t="n">
        <f aca="false">IF(B119&gt;=$D$6,$D$5,$D$4)</f>
        <v>1000</v>
      </c>
      <c r="D119" s="27" t="n">
        <f aca="false">C119*Hypotheses!$D$7</f>
        <v>655957</v>
      </c>
      <c r="E119" s="27" t="n">
        <f aca="false">-(IF(B119=$D$8,$D$7,0)+IF(B119=$D$10,$D$9,0)+IF(B119=$D$12,$D$11,0)+IF(B119=DATE(YEAR(Hypotheses!$D$6),MONTH(Hypotheses!$D$6)-1,1),$D$13,0))</f>
        <v>-0</v>
      </c>
      <c r="F119" s="27" t="n">
        <f aca="false">G118*$D$16/12</f>
        <v>0</v>
      </c>
      <c r="G119" s="27" t="n">
        <f aca="false">G118+D119+E119+F119</f>
        <v>63331979.5</v>
      </c>
      <c r="H119" s="2" t="n">
        <v>101</v>
      </c>
    </row>
    <row r="120" customFormat="false" ht="15" hidden="false" customHeight="false" outlineLevel="0" collapsed="false">
      <c r="B120" s="30" t="n">
        <f aca="false">DATE(YEAR(B119),MONTH(B119)+1,1)</f>
        <v>49369</v>
      </c>
      <c r="C120" s="27" t="n">
        <f aca="false">IF(B120&gt;=$D$6,$D$5,$D$4)</f>
        <v>1000</v>
      </c>
      <c r="D120" s="27" t="n">
        <f aca="false">C120*Hypotheses!$D$7</f>
        <v>655957</v>
      </c>
      <c r="E120" s="27" t="n">
        <f aca="false">-(IF(B120=$D$8,$D$7,0)+IF(B120=$D$10,$D$9,0)+IF(B120=$D$12,$D$11,0)+IF(B120=DATE(YEAR(Hypotheses!$D$6),MONTH(Hypotheses!$D$6)-1,1),$D$13,0))</f>
        <v>-0</v>
      </c>
      <c r="F120" s="27" t="n">
        <f aca="false">G119*$D$16/12</f>
        <v>0</v>
      </c>
      <c r="G120" s="27" t="n">
        <f aca="false">G119+D120+E120+F120</f>
        <v>63987936.5</v>
      </c>
      <c r="H120" s="2" t="n">
        <v>102</v>
      </c>
    </row>
    <row r="121" customFormat="false" ht="15" hidden="false" customHeight="false" outlineLevel="0" collapsed="false">
      <c r="B121" s="30" t="n">
        <f aca="false">DATE(YEAR(B120),MONTH(B120)+1,1)</f>
        <v>49400</v>
      </c>
      <c r="C121" s="27" t="n">
        <f aca="false">IF(B121&gt;=$D$6,$D$5,$D$4)</f>
        <v>1000</v>
      </c>
      <c r="D121" s="27" t="n">
        <f aca="false">C121*Hypotheses!$D$7</f>
        <v>655957</v>
      </c>
      <c r="E121" s="27" t="n">
        <f aca="false">-(IF(B121=$D$8,$D$7,0)+IF(B121=$D$10,$D$9,0)+IF(B121=$D$12,$D$11,0)+IF(B121=DATE(YEAR(Hypotheses!$D$6),MONTH(Hypotheses!$D$6)-1,1),$D$13,0))</f>
        <v>-0</v>
      </c>
      <c r="F121" s="27" t="n">
        <f aca="false">G120*$D$16/12</f>
        <v>0</v>
      </c>
      <c r="G121" s="27" t="n">
        <f aca="false">G120+D121+E121+F121</f>
        <v>64643893.5</v>
      </c>
      <c r="H121" s="2" t="n">
        <v>103</v>
      </c>
    </row>
    <row r="122" customFormat="false" ht="15" hidden="false" customHeight="false" outlineLevel="0" collapsed="false">
      <c r="B122" s="30" t="n">
        <f aca="false">DATE(YEAR(B121),MONTH(B121)+1,1)</f>
        <v>49430</v>
      </c>
      <c r="C122" s="27" t="n">
        <f aca="false">IF(B122&gt;=$D$6,$D$5,$D$4)</f>
        <v>1000</v>
      </c>
      <c r="D122" s="27" t="n">
        <f aca="false">C122*Hypotheses!$D$7</f>
        <v>655957</v>
      </c>
      <c r="E122" s="27" t="n">
        <f aca="false">-(IF(B122=$D$8,$D$7,0)+IF(B122=$D$10,$D$9,0)+IF(B122=$D$12,$D$11,0)+IF(B122=DATE(YEAR(Hypotheses!$D$6),MONTH(Hypotheses!$D$6)-1,1),$D$13,0))</f>
        <v>-0</v>
      </c>
      <c r="F122" s="27" t="n">
        <f aca="false">G121*$D$16/12</f>
        <v>0</v>
      </c>
      <c r="G122" s="27" t="n">
        <f aca="false">G121+D122+E122+F122</f>
        <v>65299850.5</v>
      </c>
      <c r="H122" s="2" t="n">
        <v>104</v>
      </c>
    </row>
    <row r="123" customFormat="false" ht="15" hidden="false" customHeight="false" outlineLevel="0" collapsed="false">
      <c r="B123" s="30" t="n">
        <f aca="false">DATE(YEAR(B122),MONTH(B122)+1,1)</f>
        <v>49461</v>
      </c>
      <c r="C123" s="27" t="n">
        <f aca="false">IF(B123&gt;=$D$6,$D$5,$D$4)</f>
        <v>1000</v>
      </c>
      <c r="D123" s="27" t="n">
        <f aca="false">C123*Hypotheses!$D$7</f>
        <v>655957</v>
      </c>
      <c r="E123" s="27" t="n">
        <f aca="false">-(IF(B123=$D$8,$D$7,0)+IF(B123=$D$10,$D$9,0)+IF(B123=$D$12,$D$11,0)+IF(B123=DATE(YEAR(Hypotheses!$D$6),MONTH(Hypotheses!$D$6)-1,1),$D$13,0))</f>
        <v>-0</v>
      </c>
      <c r="F123" s="27" t="n">
        <f aca="false">G122*$D$16/12</f>
        <v>0</v>
      </c>
      <c r="G123" s="27" t="n">
        <f aca="false">G122+D123+E123+F123</f>
        <v>65955807.5</v>
      </c>
      <c r="H123" s="2" t="n">
        <v>105</v>
      </c>
    </row>
    <row r="124" customFormat="false" ht="15" hidden="false" customHeight="false" outlineLevel="0" collapsed="false">
      <c r="B124" s="30" t="n">
        <f aca="false">DATE(YEAR(B123),MONTH(B123)+1,1)</f>
        <v>49491</v>
      </c>
      <c r="C124" s="27" t="n">
        <f aca="false">IF(B124&gt;=$D$6,$D$5,$D$4)</f>
        <v>1000</v>
      </c>
      <c r="D124" s="27" t="n">
        <f aca="false">C124*Hypotheses!$D$7</f>
        <v>655957</v>
      </c>
      <c r="E124" s="27" t="n">
        <f aca="false">-(IF(B124=$D$8,$D$7,0)+IF(B124=$D$10,$D$9,0)+IF(B124=$D$12,$D$11,0)+IF(B124=DATE(YEAR(Hypotheses!$D$6),MONTH(Hypotheses!$D$6)-1,1),$D$13,0))</f>
        <v>-0</v>
      </c>
      <c r="F124" s="27" t="n">
        <f aca="false">G123*$D$16/12</f>
        <v>0</v>
      </c>
      <c r="G124" s="27" t="n">
        <f aca="false">G123+D124+E124+F124</f>
        <v>66611764.5</v>
      </c>
      <c r="H124" s="2" t="n">
        <v>106</v>
      </c>
    </row>
    <row r="125" customFormat="false" ht="15" hidden="false" customHeight="false" outlineLevel="0" collapsed="false">
      <c r="B125" s="30" t="n">
        <f aca="false">DATE(YEAR(B124),MONTH(B124)+1,1)</f>
        <v>49522</v>
      </c>
      <c r="C125" s="27" t="n">
        <f aca="false">IF(B125&gt;=$D$6,$D$5,$D$4)</f>
        <v>1000</v>
      </c>
      <c r="D125" s="27" t="n">
        <f aca="false">C125*Hypotheses!$D$7</f>
        <v>655957</v>
      </c>
      <c r="E125" s="27" t="n">
        <f aca="false">-(IF(B125=$D$8,$D$7,0)+IF(B125=$D$10,$D$9,0)+IF(B125=$D$12,$D$11,0)+IF(B125=DATE(YEAR(Hypotheses!$D$6),MONTH(Hypotheses!$D$6)-1,1),$D$13,0))</f>
        <v>-0</v>
      </c>
      <c r="F125" s="27" t="n">
        <f aca="false">G124*$D$16/12</f>
        <v>0</v>
      </c>
      <c r="G125" s="27" t="n">
        <f aca="false">G124+D125+E125+F125</f>
        <v>67267721.5</v>
      </c>
      <c r="H125" s="2" t="n">
        <v>107</v>
      </c>
    </row>
    <row r="126" customFormat="false" ht="15" hidden="false" customHeight="false" outlineLevel="0" collapsed="false">
      <c r="B126" s="30" t="n">
        <f aca="false">DATE(YEAR(B125),MONTH(B125)+1,1)</f>
        <v>49553</v>
      </c>
      <c r="C126" s="27" t="n">
        <f aca="false">IF(B126&gt;=$D$6,$D$5,$D$4)</f>
        <v>1000</v>
      </c>
      <c r="D126" s="27" t="n">
        <f aca="false">C126*Hypotheses!$D$7</f>
        <v>655957</v>
      </c>
      <c r="E126" s="27" t="n">
        <f aca="false">-(IF(B126=$D$8,$D$7,0)+IF(B126=$D$10,$D$9,0)+IF(B126=$D$12,$D$11,0)+IF(B126=DATE(YEAR(Hypotheses!$D$6),MONTH(Hypotheses!$D$6)-1,1),$D$13,0))</f>
        <v>-0</v>
      </c>
      <c r="F126" s="27" t="n">
        <f aca="false">G125*$D$16/12</f>
        <v>0</v>
      </c>
      <c r="G126" s="27" t="n">
        <f aca="false">G125+D126+E126+F126</f>
        <v>67923678.5</v>
      </c>
      <c r="H126" s="2" t="n">
        <v>108</v>
      </c>
    </row>
    <row r="128" customFormat="false" ht="15" hidden="false" customHeight="false" outlineLevel="0" collapsed="false">
      <c r="B128" s="3" t="s">
        <v>256</v>
      </c>
      <c r="G128" s="28" t="n">
        <f aca="false">INDEX(G19:G126,MATCH(DATE(YEAR(Hypotheses!$D$6),MONTH(Hypotheses!$D$6)-1,1),B19:B126,0))</f>
        <v>28566258.5</v>
      </c>
    </row>
    <row r="129" customFormat="false" ht="15" hidden="false" customHeight="false" outlineLevel="0" collapsed="false">
      <c r="B129" s="2" t="s">
        <v>257</v>
      </c>
      <c r="G129" s="12" t="n">
        <f aca="false">-$D$14*$D$15</f>
        <v>-4200000</v>
      </c>
    </row>
    <row r="130" customFormat="false" ht="15" hidden="false" customHeight="false" outlineLevel="0" collapsed="false">
      <c r="B130" s="3" t="s">
        <v>258</v>
      </c>
      <c r="G130" s="31" t="n">
        <f aca="false">G128+G129</f>
        <v>24366258.5</v>
      </c>
    </row>
    <row r="131" customFormat="false" ht="15" hidden="false" customHeight="false" outlineLevel="0" collapsed="false">
      <c r="B131" s="2" t="s">
        <v>259</v>
      </c>
      <c r="G131" s="12" t="n">
        <f aca="false">G130/Hypotheses!$D$7</f>
        <v>37146.121620777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4" min="4" style="0" width="12"/>
  </cols>
  <sheetData>
    <row r="1" customFormat="false" ht="17.35" hidden="false" customHeight="false" outlineLevel="0" collapsed="false">
      <c r="B1" s="1" t="s">
        <v>260</v>
      </c>
    </row>
    <row r="3" customFormat="false" ht="15" hidden="false" customHeight="false" outlineLevel="0" collapsed="false">
      <c r="B3" s="5" t="s">
        <v>255</v>
      </c>
      <c r="C3" s="5"/>
      <c r="D3" s="32" t="n">
        <f aca="false">0</f>
        <v>0</v>
      </c>
      <c r="E3" s="32" t="n">
        <f aca="false">D3+1</f>
        <v>1</v>
      </c>
      <c r="F3" s="32" t="n">
        <f aca="false">E3+1</f>
        <v>2</v>
      </c>
      <c r="G3" s="32" t="n">
        <f aca="false">F3+1</f>
        <v>3</v>
      </c>
      <c r="H3" s="32" t="n">
        <f aca="false">G3+1</f>
        <v>4</v>
      </c>
      <c r="I3" s="32" t="n">
        <f aca="false">H3+1</f>
        <v>5</v>
      </c>
      <c r="J3" s="32" t="n">
        <f aca="false">I3+1</f>
        <v>6</v>
      </c>
      <c r="K3" s="32" t="n">
        <f aca="false">J3+1</f>
        <v>7</v>
      </c>
      <c r="L3" s="32" t="n">
        <f aca="false">K3+1</f>
        <v>8</v>
      </c>
      <c r="M3" s="32" t="n">
        <f aca="false">L3+1</f>
        <v>9</v>
      </c>
      <c r="N3" s="32" t="n">
        <f aca="false">M3+1</f>
        <v>10</v>
      </c>
      <c r="O3" s="32" t="n">
        <f aca="false">N3+1</f>
        <v>11</v>
      </c>
      <c r="P3" s="32" t="n">
        <f aca="false">O3+1</f>
        <v>12</v>
      </c>
      <c r="Q3" s="32" t="n">
        <f aca="false">P3+1</f>
        <v>13</v>
      </c>
      <c r="R3" s="32" t="n">
        <f aca="false">Q3+1</f>
        <v>14</v>
      </c>
      <c r="S3" s="32" t="n">
        <f aca="false">R3+1</f>
        <v>15</v>
      </c>
      <c r="T3" s="32" t="n">
        <f aca="false">S3+1</f>
        <v>16</v>
      </c>
      <c r="U3" s="32" t="n">
        <f aca="false">T3+1</f>
        <v>17</v>
      </c>
      <c r="V3" s="32" t="n">
        <f aca="false">U3+1</f>
        <v>18</v>
      </c>
      <c r="W3" s="32" t="n">
        <f aca="false">V3+1</f>
        <v>19</v>
      </c>
      <c r="X3" s="32" t="n">
        <f aca="false">W3+1</f>
        <v>20</v>
      </c>
      <c r="Y3" s="32" t="n">
        <f aca="false">X3+1</f>
        <v>21</v>
      </c>
      <c r="Z3" s="32" t="n">
        <f aca="false">Y3+1</f>
        <v>22</v>
      </c>
      <c r="AA3" s="32" t="n">
        <f aca="false">Z3+1</f>
        <v>23</v>
      </c>
      <c r="AB3" s="32" t="n">
        <f aca="false">AA3+1</f>
        <v>24</v>
      </c>
      <c r="AC3" s="32" t="n">
        <f aca="false">AB3+1</f>
        <v>25</v>
      </c>
      <c r="AD3" s="32" t="n">
        <f aca="false">AC3+1</f>
        <v>26</v>
      </c>
      <c r="AE3" s="32" t="n">
        <f aca="false">AD3+1</f>
        <v>27</v>
      </c>
      <c r="AF3" s="32" t="n">
        <f aca="false">AE3+1</f>
        <v>28</v>
      </c>
      <c r="AG3" s="32" t="n">
        <f aca="false">AF3+1</f>
        <v>29</v>
      </c>
      <c r="AH3" s="32" t="n">
        <f aca="false">AG3+1</f>
        <v>30</v>
      </c>
      <c r="AI3" s="32" t="n">
        <f aca="false">AH3+1</f>
        <v>31</v>
      </c>
      <c r="AJ3" s="32" t="n">
        <f aca="false">AI3+1</f>
        <v>32</v>
      </c>
      <c r="AK3" s="32" t="n">
        <f aca="false">AJ3+1</f>
        <v>33</v>
      </c>
      <c r="AL3" s="32" t="n">
        <f aca="false">AK3+1</f>
        <v>34</v>
      </c>
      <c r="AM3" s="32" t="n">
        <f aca="false">AL3+1</f>
        <v>35</v>
      </c>
      <c r="AN3" s="32" t="n">
        <f aca="false">AM3+1</f>
        <v>36</v>
      </c>
      <c r="AO3" s="32" t="n">
        <f aca="false">AN3+1</f>
        <v>37</v>
      </c>
      <c r="AP3" s="32" t="n">
        <f aca="false">AO3+1</f>
        <v>38</v>
      </c>
      <c r="AQ3" s="32" t="n">
        <f aca="false">AP3+1</f>
        <v>39</v>
      </c>
      <c r="AR3" s="32" t="n">
        <f aca="false">AQ3+1</f>
        <v>40</v>
      </c>
      <c r="AS3" s="32" t="n">
        <f aca="false">AR3+1</f>
        <v>41</v>
      </c>
      <c r="AT3" s="32" t="n">
        <f aca="false">AS3+1</f>
        <v>42</v>
      </c>
      <c r="AU3" s="32" t="n">
        <f aca="false">AT3+1</f>
        <v>43</v>
      </c>
      <c r="AV3" s="32" t="n">
        <f aca="false">AU3+1</f>
        <v>44</v>
      </c>
      <c r="AW3" s="32" t="n">
        <f aca="false">AV3+1</f>
        <v>45</v>
      </c>
      <c r="AX3" s="32" t="n">
        <f aca="false">AW3+1</f>
        <v>46</v>
      </c>
      <c r="AY3" s="32" t="n">
        <f aca="false">AX3+1</f>
        <v>47</v>
      </c>
      <c r="AZ3" s="32" t="n">
        <f aca="false">AY3+1</f>
        <v>48</v>
      </c>
      <c r="BA3" s="32" t="n">
        <f aca="false">AZ3+1</f>
        <v>49</v>
      </c>
      <c r="BB3" s="32" t="n">
        <f aca="false">BA3+1</f>
        <v>50</v>
      </c>
      <c r="BC3" s="32" t="n">
        <f aca="false">BB3+1</f>
        <v>51</v>
      </c>
      <c r="BD3" s="32" t="n">
        <f aca="false">BC3+1</f>
        <v>52</v>
      </c>
      <c r="BE3" s="32" t="n">
        <f aca="false">BD3+1</f>
        <v>53</v>
      </c>
      <c r="BF3" s="32" t="n">
        <f aca="false">BE3+1</f>
        <v>54</v>
      </c>
      <c r="BG3" s="32" t="n">
        <f aca="false">BF3+1</f>
        <v>55</v>
      </c>
      <c r="BH3" s="32" t="n">
        <f aca="false">BG3+1</f>
        <v>56</v>
      </c>
      <c r="BI3" s="32" t="n">
        <f aca="false">BH3+1</f>
        <v>57</v>
      </c>
      <c r="BJ3" s="32" t="n">
        <f aca="false">BI3+1</f>
        <v>58</v>
      </c>
      <c r="BK3" s="32" t="n">
        <f aca="false">BJ3+1</f>
        <v>59</v>
      </c>
      <c r="BL3" s="32" t="n">
        <f aca="false">BK3+1</f>
        <v>60</v>
      </c>
    </row>
    <row r="4" customFormat="false" ht="15" hidden="false" customHeight="false" outlineLevel="0" collapsed="false">
      <c r="B4" s="5" t="s">
        <v>249</v>
      </c>
      <c r="C4" s="5"/>
      <c r="D4" s="33" t="n">
        <f aca="false">DATE(YEAR(Hypotheses!$D$6),MONTH(Hypotheses!$D$6)-1,1)</f>
        <v>47727</v>
      </c>
      <c r="E4" s="33" t="n">
        <f aca="false">DATE(YEAR(D4),MONTH(D4)+1,1)</f>
        <v>47757</v>
      </c>
      <c r="F4" s="33" t="n">
        <f aca="false">DATE(YEAR(E4),MONTH(E4)+1,1)</f>
        <v>47788</v>
      </c>
      <c r="G4" s="33" t="n">
        <f aca="false">DATE(YEAR(F4),MONTH(F4)+1,1)</f>
        <v>47818</v>
      </c>
      <c r="H4" s="33" t="n">
        <f aca="false">DATE(YEAR(G4),MONTH(G4)+1,1)</f>
        <v>47849</v>
      </c>
      <c r="I4" s="33" t="n">
        <f aca="false">DATE(YEAR(H4),MONTH(H4)+1,1)</f>
        <v>47880</v>
      </c>
      <c r="J4" s="33" t="n">
        <f aca="false">DATE(YEAR(I4),MONTH(I4)+1,1)</f>
        <v>47908</v>
      </c>
      <c r="K4" s="33" t="n">
        <f aca="false">DATE(YEAR(J4),MONTH(J4)+1,1)</f>
        <v>47939</v>
      </c>
      <c r="L4" s="33" t="n">
        <f aca="false">DATE(YEAR(K4),MONTH(K4)+1,1)</f>
        <v>47969</v>
      </c>
      <c r="M4" s="33" t="n">
        <f aca="false">DATE(YEAR(L4),MONTH(L4)+1,1)</f>
        <v>48000</v>
      </c>
      <c r="N4" s="33" t="n">
        <f aca="false">DATE(YEAR(M4),MONTH(M4)+1,1)</f>
        <v>48030</v>
      </c>
      <c r="O4" s="33" t="n">
        <f aca="false">DATE(YEAR(N4),MONTH(N4)+1,1)</f>
        <v>48061</v>
      </c>
      <c r="P4" s="33" t="n">
        <f aca="false">DATE(YEAR(O4),MONTH(O4)+1,1)</f>
        <v>48092</v>
      </c>
      <c r="Q4" s="33" t="n">
        <f aca="false">DATE(YEAR(P4),MONTH(P4)+1,1)</f>
        <v>48122</v>
      </c>
      <c r="R4" s="33" t="n">
        <f aca="false">DATE(YEAR(Q4),MONTH(Q4)+1,1)</f>
        <v>48153</v>
      </c>
      <c r="S4" s="33" t="n">
        <f aca="false">DATE(YEAR(R4),MONTH(R4)+1,1)</f>
        <v>48183</v>
      </c>
      <c r="T4" s="33" t="n">
        <f aca="false">DATE(YEAR(S4),MONTH(S4)+1,1)</f>
        <v>48214</v>
      </c>
      <c r="U4" s="33" t="n">
        <f aca="false">DATE(YEAR(T4),MONTH(T4)+1,1)</f>
        <v>48245</v>
      </c>
      <c r="V4" s="33" t="n">
        <f aca="false">DATE(YEAR(U4),MONTH(U4)+1,1)</f>
        <v>48274</v>
      </c>
      <c r="W4" s="33" t="n">
        <f aca="false">DATE(YEAR(V4),MONTH(V4)+1,1)</f>
        <v>48305</v>
      </c>
      <c r="X4" s="33" t="n">
        <f aca="false">DATE(YEAR(W4),MONTH(W4)+1,1)</f>
        <v>48335</v>
      </c>
      <c r="Y4" s="33" t="n">
        <f aca="false">DATE(YEAR(X4),MONTH(X4)+1,1)</f>
        <v>48366</v>
      </c>
      <c r="Z4" s="33" t="n">
        <f aca="false">DATE(YEAR(Y4),MONTH(Y4)+1,1)</f>
        <v>48396</v>
      </c>
      <c r="AA4" s="33" t="n">
        <f aca="false">DATE(YEAR(Z4),MONTH(Z4)+1,1)</f>
        <v>48427</v>
      </c>
      <c r="AB4" s="33" t="n">
        <f aca="false">DATE(YEAR(AA4),MONTH(AA4)+1,1)</f>
        <v>48458</v>
      </c>
      <c r="AC4" s="33" t="n">
        <f aca="false">DATE(YEAR(AB4),MONTH(AB4)+1,1)</f>
        <v>48488</v>
      </c>
      <c r="AD4" s="33" t="n">
        <f aca="false">DATE(YEAR(AC4),MONTH(AC4)+1,1)</f>
        <v>48519</v>
      </c>
      <c r="AE4" s="33" t="n">
        <f aca="false">DATE(YEAR(AD4),MONTH(AD4)+1,1)</f>
        <v>48549</v>
      </c>
      <c r="AF4" s="33" t="n">
        <f aca="false">DATE(YEAR(AE4),MONTH(AE4)+1,1)</f>
        <v>48580</v>
      </c>
      <c r="AG4" s="33" t="n">
        <f aca="false">DATE(YEAR(AF4),MONTH(AF4)+1,1)</f>
        <v>48611</v>
      </c>
      <c r="AH4" s="33" t="n">
        <f aca="false">DATE(YEAR(AG4),MONTH(AG4)+1,1)</f>
        <v>48639</v>
      </c>
      <c r="AI4" s="33" t="n">
        <f aca="false">DATE(YEAR(AH4),MONTH(AH4)+1,1)</f>
        <v>48670</v>
      </c>
      <c r="AJ4" s="33" t="n">
        <f aca="false">DATE(YEAR(AI4),MONTH(AI4)+1,1)</f>
        <v>48700</v>
      </c>
      <c r="AK4" s="33" t="n">
        <f aca="false">DATE(YEAR(AJ4),MONTH(AJ4)+1,1)</f>
        <v>48731</v>
      </c>
      <c r="AL4" s="33" t="n">
        <f aca="false">DATE(YEAR(AK4),MONTH(AK4)+1,1)</f>
        <v>48761</v>
      </c>
      <c r="AM4" s="33" t="n">
        <f aca="false">DATE(YEAR(AL4),MONTH(AL4)+1,1)</f>
        <v>48792</v>
      </c>
      <c r="AN4" s="33" t="n">
        <f aca="false">DATE(YEAR(AM4),MONTH(AM4)+1,1)</f>
        <v>48823</v>
      </c>
      <c r="AO4" s="33" t="n">
        <f aca="false">DATE(YEAR(AN4),MONTH(AN4)+1,1)</f>
        <v>48853</v>
      </c>
      <c r="AP4" s="33" t="n">
        <f aca="false">DATE(YEAR(AO4),MONTH(AO4)+1,1)</f>
        <v>48884</v>
      </c>
      <c r="AQ4" s="33" t="n">
        <f aca="false">DATE(YEAR(AP4),MONTH(AP4)+1,1)</f>
        <v>48914</v>
      </c>
      <c r="AR4" s="33" t="n">
        <f aca="false">DATE(YEAR(AQ4),MONTH(AQ4)+1,1)</f>
        <v>48945</v>
      </c>
      <c r="AS4" s="33" t="n">
        <f aca="false">DATE(YEAR(AR4),MONTH(AR4)+1,1)</f>
        <v>48976</v>
      </c>
      <c r="AT4" s="33" t="n">
        <f aca="false">DATE(YEAR(AS4),MONTH(AS4)+1,1)</f>
        <v>49004</v>
      </c>
      <c r="AU4" s="33" t="n">
        <f aca="false">DATE(YEAR(AT4),MONTH(AT4)+1,1)</f>
        <v>49035</v>
      </c>
      <c r="AV4" s="33" t="n">
        <f aca="false">DATE(YEAR(AU4),MONTH(AU4)+1,1)</f>
        <v>49065</v>
      </c>
      <c r="AW4" s="33" t="n">
        <f aca="false">DATE(YEAR(AV4),MONTH(AV4)+1,1)</f>
        <v>49096</v>
      </c>
      <c r="AX4" s="33" t="n">
        <f aca="false">DATE(YEAR(AW4),MONTH(AW4)+1,1)</f>
        <v>49126</v>
      </c>
      <c r="AY4" s="33" t="n">
        <f aca="false">DATE(YEAR(AX4),MONTH(AX4)+1,1)</f>
        <v>49157</v>
      </c>
      <c r="AZ4" s="33" t="n">
        <f aca="false">DATE(YEAR(AY4),MONTH(AY4)+1,1)</f>
        <v>49188</v>
      </c>
      <c r="BA4" s="33" t="n">
        <f aca="false">DATE(YEAR(AZ4),MONTH(AZ4)+1,1)</f>
        <v>49218</v>
      </c>
      <c r="BB4" s="33" t="n">
        <f aca="false">DATE(YEAR(BA4),MONTH(BA4)+1,1)</f>
        <v>49249</v>
      </c>
      <c r="BC4" s="33" t="n">
        <f aca="false">DATE(YEAR(BB4),MONTH(BB4)+1,1)</f>
        <v>49279</v>
      </c>
      <c r="BD4" s="33" t="n">
        <f aca="false">DATE(YEAR(BC4),MONTH(BC4)+1,1)</f>
        <v>49310</v>
      </c>
      <c r="BE4" s="33" t="n">
        <f aca="false">DATE(YEAR(BD4),MONTH(BD4)+1,1)</f>
        <v>49341</v>
      </c>
      <c r="BF4" s="33" t="n">
        <f aca="false">DATE(YEAR(BE4),MONTH(BE4)+1,1)</f>
        <v>49369</v>
      </c>
      <c r="BG4" s="33" t="n">
        <f aca="false">DATE(YEAR(BF4),MONTH(BF4)+1,1)</f>
        <v>49400</v>
      </c>
      <c r="BH4" s="33" t="n">
        <f aca="false">DATE(YEAR(BG4),MONTH(BG4)+1,1)</f>
        <v>49430</v>
      </c>
      <c r="BI4" s="33" t="n">
        <f aca="false">DATE(YEAR(BH4),MONTH(BH4)+1,1)</f>
        <v>49461</v>
      </c>
      <c r="BJ4" s="33" t="n">
        <f aca="false">DATE(YEAR(BI4),MONTH(BI4)+1,1)</f>
        <v>49491</v>
      </c>
      <c r="BK4" s="33" t="n">
        <f aca="false">DATE(YEAR(BJ4),MONTH(BJ4)+1,1)</f>
        <v>49522</v>
      </c>
      <c r="BL4" s="33" t="n">
        <f aca="false">DATE(YEAR(BK4),MONTH(BK4)+1,1)</f>
        <v>49553</v>
      </c>
    </row>
    <row r="5" customFormat="false" ht="15" hidden="false" customHeight="false" outlineLevel="0" collapsed="false">
      <c r="B5" s="2" t="s">
        <v>261</v>
      </c>
      <c r="C5" s="2"/>
      <c r="E5" s="34" t="n">
        <f aca="false">INT((E3-1)/12)+1</f>
        <v>1</v>
      </c>
      <c r="F5" s="34" t="n">
        <f aca="false">INT((F3-1)/12)+1</f>
        <v>1</v>
      </c>
      <c r="G5" s="34" t="n">
        <f aca="false">INT((G3-1)/12)+1</f>
        <v>1</v>
      </c>
      <c r="H5" s="34" t="n">
        <f aca="false">INT((H3-1)/12)+1</f>
        <v>1</v>
      </c>
      <c r="I5" s="34" t="n">
        <f aca="false">INT((I3-1)/12)+1</f>
        <v>1</v>
      </c>
      <c r="J5" s="34" t="n">
        <f aca="false">INT((J3-1)/12)+1</f>
        <v>1</v>
      </c>
      <c r="K5" s="34" t="n">
        <f aca="false">INT((K3-1)/12)+1</f>
        <v>1</v>
      </c>
      <c r="L5" s="34" t="n">
        <f aca="false">INT((L3-1)/12)+1</f>
        <v>1</v>
      </c>
      <c r="M5" s="34" t="n">
        <f aca="false">INT((M3-1)/12)+1</f>
        <v>1</v>
      </c>
      <c r="N5" s="34" t="n">
        <f aca="false">INT((N3-1)/12)+1</f>
        <v>1</v>
      </c>
      <c r="O5" s="34" t="n">
        <f aca="false">INT((O3-1)/12)+1</f>
        <v>1</v>
      </c>
      <c r="P5" s="34" t="n">
        <f aca="false">INT((P3-1)/12)+1</f>
        <v>1</v>
      </c>
      <c r="Q5" s="34" t="n">
        <f aca="false">INT((Q3-1)/12)+1</f>
        <v>2</v>
      </c>
      <c r="R5" s="34" t="n">
        <f aca="false">INT((R3-1)/12)+1</f>
        <v>2</v>
      </c>
      <c r="S5" s="34" t="n">
        <f aca="false">INT((S3-1)/12)+1</f>
        <v>2</v>
      </c>
      <c r="T5" s="34" t="n">
        <f aca="false">INT((T3-1)/12)+1</f>
        <v>2</v>
      </c>
      <c r="U5" s="34" t="n">
        <f aca="false">INT((U3-1)/12)+1</f>
        <v>2</v>
      </c>
      <c r="V5" s="34" t="n">
        <f aca="false">INT((V3-1)/12)+1</f>
        <v>2</v>
      </c>
      <c r="W5" s="34" t="n">
        <f aca="false">INT((W3-1)/12)+1</f>
        <v>2</v>
      </c>
      <c r="X5" s="34" t="n">
        <f aca="false">INT((X3-1)/12)+1</f>
        <v>2</v>
      </c>
      <c r="Y5" s="34" t="n">
        <f aca="false">INT((Y3-1)/12)+1</f>
        <v>2</v>
      </c>
      <c r="Z5" s="34" t="n">
        <f aca="false">INT((Z3-1)/12)+1</f>
        <v>2</v>
      </c>
      <c r="AA5" s="34" t="n">
        <f aca="false">INT((AA3-1)/12)+1</f>
        <v>2</v>
      </c>
      <c r="AB5" s="34" t="n">
        <f aca="false">INT((AB3-1)/12)+1</f>
        <v>2</v>
      </c>
      <c r="AC5" s="34" t="n">
        <f aca="false">INT((AC3-1)/12)+1</f>
        <v>3</v>
      </c>
      <c r="AD5" s="34" t="n">
        <f aca="false">INT((AD3-1)/12)+1</f>
        <v>3</v>
      </c>
      <c r="AE5" s="34" t="n">
        <f aca="false">INT((AE3-1)/12)+1</f>
        <v>3</v>
      </c>
      <c r="AF5" s="34" t="n">
        <f aca="false">INT((AF3-1)/12)+1</f>
        <v>3</v>
      </c>
      <c r="AG5" s="34" t="n">
        <f aca="false">INT((AG3-1)/12)+1</f>
        <v>3</v>
      </c>
      <c r="AH5" s="34" t="n">
        <f aca="false">INT((AH3-1)/12)+1</f>
        <v>3</v>
      </c>
      <c r="AI5" s="34" t="n">
        <f aca="false">INT((AI3-1)/12)+1</f>
        <v>3</v>
      </c>
      <c r="AJ5" s="34" t="n">
        <f aca="false">INT((AJ3-1)/12)+1</f>
        <v>3</v>
      </c>
      <c r="AK5" s="34" t="n">
        <f aca="false">INT((AK3-1)/12)+1</f>
        <v>3</v>
      </c>
      <c r="AL5" s="34" t="n">
        <f aca="false">INT((AL3-1)/12)+1</f>
        <v>3</v>
      </c>
      <c r="AM5" s="34" t="n">
        <f aca="false">INT((AM3-1)/12)+1</f>
        <v>3</v>
      </c>
      <c r="AN5" s="34" t="n">
        <f aca="false">INT((AN3-1)/12)+1</f>
        <v>3</v>
      </c>
      <c r="AO5" s="34" t="n">
        <f aca="false">INT((AO3-1)/12)+1</f>
        <v>4</v>
      </c>
      <c r="AP5" s="34" t="n">
        <f aca="false">INT((AP3-1)/12)+1</f>
        <v>4</v>
      </c>
      <c r="AQ5" s="34" t="n">
        <f aca="false">INT((AQ3-1)/12)+1</f>
        <v>4</v>
      </c>
      <c r="AR5" s="34" t="n">
        <f aca="false">INT((AR3-1)/12)+1</f>
        <v>4</v>
      </c>
      <c r="AS5" s="34" t="n">
        <f aca="false">INT((AS3-1)/12)+1</f>
        <v>4</v>
      </c>
      <c r="AT5" s="34" t="n">
        <f aca="false">INT((AT3-1)/12)+1</f>
        <v>4</v>
      </c>
      <c r="AU5" s="34" t="n">
        <f aca="false">INT((AU3-1)/12)+1</f>
        <v>4</v>
      </c>
      <c r="AV5" s="34" t="n">
        <f aca="false">INT((AV3-1)/12)+1</f>
        <v>4</v>
      </c>
      <c r="AW5" s="34" t="n">
        <f aca="false">INT((AW3-1)/12)+1</f>
        <v>4</v>
      </c>
      <c r="AX5" s="34" t="n">
        <f aca="false">INT((AX3-1)/12)+1</f>
        <v>4</v>
      </c>
      <c r="AY5" s="34" t="n">
        <f aca="false">INT((AY3-1)/12)+1</f>
        <v>4</v>
      </c>
      <c r="AZ5" s="34" t="n">
        <f aca="false">INT((AZ3-1)/12)+1</f>
        <v>4</v>
      </c>
      <c r="BA5" s="34" t="n">
        <f aca="false">INT((BA3-1)/12)+1</f>
        <v>5</v>
      </c>
      <c r="BB5" s="34" t="n">
        <f aca="false">INT((BB3-1)/12)+1</f>
        <v>5</v>
      </c>
      <c r="BC5" s="34" t="n">
        <f aca="false">INT((BC3-1)/12)+1</f>
        <v>5</v>
      </c>
      <c r="BD5" s="34" t="n">
        <f aca="false">INT((BD3-1)/12)+1</f>
        <v>5</v>
      </c>
      <c r="BE5" s="34" t="n">
        <f aca="false">INT((BE3-1)/12)+1</f>
        <v>5</v>
      </c>
      <c r="BF5" s="34" t="n">
        <f aca="false">INT((BF3-1)/12)+1</f>
        <v>5</v>
      </c>
      <c r="BG5" s="34" t="n">
        <f aca="false">INT((BG3-1)/12)+1</f>
        <v>5</v>
      </c>
      <c r="BH5" s="34" t="n">
        <f aca="false">INT((BH3-1)/12)+1</f>
        <v>5</v>
      </c>
      <c r="BI5" s="34" t="n">
        <f aca="false">INT((BI3-1)/12)+1</f>
        <v>5</v>
      </c>
      <c r="BJ5" s="34" t="n">
        <f aca="false">INT((BJ3-1)/12)+1</f>
        <v>5</v>
      </c>
      <c r="BK5" s="34" t="n">
        <f aca="false">INT((BK3-1)/12)+1</f>
        <v>5</v>
      </c>
      <c r="BL5" s="34" t="n">
        <f aca="false">INT((BL3-1)/12)+1</f>
        <v>5</v>
      </c>
    </row>
    <row r="6" customFormat="false" ht="15" hidden="false" customHeight="false" outlineLevel="0" collapsed="false">
      <c r="B6" s="2" t="s">
        <v>262</v>
      </c>
      <c r="C6" s="2"/>
      <c r="E6" s="34" t="n">
        <f aca="false">MOD(E3-1,12)+1</f>
        <v>1</v>
      </c>
      <c r="F6" s="34" t="n">
        <f aca="false">MOD(F3-1,12)+1</f>
        <v>2</v>
      </c>
      <c r="G6" s="34" t="n">
        <f aca="false">MOD(G3-1,12)+1</f>
        <v>3</v>
      </c>
      <c r="H6" s="34" t="n">
        <f aca="false">MOD(H3-1,12)+1</f>
        <v>4</v>
      </c>
      <c r="I6" s="34" t="n">
        <f aca="false">MOD(I3-1,12)+1</f>
        <v>5</v>
      </c>
      <c r="J6" s="34" t="n">
        <f aca="false">MOD(J3-1,12)+1</f>
        <v>6</v>
      </c>
      <c r="K6" s="34" t="n">
        <f aca="false">MOD(K3-1,12)+1</f>
        <v>7</v>
      </c>
      <c r="L6" s="34" t="n">
        <f aca="false">MOD(L3-1,12)+1</f>
        <v>8</v>
      </c>
      <c r="M6" s="34" t="n">
        <f aca="false">MOD(M3-1,12)+1</f>
        <v>9</v>
      </c>
      <c r="N6" s="34" t="n">
        <f aca="false">MOD(N3-1,12)+1</f>
        <v>10</v>
      </c>
      <c r="O6" s="34" t="n">
        <f aca="false">MOD(O3-1,12)+1</f>
        <v>11</v>
      </c>
      <c r="P6" s="34" t="n">
        <f aca="false">MOD(P3-1,12)+1</f>
        <v>12</v>
      </c>
      <c r="Q6" s="34" t="n">
        <f aca="false">MOD(Q3-1,12)+1</f>
        <v>1</v>
      </c>
      <c r="R6" s="34" t="n">
        <f aca="false">MOD(R3-1,12)+1</f>
        <v>2</v>
      </c>
      <c r="S6" s="34" t="n">
        <f aca="false">MOD(S3-1,12)+1</f>
        <v>3</v>
      </c>
      <c r="T6" s="34" t="n">
        <f aca="false">MOD(T3-1,12)+1</f>
        <v>4</v>
      </c>
      <c r="U6" s="34" t="n">
        <f aca="false">MOD(U3-1,12)+1</f>
        <v>5</v>
      </c>
      <c r="V6" s="34" t="n">
        <f aca="false">MOD(V3-1,12)+1</f>
        <v>6</v>
      </c>
      <c r="W6" s="34" t="n">
        <f aca="false">MOD(W3-1,12)+1</f>
        <v>7</v>
      </c>
      <c r="X6" s="34" t="n">
        <f aca="false">MOD(X3-1,12)+1</f>
        <v>8</v>
      </c>
      <c r="Y6" s="34" t="n">
        <f aca="false">MOD(Y3-1,12)+1</f>
        <v>9</v>
      </c>
      <c r="Z6" s="34" t="n">
        <f aca="false">MOD(Z3-1,12)+1</f>
        <v>10</v>
      </c>
      <c r="AA6" s="34" t="n">
        <f aca="false">MOD(AA3-1,12)+1</f>
        <v>11</v>
      </c>
      <c r="AB6" s="34" t="n">
        <f aca="false">MOD(AB3-1,12)+1</f>
        <v>12</v>
      </c>
      <c r="AC6" s="34" t="n">
        <f aca="false">MOD(AC3-1,12)+1</f>
        <v>1</v>
      </c>
      <c r="AD6" s="34" t="n">
        <f aca="false">MOD(AD3-1,12)+1</f>
        <v>2</v>
      </c>
      <c r="AE6" s="34" t="n">
        <f aca="false">MOD(AE3-1,12)+1</f>
        <v>3</v>
      </c>
      <c r="AF6" s="34" t="n">
        <f aca="false">MOD(AF3-1,12)+1</f>
        <v>4</v>
      </c>
      <c r="AG6" s="34" t="n">
        <f aca="false">MOD(AG3-1,12)+1</f>
        <v>5</v>
      </c>
      <c r="AH6" s="34" t="n">
        <f aca="false">MOD(AH3-1,12)+1</f>
        <v>6</v>
      </c>
      <c r="AI6" s="34" t="n">
        <f aca="false">MOD(AI3-1,12)+1</f>
        <v>7</v>
      </c>
      <c r="AJ6" s="34" t="n">
        <f aca="false">MOD(AJ3-1,12)+1</f>
        <v>8</v>
      </c>
      <c r="AK6" s="34" t="n">
        <f aca="false">MOD(AK3-1,12)+1</f>
        <v>9</v>
      </c>
      <c r="AL6" s="34" t="n">
        <f aca="false">MOD(AL3-1,12)+1</f>
        <v>10</v>
      </c>
      <c r="AM6" s="34" t="n">
        <f aca="false">MOD(AM3-1,12)+1</f>
        <v>11</v>
      </c>
      <c r="AN6" s="34" t="n">
        <f aca="false">MOD(AN3-1,12)+1</f>
        <v>12</v>
      </c>
      <c r="AO6" s="34" t="n">
        <f aca="false">MOD(AO3-1,12)+1</f>
        <v>1</v>
      </c>
      <c r="AP6" s="34" t="n">
        <f aca="false">MOD(AP3-1,12)+1</f>
        <v>2</v>
      </c>
      <c r="AQ6" s="34" t="n">
        <f aca="false">MOD(AQ3-1,12)+1</f>
        <v>3</v>
      </c>
      <c r="AR6" s="34" t="n">
        <f aca="false">MOD(AR3-1,12)+1</f>
        <v>4</v>
      </c>
      <c r="AS6" s="34" t="n">
        <f aca="false">MOD(AS3-1,12)+1</f>
        <v>5</v>
      </c>
      <c r="AT6" s="34" t="n">
        <f aca="false">MOD(AT3-1,12)+1</f>
        <v>6</v>
      </c>
      <c r="AU6" s="34" t="n">
        <f aca="false">MOD(AU3-1,12)+1</f>
        <v>7</v>
      </c>
      <c r="AV6" s="34" t="n">
        <f aca="false">MOD(AV3-1,12)+1</f>
        <v>8</v>
      </c>
      <c r="AW6" s="34" t="n">
        <f aca="false">MOD(AW3-1,12)+1</f>
        <v>9</v>
      </c>
      <c r="AX6" s="34" t="n">
        <f aca="false">MOD(AX3-1,12)+1</f>
        <v>10</v>
      </c>
      <c r="AY6" s="34" t="n">
        <f aca="false">MOD(AY3-1,12)+1</f>
        <v>11</v>
      </c>
      <c r="AZ6" s="34" t="n">
        <f aca="false">MOD(AZ3-1,12)+1</f>
        <v>12</v>
      </c>
      <c r="BA6" s="34" t="n">
        <f aca="false">MOD(BA3-1,12)+1</f>
        <v>1</v>
      </c>
      <c r="BB6" s="34" t="n">
        <f aca="false">MOD(BB3-1,12)+1</f>
        <v>2</v>
      </c>
      <c r="BC6" s="34" t="n">
        <f aca="false">MOD(BC3-1,12)+1</f>
        <v>3</v>
      </c>
      <c r="BD6" s="34" t="n">
        <f aca="false">MOD(BD3-1,12)+1</f>
        <v>4</v>
      </c>
      <c r="BE6" s="34" t="n">
        <f aca="false">MOD(BE3-1,12)+1</f>
        <v>5</v>
      </c>
      <c r="BF6" s="34" t="n">
        <f aca="false">MOD(BF3-1,12)+1</f>
        <v>6</v>
      </c>
      <c r="BG6" s="34" t="n">
        <f aca="false">MOD(BG3-1,12)+1</f>
        <v>7</v>
      </c>
      <c r="BH6" s="34" t="n">
        <f aca="false">MOD(BH3-1,12)+1</f>
        <v>8</v>
      </c>
      <c r="BI6" s="34" t="n">
        <f aca="false">MOD(BI3-1,12)+1</f>
        <v>9</v>
      </c>
      <c r="BJ6" s="34" t="n">
        <f aca="false">MOD(BJ3-1,12)+1</f>
        <v>10</v>
      </c>
      <c r="BK6" s="34" t="n">
        <f aca="false">MOD(BK3-1,12)+1</f>
        <v>11</v>
      </c>
      <c r="BL6" s="34" t="n">
        <f aca="false">MOD(BL3-1,12)+1</f>
        <v>12</v>
      </c>
    </row>
    <row r="7" customFormat="false" ht="15" hidden="false" customHeight="false" outlineLevel="0" collapsed="false">
      <c r="B7" s="9" t="s">
        <v>263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customFormat="false" ht="15" hidden="false" customHeight="false" outlineLevel="0" collapsed="false">
      <c r="B8" s="2" t="s">
        <v>264</v>
      </c>
      <c r="C8" s="2" t="s">
        <v>64</v>
      </c>
      <c r="E8" s="27" t="n">
        <f aca="false">Hypotheses!$D$15*IF(E3&gt;=Hypotheses!$D$16,2,1)</f>
        <v>320</v>
      </c>
      <c r="F8" s="27" t="n">
        <f aca="false">Hypotheses!$D$15*IF(F3&gt;=Hypotheses!$D$16,2,1)</f>
        <v>320</v>
      </c>
      <c r="G8" s="27" t="n">
        <f aca="false">Hypotheses!$D$15*IF(G3&gt;=Hypotheses!$D$16,2,1)</f>
        <v>320</v>
      </c>
      <c r="H8" s="27" t="n">
        <f aca="false">Hypotheses!$D$15*IF(H3&gt;=Hypotheses!$D$16,2,1)</f>
        <v>320</v>
      </c>
      <c r="I8" s="27" t="n">
        <f aca="false">Hypotheses!$D$15*IF(I3&gt;=Hypotheses!$D$16,2,1)</f>
        <v>320</v>
      </c>
      <c r="J8" s="27" t="n">
        <f aca="false">Hypotheses!$D$15*IF(J3&gt;=Hypotheses!$D$16,2,1)</f>
        <v>320</v>
      </c>
      <c r="K8" s="27" t="n">
        <f aca="false">Hypotheses!$D$15*IF(K3&gt;=Hypotheses!$D$16,2,1)</f>
        <v>320</v>
      </c>
      <c r="L8" s="27" t="n">
        <f aca="false">Hypotheses!$D$15*IF(L3&gt;=Hypotheses!$D$16,2,1)</f>
        <v>320</v>
      </c>
      <c r="M8" s="27" t="n">
        <f aca="false">Hypotheses!$D$15*IF(M3&gt;=Hypotheses!$D$16,2,1)</f>
        <v>320</v>
      </c>
      <c r="N8" s="27" t="n">
        <f aca="false">Hypotheses!$D$15*IF(N3&gt;=Hypotheses!$D$16,2,1)</f>
        <v>320</v>
      </c>
      <c r="O8" s="27" t="n">
        <f aca="false">Hypotheses!$D$15*IF(O3&gt;=Hypotheses!$D$16,2,1)</f>
        <v>320</v>
      </c>
      <c r="P8" s="27" t="n">
        <f aca="false">Hypotheses!$D$15*IF(P3&gt;=Hypotheses!$D$16,2,1)</f>
        <v>320</v>
      </c>
      <c r="Q8" s="27" t="n">
        <f aca="false">Hypotheses!$D$15*IF(Q3&gt;=Hypotheses!$D$16,2,1)</f>
        <v>320</v>
      </c>
      <c r="R8" s="27" t="n">
        <f aca="false">Hypotheses!$D$15*IF(R3&gt;=Hypotheses!$D$16,2,1)</f>
        <v>320</v>
      </c>
      <c r="S8" s="27" t="n">
        <f aca="false">Hypotheses!$D$15*IF(S3&gt;=Hypotheses!$D$16,2,1)</f>
        <v>320</v>
      </c>
      <c r="T8" s="27" t="n">
        <f aca="false">Hypotheses!$D$15*IF(T3&gt;=Hypotheses!$D$16,2,1)</f>
        <v>320</v>
      </c>
      <c r="U8" s="27" t="n">
        <f aca="false">Hypotheses!$D$15*IF(U3&gt;=Hypotheses!$D$16,2,1)</f>
        <v>320</v>
      </c>
      <c r="V8" s="27" t="n">
        <f aca="false">Hypotheses!$D$15*IF(V3&gt;=Hypotheses!$D$16,2,1)</f>
        <v>320</v>
      </c>
      <c r="W8" s="27" t="n">
        <f aca="false">Hypotheses!$D$15*IF(W3&gt;=Hypotheses!$D$16,2,1)</f>
        <v>320</v>
      </c>
      <c r="X8" s="27" t="n">
        <f aca="false">Hypotheses!$D$15*IF(X3&gt;=Hypotheses!$D$16,2,1)</f>
        <v>320</v>
      </c>
      <c r="Y8" s="27" t="n">
        <f aca="false">Hypotheses!$D$15*IF(Y3&gt;=Hypotheses!$D$16,2,1)</f>
        <v>320</v>
      </c>
      <c r="Z8" s="27" t="n">
        <f aca="false">Hypotheses!$D$15*IF(Z3&gt;=Hypotheses!$D$16,2,1)</f>
        <v>320</v>
      </c>
      <c r="AA8" s="27" t="n">
        <f aca="false">Hypotheses!$D$15*IF(AA3&gt;=Hypotheses!$D$16,2,1)</f>
        <v>320</v>
      </c>
      <c r="AB8" s="27" t="n">
        <f aca="false">Hypotheses!$D$15*IF(AB3&gt;=Hypotheses!$D$16,2,1)</f>
        <v>320</v>
      </c>
      <c r="AC8" s="27" t="n">
        <f aca="false">Hypotheses!$D$15*IF(AC3&gt;=Hypotheses!$D$16,2,1)</f>
        <v>320</v>
      </c>
      <c r="AD8" s="27" t="n">
        <f aca="false">Hypotheses!$D$15*IF(AD3&gt;=Hypotheses!$D$16,2,1)</f>
        <v>320</v>
      </c>
      <c r="AE8" s="27" t="n">
        <f aca="false">Hypotheses!$D$15*IF(AE3&gt;=Hypotheses!$D$16,2,1)</f>
        <v>320</v>
      </c>
      <c r="AF8" s="27" t="n">
        <f aca="false">Hypotheses!$D$15*IF(AF3&gt;=Hypotheses!$D$16,2,1)</f>
        <v>320</v>
      </c>
      <c r="AG8" s="27" t="n">
        <f aca="false">Hypotheses!$D$15*IF(AG3&gt;=Hypotheses!$D$16,2,1)</f>
        <v>320</v>
      </c>
      <c r="AH8" s="27" t="n">
        <f aca="false">Hypotheses!$D$15*IF(AH3&gt;=Hypotheses!$D$16,2,1)</f>
        <v>320</v>
      </c>
      <c r="AI8" s="27" t="n">
        <f aca="false">Hypotheses!$D$15*IF(AI3&gt;=Hypotheses!$D$16,2,1)</f>
        <v>320</v>
      </c>
      <c r="AJ8" s="27" t="n">
        <f aca="false">Hypotheses!$D$15*IF(AJ3&gt;=Hypotheses!$D$16,2,1)</f>
        <v>320</v>
      </c>
      <c r="AK8" s="27" t="n">
        <f aca="false">Hypotheses!$D$15*IF(AK3&gt;=Hypotheses!$D$16,2,1)</f>
        <v>320</v>
      </c>
      <c r="AL8" s="27" t="n">
        <f aca="false">Hypotheses!$D$15*IF(AL3&gt;=Hypotheses!$D$16,2,1)</f>
        <v>320</v>
      </c>
      <c r="AM8" s="27" t="n">
        <f aca="false">Hypotheses!$D$15*IF(AM3&gt;=Hypotheses!$D$16,2,1)</f>
        <v>320</v>
      </c>
      <c r="AN8" s="27" t="n">
        <f aca="false">Hypotheses!$D$15*IF(AN3&gt;=Hypotheses!$D$16,2,1)</f>
        <v>320</v>
      </c>
      <c r="AO8" s="27" t="n">
        <f aca="false">Hypotheses!$D$15*IF(AO3&gt;=Hypotheses!$D$16,2,1)</f>
        <v>320</v>
      </c>
      <c r="AP8" s="27" t="n">
        <f aca="false">Hypotheses!$D$15*IF(AP3&gt;=Hypotheses!$D$16,2,1)</f>
        <v>320</v>
      </c>
      <c r="AQ8" s="27" t="n">
        <f aca="false">Hypotheses!$D$15*IF(AQ3&gt;=Hypotheses!$D$16,2,1)</f>
        <v>320</v>
      </c>
      <c r="AR8" s="27" t="n">
        <f aca="false">Hypotheses!$D$15*IF(AR3&gt;=Hypotheses!$D$16,2,1)</f>
        <v>320</v>
      </c>
      <c r="AS8" s="27" t="n">
        <f aca="false">Hypotheses!$D$15*IF(AS3&gt;=Hypotheses!$D$16,2,1)</f>
        <v>320</v>
      </c>
      <c r="AT8" s="27" t="n">
        <f aca="false">Hypotheses!$D$15*IF(AT3&gt;=Hypotheses!$D$16,2,1)</f>
        <v>320</v>
      </c>
      <c r="AU8" s="27" t="n">
        <f aca="false">Hypotheses!$D$15*IF(AU3&gt;=Hypotheses!$D$16,2,1)</f>
        <v>320</v>
      </c>
      <c r="AV8" s="27" t="n">
        <f aca="false">Hypotheses!$D$15*IF(AV3&gt;=Hypotheses!$D$16,2,1)</f>
        <v>320</v>
      </c>
      <c r="AW8" s="27" t="n">
        <f aca="false">Hypotheses!$D$15*IF(AW3&gt;=Hypotheses!$D$16,2,1)</f>
        <v>320</v>
      </c>
      <c r="AX8" s="27" t="n">
        <f aca="false">Hypotheses!$D$15*IF(AX3&gt;=Hypotheses!$D$16,2,1)</f>
        <v>320</v>
      </c>
      <c r="AY8" s="27" t="n">
        <f aca="false">Hypotheses!$D$15*IF(AY3&gt;=Hypotheses!$D$16,2,1)</f>
        <v>320</v>
      </c>
      <c r="AZ8" s="27" t="n">
        <f aca="false">Hypotheses!$D$15*IF(AZ3&gt;=Hypotheses!$D$16,2,1)</f>
        <v>320</v>
      </c>
      <c r="BA8" s="27" t="n">
        <f aca="false">Hypotheses!$D$15*IF(BA3&gt;=Hypotheses!$D$16,2,1)</f>
        <v>320</v>
      </c>
      <c r="BB8" s="27" t="n">
        <f aca="false">Hypotheses!$D$15*IF(BB3&gt;=Hypotheses!$D$16,2,1)</f>
        <v>320</v>
      </c>
      <c r="BC8" s="27" t="n">
        <f aca="false">Hypotheses!$D$15*IF(BC3&gt;=Hypotheses!$D$16,2,1)</f>
        <v>320</v>
      </c>
      <c r="BD8" s="27" t="n">
        <f aca="false">Hypotheses!$D$15*IF(BD3&gt;=Hypotheses!$D$16,2,1)</f>
        <v>320</v>
      </c>
      <c r="BE8" s="27" t="n">
        <f aca="false">Hypotheses!$D$15*IF(BE3&gt;=Hypotheses!$D$16,2,1)</f>
        <v>320</v>
      </c>
      <c r="BF8" s="27" t="n">
        <f aca="false">Hypotheses!$D$15*IF(BF3&gt;=Hypotheses!$D$16,2,1)</f>
        <v>320</v>
      </c>
      <c r="BG8" s="27" t="n">
        <f aca="false">Hypotheses!$D$15*IF(BG3&gt;=Hypotheses!$D$16,2,1)</f>
        <v>320</v>
      </c>
      <c r="BH8" s="27" t="n">
        <f aca="false">Hypotheses!$D$15*IF(BH3&gt;=Hypotheses!$D$16,2,1)</f>
        <v>320</v>
      </c>
      <c r="BI8" s="27" t="n">
        <f aca="false">Hypotheses!$D$15*IF(BI3&gt;=Hypotheses!$D$16,2,1)</f>
        <v>320</v>
      </c>
      <c r="BJ8" s="27" t="n">
        <f aca="false">Hypotheses!$D$15*IF(BJ3&gt;=Hypotheses!$D$16,2,1)</f>
        <v>320</v>
      </c>
      <c r="BK8" s="27" t="n">
        <f aca="false">Hypotheses!$D$15*IF(BK3&gt;=Hypotheses!$D$16,2,1)</f>
        <v>320</v>
      </c>
      <c r="BL8" s="27" t="n">
        <f aca="false">Hypotheses!$D$15*IF(BL3&gt;=Hypotheses!$D$16,2,1)</f>
        <v>320</v>
      </c>
    </row>
    <row r="9" customFormat="false" ht="15" hidden="false" customHeight="false" outlineLevel="0" collapsed="false">
      <c r="B9" s="2" t="s">
        <v>265</v>
      </c>
      <c r="C9" s="2" t="s">
        <v>64</v>
      </c>
      <c r="E9" s="27" t="n">
        <f aca="false">MIN(E8,Hypotheses!$D$11+(Hypotheses!$D$12-Hypotheses!$D$11)*MIN(1,(E3-1)/MAX(1,Hypotheses!$D$13-1))+Hypotheses!$D$14*MAX(0,E3-Hypotheses!$D$13))</f>
        <v>40</v>
      </c>
      <c r="F9" s="27" t="n">
        <f aca="false">MIN(F8,Hypotheses!$D$11+(Hypotheses!$D$12-Hypotheses!$D$11)*MIN(1,(F3-1)/MAX(1,Hypotheses!$D$13-1))+Hypotheses!$D$14*MAX(0,F3-Hypotheses!$D$13))</f>
        <v>47.8260869565217</v>
      </c>
      <c r="G9" s="27" t="n">
        <f aca="false">MIN(G8,Hypotheses!$D$11+(Hypotheses!$D$12-Hypotheses!$D$11)*MIN(1,(G3-1)/MAX(1,Hypotheses!$D$13-1))+Hypotheses!$D$14*MAX(0,G3-Hypotheses!$D$13))</f>
        <v>55.6521739130435</v>
      </c>
      <c r="H9" s="27" t="n">
        <f aca="false">MIN(H8,Hypotheses!$D$11+(Hypotheses!$D$12-Hypotheses!$D$11)*MIN(1,(H3-1)/MAX(1,Hypotheses!$D$13-1))+Hypotheses!$D$14*MAX(0,H3-Hypotheses!$D$13))</f>
        <v>63.4782608695652</v>
      </c>
      <c r="I9" s="27" t="n">
        <f aca="false">MIN(I8,Hypotheses!$D$11+(Hypotheses!$D$12-Hypotheses!$D$11)*MIN(1,(I3-1)/MAX(1,Hypotheses!$D$13-1))+Hypotheses!$D$14*MAX(0,I3-Hypotheses!$D$13))</f>
        <v>71.304347826087</v>
      </c>
      <c r="J9" s="27" t="n">
        <f aca="false">MIN(J8,Hypotheses!$D$11+(Hypotheses!$D$12-Hypotheses!$D$11)*MIN(1,(J3-1)/MAX(1,Hypotheses!$D$13-1))+Hypotheses!$D$14*MAX(0,J3-Hypotheses!$D$13))</f>
        <v>79.1304347826087</v>
      </c>
      <c r="K9" s="27" t="n">
        <f aca="false">MIN(K8,Hypotheses!$D$11+(Hypotheses!$D$12-Hypotheses!$D$11)*MIN(1,(K3-1)/MAX(1,Hypotheses!$D$13-1))+Hypotheses!$D$14*MAX(0,K3-Hypotheses!$D$13))</f>
        <v>86.9565217391304</v>
      </c>
      <c r="L9" s="27" t="n">
        <f aca="false">MIN(L8,Hypotheses!$D$11+(Hypotheses!$D$12-Hypotheses!$D$11)*MIN(1,(L3-1)/MAX(1,Hypotheses!$D$13-1))+Hypotheses!$D$14*MAX(0,L3-Hypotheses!$D$13))</f>
        <v>94.7826086956522</v>
      </c>
      <c r="M9" s="27" t="n">
        <f aca="false">MIN(M8,Hypotheses!$D$11+(Hypotheses!$D$12-Hypotheses!$D$11)*MIN(1,(M3-1)/MAX(1,Hypotheses!$D$13-1))+Hypotheses!$D$14*MAX(0,M3-Hypotheses!$D$13))</f>
        <v>102.608695652174</v>
      </c>
      <c r="N9" s="27" t="n">
        <f aca="false">MIN(N8,Hypotheses!$D$11+(Hypotheses!$D$12-Hypotheses!$D$11)*MIN(1,(N3-1)/MAX(1,Hypotheses!$D$13-1))+Hypotheses!$D$14*MAX(0,N3-Hypotheses!$D$13))</f>
        <v>110.434782608696</v>
      </c>
      <c r="O9" s="27" t="n">
        <f aca="false">MIN(O8,Hypotheses!$D$11+(Hypotheses!$D$12-Hypotheses!$D$11)*MIN(1,(O3-1)/MAX(1,Hypotheses!$D$13-1))+Hypotheses!$D$14*MAX(0,O3-Hypotheses!$D$13))</f>
        <v>118.260869565217</v>
      </c>
      <c r="P9" s="27" t="n">
        <f aca="false">MIN(P8,Hypotheses!$D$11+(Hypotheses!$D$12-Hypotheses!$D$11)*MIN(1,(P3-1)/MAX(1,Hypotheses!$D$13-1))+Hypotheses!$D$14*MAX(0,P3-Hypotheses!$D$13))</f>
        <v>126.086956521739</v>
      </c>
      <c r="Q9" s="27" t="n">
        <f aca="false">MIN(Q8,Hypotheses!$D$11+(Hypotheses!$D$12-Hypotheses!$D$11)*MIN(1,(Q3-1)/MAX(1,Hypotheses!$D$13-1))+Hypotheses!$D$14*MAX(0,Q3-Hypotheses!$D$13))</f>
        <v>133.913043478261</v>
      </c>
      <c r="R9" s="27" t="n">
        <f aca="false">MIN(R8,Hypotheses!$D$11+(Hypotheses!$D$12-Hypotheses!$D$11)*MIN(1,(R3-1)/MAX(1,Hypotheses!$D$13-1))+Hypotheses!$D$14*MAX(0,R3-Hypotheses!$D$13))</f>
        <v>141.739130434783</v>
      </c>
      <c r="S9" s="27" t="n">
        <f aca="false">MIN(S8,Hypotheses!$D$11+(Hypotheses!$D$12-Hypotheses!$D$11)*MIN(1,(S3-1)/MAX(1,Hypotheses!$D$13-1))+Hypotheses!$D$14*MAX(0,S3-Hypotheses!$D$13))</f>
        <v>149.565217391304</v>
      </c>
      <c r="T9" s="27" t="n">
        <f aca="false">MIN(T8,Hypotheses!$D$11+(Hypotheses!$D$12-Hypotheses!$D$11)*MIN(1,(T3-1)/MAX(1,Hypotheses!$D$13-1))+Hypotheses!$D$14*MAX(0,T3-Hypotheses!$D$13))</f>
        <v>157.391304347826</v>
      </c>
      <c r="U9" s="27" t="n">
        <f aca="false">MIN(U8,Hypotheses!$D$11+(Hypotheses!$D$12-Hypotheses!$D$11)*MIN(1,(U3-1)/MAX(1,Hypotheses!$D$13-1))+Hypotheses!$D$14*MAX(0,U3-Hypotheses!$D$13))</f>
        <v>165.217391304348</v>
      </c>
      <c r="V9" s="27" t="n">
        <f aca="false">MIN(V8,Hypotheses!$D$11+(Hypotheses!$D$12-Hypotheses!$D$11)*MIN(1,(V3-1)/MAX(1,Hypotheses!$D$13-1))+Hypotheses!$D$14*MAX(0,V3-Hypotheses!$D$13))</f>
        <v>173.04347826087</v>
      </c>
      <c r="W9" s="27" t="n">
        <f aca="false">MIN(W8,Hypotheses!$D$11+(Hypotheses!$D$12-Hypotheses!$D$11)*MIN(1,(W3-1)/MAX(1,Hypotheses!$D$13-1))+Hypotheses!$D$14*MAX(0,W3-Hypotheses!$D$13))</f>
        <v>180.869565217391</v>
      </c>
      <c r="X9" s="27" t="n">
        <f aca="false">MIN(X8,Hypotheses!$D$11+(Hypotheses!$D$12-Hypotheses!$D$11)*MIN(1,(X3-1)/MAX(1,Hypotheses!$D$13-1))+Hypotheses!$D$14*MAX(0,X3-Hypotheses!$D$13))</f>
        <v>188.695652173913</v>
      </c>
      <c r="Y9" s="27" t="n">
        <f aca="false">MIN(Y8,Hypotheses!$D$11+(Hypotheses!$D$12-Hypotheses!$D$11)*MIN(1,(Y3-1)/MAX(1,Hypotheses!$D$13-1))+Hypotheses!$D$14*MAX(0,Y3-Hypotheses!$D$13))</f>
        <v>196.521739130435</v>
      </c>
      <c r="Z9" s="27" t="n">
        <f aca="false">MIN(Z8,Hypotheses!$D$11+(Hypotheses!$D$12-Hypotheses!$D$11)*MIN(1,(Z3-1)/MAX(1,Hypotheses!$D$13-1))+Hypotheses!$D$14*MAX(0,Z3-Hypotheses!$D$13))</f>
        <v>204.347826086957</v>
      </c>
      <c r="AA9" s="27" t="n">
        <f aca="false">MIN(AA8,Hypotheses!$D$11+(Hypotheses!$D$12-Hypotheses!$D$11)*MIN(1,(AA3-1)/MAX(1,Hypotheses!$D$13-1))+Hypotheses!$D$14*MAX(0,AA3-Hypotheses!$D$13))</f>
        <v>212.173913043478</v>
      </c>
      <c r="AB9" s="27" t="n">
        <f aca="false">MIN(AB8,Hypotheses!$D$11+(Hypotheses!$D$12-Hypotheses!$D$11)*MIN(1,(AB3-1)/MAX(1,Hypotheses!$D$13-1))+Hypotheses!$D$14*MAX(0,AB3-Hypotheses!$D$13))</f>
        <v>220</v>
      </c>
      <c r="AC9" s="27" t="n">
        <f aca="false">MIN(AC8,Hypotheses!$D$11+(Hypotheses!$D$12-Hypotheses!$D$11)*MIN(1,(AC3-1)/MAX(1,Hypotheses!$D$13-1))+Hypotheses!$D$14*MAX(0,AC3-Hypotheses!$D$13))</f>
        <v>220</v>
      </c>
      <c r="AD9" s="27" t="n">
        <f aca="false">MIN(AD8,Hypotheses!$D$11+(Hypotheses!$D$12-Hypotheses!$D$11)*MIN(1,(AD3-1)/MAX(1,Hypotheses!$D$13-1))+Hypotheses!$D$14*MAX(0,AD3-Hypotheses!$D$13))</f>
        <v>220</v>
      </c>
      <c r="AE9" s="27" t="n">
        <f aca="false">MIN(AE8,Hypotheses!$D$11+(Hypotheses!$D$12-Hypotheses!$D$11)*MIN(1,(AE3-1)/MAX(1,Hypotheses!$D$13-1))+Hypotheses!$D$14*MAX(0,AE3-Hypotheses!$D$13))</f>
        <v>220</v>
      </c>
      <c r="AF9" s="27" t="n">
        <f aca="false">MIN(AF8,Hypotheses!$D$11+(Hypotheses!$D$12-Hypotheses!$D$11)*MIN(1,(AF3-1)/MAX(1,Hypotheses!$D$13-1))+Hypotheses!$D$14*MAX(0,AF3-Hypotheses!$D$13))</f>
        <v>220</v>
      </c>
      <c r="AG9" s="27" t="n">
        <f aca="false">MIN(AG8,Hypotheses!$D$11+(Hypotheses!$D$12-Hypotheses!$D$11)*MIN(1,(AG3-1)/MAX(1,Hypotheses!$D$13-1))+Hypotheses!$D$14*MAX(0,AG3-Hypotheses!$D$13))</f>
        <v>220</v>
      </c>
      <c r="AH9" s="27" t="n">
        <f aca="false">MIN(AH8,Hypotheses!$D$11+(Hypotheses!$D$12-Hypotheses!$D$11)*MIN(1,(AH3-1)/MAX(1,Hypotheses!$D$13-1))+Hypotheses!$D$14*MAX(0,AH3-Hypotheses!$D$13))</f>
        <v>220</v>
      </c>
      <c r="AI9" s="27" t="n">
        <f aca="false">MIN(AI8,Hypotheses!$D$11+(Hypotheses!$D$12-Hypotheses!$D$11)*MIN(1,(AI3-1)/MAX(1,Hypotheses!$D$13-1))+Hypotheses!$D$14*MAX(0,AI3-Hypotheses!$D$13))</f>
        <v>220</v>
      </c>
      <c r="AJ9" s="27" t="n">
        <f aca="false">MIN(AJ8,Hypotheses!$D$11+(Hypotheses!$D$12-Hypotheses!$D$11)*MIN(1,(AJ3-1)/MAX(1,Hypotheses!$D$13-1))+Hypotheses!$D$14*MAX(0,AJ3-Hypotheses!$D$13))</f>
        <v>220</v>
      </c>
      <c r="AK9" s="27" t="n">
        <f aca="false">MIN(AK8,Hypotheses!$D$11+(Hypotheses!$D$12-Hypotheses!$D$11)*MIN(1,(AK3-1)/MAX(1,Hypotheses!$D$13-1))+Hypotheses!$D$14*MAX(0,AK3-Hypotheses!$D$13))</f>
        <v>220</v>
      </c>
      <c r="AL9" s="27" t="n">
        <f aca="false">MIN(AL8,Hypotheses!$D$11+(Hypotheses!$D$12-Hypotheses!$D$11)*MIN(1,(AL3-1)/MAX(1,Hypotheses!$D$13-1))+Hypotheses!$D$14*MAX(0,AL3-Hypotheses!$D$13))</f>
        <v>220</v>
      </c>
      <c r="AM9" s="27" t="n">
        <f aca="false">MIN(AM8,Hypotheses!$D$11+(Hypotheses!$D$12-Hypotheses!$D$11)*MIN(1,(AM3-1)/MAX(1,Hypotheses!$D$13-1))+Hypotheses!$D$14*MAX(0,AM3-Hypotheses!$D$13))</f>
        <v>220</v>
      </c>
      <c r="AN9" s="27" t="n">
        <f aca="false">MIN(AN8,Hypotheses!$D$11+(Hypotheses!$D$12-Hypotheses!$D$11)*MIN(1,(AN3-1)/MAX(1,Hypotheses!$D$13-1))+Hypotheses!$D$14*MAX(0,AN3-Hypotheses!$D$13))</f>
        <v>220</v>
      </c>
      <c r="AO9" s="27" t="n">
        <f aca="false">MIN(AO8,Hypotheses!$D$11+(Hypotheses!$D$12-Hypotheses!$D$11)*MIN(1,(AO3-1)/MAX(1,Hypotheses!$D$13-1))+Hypotheses!$D$14*MAX(0,AO3-Hypotheses!$D$13))</f>
        <v>220</v>
      </c>
      <c r="AP9" s="27" t="n">
        <f aca="false">MIN(AP8,Hypotheses!$D$11+(Hypotheses!$D$12-Hypotheses!$D$11)*MIN(1,(AP3-1)/MAX(1,Hypotheses!$D$13-1))+Hypotheses!$D$14*MAX(0,AP3-Hypotheses!$D$13))</f>
        <v>220</v>
      </c>
      <c r="AQ9" s="27" t="n">
        <f aca="false">MIN(AQ8,Hypotheses!$D$11+(Hypotheses!$D$12-Hypotheses!$D$11)*MIN(1,(AQ3-1)/MAX(1,Hypotheses!$D$13-1))+Hypotheses!$D$14*MAX(0,AQ3-Hypotheses!$D$13))</f>
        <v>220</v>
      </c>
      <c r="AR9" s="27" t="n">
        <f aca="false">MIN(AR8,Hypotheses!$D$11+(Hypotheses!$D$12-Hypotheses!$D$11)*MIN(1,(AR3-1)/MAX(1,Hypotheses!$D$13-1))+Hypotheses!$D$14*MAX(0,AR3-Hypotheses!$D$13))</f>
        <v>220</v>
      </c>
      <c r="AS9" s="27" t="n">
        <f aca="false">MIN(AS8,Hypotheses!$D$11+(Hypotheses!$D$12-Hypotheses!$D$11)*MIN(1,(AS3-1)/MAX(1,Hypotheses!$D$13-1))+Hypotheses!$D$14*MAX(0,AS3-Hypotheses!$D$13))</f>
        <v>220</v>
      </c>
      <c r="AT9" s="27" t="n">
        <f aca="false">MIN(AT8,Hypotheses!$D$11+(Hypotheses!$D$12-Hypotheses!$D$11)*MIN(1,(AT3-1)/MAX(1,Hypotheses!$D$13-1))+Hypotheses!$D$14*MAX(0,AT3-Hypotheses!$D$13))</f>
        <v>220</v>
      </c>
      <c r="AU9" s="27" t="n">
        <f aca="false">MIN(AU8,Hypotheses!$D$11+(Hypotheses!$D$12-Hypotheses!$D$11)*MIN(1,(AU3-1)/MAX(1,Hypotheses!$D$13-1))+Hypotheses!$D$14*MAX(0,AU3-Hypotheses!$D$13))</f>
        <v>220</v>
      </c>
      <c r="AV9" s="27" t="n">
        <f aca="false">MIN(AV8,Hypotheses!$D$11+(Hypotheses!$D$12-Hypotheses!$D$11)*MIN(1,(AV3-1)/MAX(1,Hypotheses!$D$13-1))+Hypotheses!$D$14*MAX(0,AV3-Hypotheses!$D$13))</f>
        <v>220</v>
      </c>
      <c r="AW9" s="27" t="n">
        <f aca="false">MIN(AW8,Hypotheses!$D$11+(Hypotheses!$D$12-Hypotheses!$D$11)*MIN(1,(AW3-1)/MAX(1,Hypotheses!$D$13-1))+Hypotheses!$D$14*MAX(0,AW3-Hypotheses!$D$13))</f>
        <v>220</v>
      </c>
      <c r="AX9" s="27" t="n">
        <f aca="false">MIN(AX8,Hypotheses!$D$11+(Hypotheses!$D$12-Hypotheses!$D$11)*MIN(1,(AX3-1)/MAX(1,Hypotheses!$D$13-1))+Hypotheses!$D$14*MAX(0,AX3-Hypotheses!$D$13))</f>
        <v>220</v>
      </c>
      <c r="AY9" s="27" t="n">
        <f aca="false">MIN(AY8,Hypotheses!$D$11+(Hypotheses!$D$12-Hypotheses!$D$11)*MIN(1,(AY3-1)/MAX(1,Hypotheses!$D$13-1))+Hypotheses!$D$14*MAX(0,AY3-Hypotheses!$D$13))</f>
        <v>220</v>
      </c>
      <c r="AZ9" s="27" t="n">
        <f aca="false">MIN(AZ8,Hypotheses!$D$11+(Hypotheses!$D$12-Hypotheses!$D$11)*MIN(1,(AZ3-1)/MAX(1,Hypotheses!$D$13-1))+Hypotheses!$D$14*MAX(0,AZ3-Hypotheses!$D$13))</f>
        <v>220</v>
      </c>
      <c r="BA9" s="27" t="n">
        <f aca="false">MIN(BA8,Hypotheses!$D$11+(Hypotheses!$D$12-Hypotheses!$D$11)*MIN(1,(BA3-1)/MAX(1,Hypotheses!$D$13-1))+Hypotheses!$D$14*MAX(0,BA3-Hypotheses!$D$13))</f>
        <v>220</v>
      </c>
      <c r="BB9" s="27" t="n">
        <f aca="false">MIN(BB8,Hypotheses!$D$11+(Hypotheses!$D$12-Hypotheses!$D$11)*MIN(1,(BB3-1)/MAX(1,Hypotheses!$D$13-1))+Hypotheses!$D$14*MAX(0,BB3-Hypotheses!$D$13))</f>
        <v>220</v>
      </c>
      <c r="BC9" s="27" t="n">
        <f aca="false">MIN(BC8,Hypotheses!$D$11+(Hypotheses!$D$12-Hypotheses!$D$11)*MIN(1,(BC3-1)/MAX(1,Hypotheses!$D$13-1))+Hypotheses!$D$14*MAX(0,BC3-Hypotheses!$D$13))</f>
        <v>220</v>
      </c>
      <c r="BD9" s="27" t="n">
        <f aca="false">MIN(BD8,Hypotheses!$D$11+(Hypotheses!$D$12-Hypotheses!$D$11)*MIN(1,(BD3-1)/MAX(1,Hypotheses!$D$13-1))+Hypotheses!$D$14*MAX(0,BD3-Hypotheses!$D$13))</f>
        <v>220</v>
      </c>
      <c r="BE9" s="27" t="n">
        <f aca="false">MIN(BE8,Hypotheses!$D$11+(Hypotheses!$D$12-Hypotheses!$D$11)*MIN(1,(BE3-1)/MAX(1,Hypotheses!$D$13-1))+Hypotheses!$D$14*MAX(0,BE3-Hypotheses!$D$13))</f>
        <v>220</v>
      </c>
      <c r="BF9" s="27" t="n">
        <f aca="false">MIN(BF8,Hypotheses!$D$11+(Hypotheses!$D$12-Hypotheses!$D$11)*MIN(1,(BF3-1)/MAX(1,Hypotheses!$D$13-1))+Hypotheses!$D$14*MAX(0,BF3-Hypotheses!$D$13))</f>
        <v>220</v>
      </c>
      <c r="BG9" s="27" t="n">
        <f aca="false">MIN(BG8,Hypotheses!$D$11+(Hypotheses!$D$12-Hypotheses!$D$11)*MIN(1,(BG3-1)/MAX(1,Hypotheses!$D$13-1))+Hypotheses!$D$14*MAX(0,BG3-Hypotheses!$D$13))</f>
        <v>220</v>
      </c>
      <c r="BH9" s="27" t="n">
        <f aca="false">MIN(BH8,Hypotheses!$D$11+(Hypotheses!$D$12-Hypotheses!$D$11)*MIN(1,(BH3-1)/MAX(1,Hypotheses!$D$13-1))+Hypotheses!$D$14*MAX(0,BH3-Hypotheses!$D$13))</f>
        <v>220</v>
      </c>
      <c r="BI9" s="27" t="n">
        <f aca="false">MIN(BI8,Hypotheses!$D$11+(Hypotheses!$D$12-Hypotheses!$D$11)*MIN(1,(BI3-1)/MAX(1,Hypotheses!$D$13-1))+Hypotheses!$D$14*MAX(0,BI3-Hypotheses!$D$13))</f>
        <v>220</v>
      </c>
      <c r="BJ9" s="27" t="n">
        <f aca="false">MIN(BJ8,Hypotheses!$D$11+(Hypotheses!$D$12-Hypotheses!$D$11)*MIN(1,(BJ3-1)/MAX(1,Hypotheses!$D$13-1))+Hypotheses!$D$14*MAX(0,BJ3-Hypotheses!$D$13))</f>
        <v>220</v>
      </c>
      <c r="BK9" s="27" t="n">
        <f aca="false">MIN(BK8,Hypotheses!$D$11+(Hypotheses!$D$12-Hypotheses!$D$11)*MIN(1,(BK3-1)/MAX(1,Hypotheses!$D$13-1))+Hypotheses!$D$14*MAX(0,BK3-Hypotheses!$D$13))</f>
        <v>220</v>
      </c>
      <c r="BL9" s="27" t="n">
        <f aca="false">MIN(BL8,Hypotheses!$D$11+(Hypotheses!$D$12-Hypotheses!$D$11)*MIN(1,(BL3-1)/MAX(1,Hypotheses!$D$13-1))+Hypotheses!$D$14*MAX(0,BL3-Hypotheses!$D$13))</f>
        <v>220</v>
      </c>
    </row>
    <row r="10" customFormat="false" ht="15" hidden="false" customHeight="false" outlineLevel="0" collapsed="false">
      <c r="B10" s="2" t="s">
        <v>266</v>
      </c>
      <c r="C10" s="2" t="s">
        <v>167</v>
      </c>
      <c r="E10" s="35" t="n">
        <f aca="false">IF(E8&gt;0,E9/E8,0)</f>
        <v>0.125</v>
      </c>
      <c r="F10" s="35" t="n">
        <f aca="false">IF(F8&gt;0,F9/F8,0)</f>
        <v>0.14945652173913</v>
      </c>
      <c r="G10" s="35" t="n">
        <f aca="false">IF(G8&gt;0,G9/G8,0)</f>
        <v>0.173913043478261</v>
      </c>
      <c r="H10" s="35" t="n">
        <f aca="false">IF(H8&gt;0,H9/H8,0)</f>
        <v>0.198369565217391</v>
      </c>
      <c r="I10" s="35" t="n">
        <f aca="false">IF(I8&gt;0,I9/I8,0)</f>
        <v>0.222826086956522</v>
      </c>
      <c r="J10" s="35" t="n">
        <f aca="false">IF(J8&gt;0,J9/J8,0)</f>
        <v>0.247282608695652</v>
      </c>
      <c r="K10" s="35" t="n">
        <f aca="false">IF(K8&gt;0,K9/K8,0)</f>
        <v>0.271739130434783</v>
      </c>
      <c r="L10" s="35" t="n">
        <f aca="false">IF(L8&gt;0,L9/L8,0)</f>
        <v>0.296195652173913</v>
      </c>
      <c r="M10" s="35" t="n">
        <f aca="false">IF(M8&gt;0,M9/M8,0)</f>
        <v>0.320652173913043</v>
      </c>
      <c r="N10" s="35" t="n">
        <f aca="false">IF(N8&gt;0,N9/N8,0)</f>
        <v>0.345108695652174</v>
      </c>
      <c r="O10" s="35" t="n">
        <f aca="false">IF(O8&gt;0,O9/O8,0)</f>
        <v>0.369565217391304</v>
      </c>
      <c r="P10" s="35" t="n">
        <f aca="false">IF(P8&gt;0,P9/P8,0)</f>
        <v>0.394021739130435</v>
      </c>
      <c r="Q10" s="35" t="n">
        <f aca="false">IF(Q8&gt;0,Q9/Q8,0)</f>
        <v>0.418478260869565</v>
      </c>
      <c r="R10" s="35" t="n">
        <f aca="false">IF(R8&gt;0,R9/R8,0)</f>
        <v>0.442934782608696</v>
      </c>
      <c r="S10" s="35" t="n">
        <f aca="false">IF(S8&gt;0,S9/S8,0)</f>
        <v>0.467391304347826</v>
      </c>
      <c r="T10" s="35" t="n">
        <f aca="false">IF(T8&gt;0,T9/T8,0)</f>
        <v>0.491847826086957</v>
      </c>
      <c r="U10" s="35" t="n">
        <f aca="false">IF(U8&gt;0,U9/U8,0)</f>
        <v>0.516304347826087</v>
      </c>
      <c r="V10" s="35" t="n">
        <f aca="false">IF(V8&gt;0,V9/V8,0)</f>
        <v>0.540760869565217</v>
      </c>
      <c r="W10" s="35" t="n">
        <f aca="false">IF(W8&gt;0,W9/W8,0)</f>
        <v>0.565217391304348</v>
      </c>
      <c r="X10" s="35" t="n">
        <f aca="false">IF(X8&gt;0,X9/X8,0)</f>
        <v>0.589673913043478</v>
      </c>
      <c r="Y10" s="35" t="n">
        <f aca="false">IF(Y8&gt;0,Y9/Y8,0)</f>
        <v>0.614130434782609</v>
      </c>
      <c r="Z10" s="35" t="n">
        <f aca="false">IF(Z8&gt;0,Z9/Z8,0)</f>
        <v>0.638586956521739</v>
      </c>
      <c r="AA10" s="35" t="n">
        <f aca="false">IF(AA8&gt;0,AA9/AA8,0)</f>
        <v>0.66304347826087</v>
      </c>
      <c r="AB10" s="35" t="n">
        <f aca="false">IF(AB8&gt;0,AB9/AB8,0)</f>
        <v>0.6875</v>
      </c>
      <c r="AC10" s="35" t="n">
        <f aca="false">IF(AC8&gt;0,AC9/AC8,0)</f>
        <v>0.6875</v>
      </c>
      <c r="AD10" s="35" t="n">
        <f aca="false">IF(AD8&gt;0,AD9/AD8,0)</f>
        <v>0.6875</v>
      </c>
      <c r="AE10" s="35" t="n">
        <f aca="false">IF(AE8&gt;0,AE9/AE8,0)</f>
        <v>0.6875</v>
      </c>
      <c r="AF10" s="35" t="n">
        <f aca="false">IF(AF8&gt;0,AF9/AF8,0)</f>
        <v>0.6875</v>
      </c>
      <c r="AG10" s="35" t="n">
        <f aca="false">IF(AG8&gt;0,AG9/AG8,0)</f>
        <v>0.6875</v>
      </c>
      <c r="AH10" s="35" t="n">
        <f aca="false">IF(AH8&gt;0,AH9/AH8,0)</f>
        <v>0.6875</v>
      </c>
      <c r="AI10" s="35" t="n">
        <f aca="false">IF(AI8&gt;0,AI9/AI8,0)</f>
        <v>0.6875</v>
      </c>
      <c r="AJ10" s="35" t="n">
        <f aca="false">IF(AJ8&gt;0,AJ9/AJ8,0)</f>
        <v>0.6875</v>
      </c>
      <c r="AK10" s="35" t="n">
        <f aca="false">IF(AK8&gt;0,AK9/AK8,0)</f>
        <v>0.6875</v>
      </c>
      <c r="AL10" s="35" t="n">
        <f aca="false">IF(AL8&gt;0,AL9/AL8,0)</f>
        <v>0.6875</v>
      </c>
      <c r="AM10" s="35" t="n">
        <f aca="false">IF(AM8&gt;0,AM9/AM8,0)</f>
        <v>0.6875</v>
      </c>
      <c r="AN10" s="35" t="n">
        <f aca="false">IF(AN8&gt;0,AN9/AN8,0)</f>
        <v>0.6875</v>
      </c>
      <c r="AO10" s="35" t="n">
        <f aca="false">IF(AO8&gt;0,AO9/AO8,0)</f>
        <v>0.6875</v>
      </c>
      <c r="AP10" s="35" t="n">
        <f aca="false">IF(AP8&gt;0,AP9/AP8,0)</f>
        <v>0.6875</v>
      </c>
      <c r="AQ10" s="35" t="n">
        <f aca="false">IF(AQ8&gt;0,AQ9/AQ8,0)</f>
        <v>0.6875</v>
      </c>
      <c r="AR10" s="35" t="n">
        <f aca="false">IF(AR8&gt;0,AR9/AR8,0)</f>
        <v>0.6875</v>
      </c>
      <c r="AS10" s="35" t="n">
        <f aca="false">IF(AS8&gt;0,AS9/AS8,0)</f>
        <v>0.6875</v>
      </c>
      <c r="AT10" s="35" t="n">
        <f aca="false">IF(AT8&gt;0,AT9/AT8,0)</f>
        <v>0.6875</v>
      </c>
      <c r="AU10" s="35" t="n">
        <f aca="false">IF(AU8&gt;0,AU9/AU8,0)</f>
        <v>0.6875</v>
      </c>
      <c r="AV10" s="35" t="n">
        <f aca="false">IF(AV8&gt;0,AV9/AV8,0)</f>
        <v>0.6875</v>
      </c>
      <c r="AW10" s="35" t="n">
        <f aca="false">IF(AW8&gt;0,AW9/AW8,0)</f>
        <v>0.6875</v>
      </c>
      <c r="AX10" s="35" t="n">
        <f aca="false">IF(AX8&gt;0,AX9/AX8,0)</f>
        <v>0.6875</v>
      </c>
      <c r="AY10" s="35" t="n">
        <f aca="false">IF(AY8&gt;0,AY9/AY8,0)</f>
        <v>0.6875</v>
      </c>
      <c r="AZ10" s="35" t="n">
        <f aca="false">IF(AZ8&gt;0,AZ9/AZ8,0)</f>
        <v>0.6875</v>
      </c>
      <c r="BA10" s="35" t="n">
        <f aca="false">IF(BA8&gt;0,BA9/BA8,0)</f>
        <v>0.6875</v>
      </c>
      <c r="BB10" s="35" t="n">
        <f aca="false">IF(BB8&gt;0,BB9/BB8,0)</f>
        <v>0.6875</v>
      </c>
      <c r="BC10" s="35" t="n">
        <f aca="false">IF(BC8&gt;0,BC9/BC8,0)</f>
        <v>0.6875</v>
      </c>
      <c r="BD10" s="35" t="n">
        <f aca="false">IF(BD8&gt;0,BD9/BD8,0)</f>
        <v>0.6875</v>
      </c>
      <c r="BE10" s="35" t="n">
        <f aca="false">IF(BE8&gt;0,BE9/BE8,0)</f>
        <v>0.6875</v>
      </c>
      <c r="BF10" s="35" t="n">
        <f aca="false">IF(BF8&gt;0,BF9/BF8,0)</f>
        <v>0.6875</v>
      </c>
      <c r="BG10" s="35" t="n">
        <f aca="false">IF(BG8&gt;0,BG9/BG8,0)</f>
        <v>0.6875</v>
      </c>
      <c r="BH10" s="35" t="n">
        <f aca="false">IF(BH8&gt;0,BH9/BH8,0)</f>
        <v>0.6875</v>
      </c>
      <c r="BI10" s="35" t="n">
        <f aca="false">IF(BI8&gt;0,BI9/BI8,0)</f>
        <v>0.6875</v>
      </c>
      <c r="BJ10" s="35" t="n">
        <f aca="false">IF(BJ8&gt;0,BJ9/BJ8,0)</f>
        <v>0.6875</v>
      </c>
      <c r="BK10" s="35" t="n">
        <f aca="false">IF(BK8&gt;0,BK9/BK8,0)</f>
        <v>0.6875</v>
      </c>
      <c r="BL10" s="35" t="n">
        <f aca="false">IF(BL8&gt;0,BL9/BL8,0)</f>
        <v>0.6875</v>
      </c>
    </row>
    <row r="11" customFormat="false" ht="15" hidden="false" customHeight="false" outlineLevel="0" collapsed="false">
      <c r="B11" s="2" t="s">
        <v>267</v>
      </c>
      <c r="C11" s="2" t="s">
        <v>268</v>
      </c>
      <c r="E11" s="27" t="n">
        <f aca="false">E9*Hypotheses!$D$17</f>
        <v>1040</v>
      </c>
      <c r="F11" s="27" t="n">
        <f aca="false">F9*Hypotheses!$D$17</f>
        <v>1243.47826086957</v>
      </c>
      <c r="G11" s="27" t="n">
        <f aca="false">G9*Hypotheses!$D$17</f>
        <v>1446.95652173913</v>
      </c>
      <c r="H11" s="27" t="n">
        <f aca="false">H9*Hypotheses!$D$17</f>
        <v>1650.4347826087</v>
      </c>
      <c r="I11" s="27" t="n">
        <f aca="false">I9*Hypotheses!$D$17</f>
        <v>1853.91304347826</v>
      </c>
      <c r="J11" s="27" t="n">
        <f aca="false">J9*Hypotheses!$D$17</f>
        <v>2057.39130434783</v>
      </c>
      <c r="K11" s="27" t="n">
        <f aca="false">K9*Hypotheses!$D$17</f>
        <v>2260.86956521739</v>
      </c>
      <c r="L11" s="27" t="n">
        <f aca="false">L9*Hypotheses!$D$17</f>
        <v>2464.34782608696</v>
      </c>
      <c r="M11" s="27" t="n">
        <f aca="false">M9*Hypotheses!$D$17</f>
        <v>2667.82608695652</v>
      </c>
      <c r="N11" s="27" t="n">
        <f aca="false">N9*Hypotheses!$D$17</f>
        <v>2871.30434782609</v>
      </c>
      <c r="O11" s="27" t="n">
        <f aca="false">O9*Hypotheses!$D$17</f>
        <v>3074.78260869565</v>
      </c>
      <c r="P11" s="27" t="n">
        <f aca="false">P9*Hypotheses!$D$17</f>
        <v>3278.26086956522</v>
      </c>
      <c r="Q11" s="27" t="n">
        <f aca="false">Q9*Hypotheses!$D$17</f>
        <v>3481.73913043478</v>
      </c>
      <c r="R11" s="27" t="n">
        <f aca="false">R9*Hypotheses!$D$17</f>
        <v>3685.21739130435</v>
      </c>
      <c r="S11" s="27" t="n">
        <f aca="false">S9*Hypotheses!$D$17</f>
        <v>3888.69565217391</v>
      </c>
      <c r="T11" s="27" t="n">
        <f aca="false">T9*Hypotheses!$D$17</f>
        <v>4092.17391304348</v>
      </c>
      <c r="U11" s="27" t="n">
        <f aca="false">U9*Hypotheses!$D$17</f>
        <v>4295.65217391304</v>
      </c>
      <c r="V11" s="27" t="n">
        <f aca="false">V9*Hypotheses!$D$17</f>
        <v>4499.13043478261</v>
      </c>
      <c r="W11" s="27" t="n">
        <f aca="false">W9*Hypotheses!$D$17</f>
        <v>4702.60869565217</v>
      </c>
      <c r="X11" s="27" t="n">
        <f aca="false">X9*Hypotheses!$D$17</f>
        <v>4906.08695652174</v>
      </c>
      <c r="Y11" s="27" t="n">
        <f aca="false">Y9*Hypotheses!$D$17</f>
        <v>5109.5652173913</v>
      </c>
      <c r="Z11" s="27" t="n">
        <f aca="false">Z9*Hypotheses!$D$17</f>
        <v>5313.04347826087</v>
      </c>
      <c r="AA11" s="27" t="n">
        <f aca="false">AA9*Hypotheses!$D$17</f>
        <v>5516.52173913044</v>
      </c>
      <c r="AB11" s="27" t="n">
        <f aca="false">AB9*Hypotheses!$D$17</f>
        <v>5720</v>
      </c>
      <c r="AC11" s="27" t="n">
        <f aca="false">AC9*Hypotheses!$D$17</f>
        <v>5720</v>
      </c>
      <c r="AD11" s="27" t="n">
        <f aca="false">AD9*Hypotheses!$D$17</f>
        <v>5720</v>
      </c>
      <c r="AE11" s="27" t="n">
        <f aca="false">AE9*Hypotheses!$D$17</f>
        <v>5720</v>
      </c>
      <c r="AF11" s="27" t="n">
        <f aca="false">AF9*Hypotheses!$D$17</f>
        <v>5720</v>
      </c>
      <c r="AG11" s="27" t="n">
        <f aca="false">AG9*Hypotheses!$D$17</f>
        <v>5720</v>
      </c>
      <c r="AH11" s="27" t="n">
        <f aca="false">AH9*Hypotheses!$D$17</f>
        <v>5720</v>
      </c>
      <c r="AI11" s="27" t="n">
        <f aca="false">AI9*Hypotheses!$D$17</f>
        <v>5720</v>
      </c>
      <c r="AJ11" s="27" t="n">
        <f aca="false">AJ9*Hypotheses!$D$17</f>
        <v>5720</v>
      </c>
      <c r="AK11" s="27" t="n">
        <f aca="false">AK9*Hypotheses!$D$17</f>
        <v>5720</v>
      </c>
      <c r="AL11" s="27" t="n">
        <f aca="false">AL9*Hypotheses!$D$17</f>
        <v>5720</v>
      </c>
      <c r="AM11" s="27" t="n">
        <f aca="false">AM9*Hypotheses!$D$17</f>
        <v>5720</v>
      </c>
      <c r="AN11" s="27" t="n">
        <f aca="false">AN9*Hypotheses!$D$17</f>
        <v>5720</v>
      </c>
      <c r="AO11" s="27" t="n">
        <f aca="false">AO9*Hypotheses!$D$17</f>
        <v>5720</v>
      </c>
      <c r="AP11" s="27" t="n">
        <f aca="false">AP9*Hypotheses!$D$17</f>
        <v>5720</v>
      </c>
      <c r="AQ11" s="27" t="n">
        <f aca="false">AQ9*Hypotheses!$D$17</f>
        <v>5720</v>
      </c>
      <c r="AR11" s="27" t="n">
        <f aca="false">AR9*Hypotheses!$D$17</f>
        <v>5720</v>
      </c>
      <c r="AS11" s="27" t="n">
        <f aca="false">AS9*Hypotheses!$D$17</f>
        <v>5720</v>
      </c>
      <c r="AT11" s="27" t="n">
        <f aca="false">AT9*Hypotheses!$D$17</f>
        <v>5720</v>
      </c>
      <c r="AU11" s="27" t="n">
        <f aca="false">AU9*Hypotheses!$D$17</f>
        <v>5720</v>
      </c>
      <c r="AV11" s="27" t="n">
        <f aca="false">AV9*Hypotheses!$D$17</f>
        <v>5720</v>
      </c>
      <c r="AW11" s="27" t="n">
        <f aca="false">AW9*Hypotheses!$D$17</f>
        <v>5720</v>
      </c>
      <c r="AX11" s="27" t="n">
        <f aca="false">AX9*Hypotheses!$D$17</f>
        <v>5720</v>
      </c>
      <c r="AY11" s="27" t="n">
        <f aca="false">AY9*Hypotheses!$D$17</f>
        <v>5720</v>
      </c>
      <c r="AZ11" s="27" t="n">
        <f aca="false">AZ9*Hypotheses!$D$17</f>
        <v>5720</v>
      </c>
      <c r="BA11" s="27" t="n">
        <f aca="false">BA9*Hypotheses!$D$17</f>
        <v>5720</v>
      </c>
      <c r="BB11" s="27" t="n">
        <f aca="false">BB9*Hypotheses!$D$17</f>
        <v>5720</v>
      </c>
      <c r="BC11" s="27" t="n">
        <f aca="false">BC9*Hypotheses!$D$17</f>
        <v>5720</v>
      </c>
      <c r="BD11" s="27" t="n">
        <f aca="false">BD9*Hypotheses!$D$17</f>
        <v>5720</v>
      </c>
      <c r="BE11" s="27" t="n">
        <f aca="false">BE9*Hypotheses!$D$17</f>
        <v>5720</v>
      </c>
      <c r="BF11" s="27" t="n">
        <f aca="false">BF9*Hypotheses!$D$17</f>
        <v>5720</v>
      </c>
      <c r="BG11" s="27" t="n">
        <f aca="false">BG9*Hypotheses!$D$17</f>
        <v>5720</v>
      </c>
      <c r="BH11" s="27" t="n">
        <f aca="false">BH9*Hypotheses!$D$17</f>
        <v>5720</v>
      </c>
      <c r="BI11" s="27" t="n">
        <f aca="false">BI9*Hypotheses!$D$17</f>
        <v>5720</v>
      </c>
      <c r="BJ11" s="27" t="n">
        <f aca="false">BJ9*Hypotheses!$D$17</f>
        <v>5720</v>
      </c>
      <c r="BK11" s="27" t="n">
        <f aca="false">BK9*Hypotheses!$D$17</f>
        <v>5720</v>
      </c>
      <c r="BL11" s="27" t="n">
        <f aca="false">BL9*Hypotheses!$D$17</f>
        <v>5720</v>
      </c>
    </row>
    <row r="12" customFormat="false" ht="15" hidden="false" customHeight="false" outlineLevel="0" collapsed="false">
      <c r="B12" s="2" t="s">
        <v>269</v>
      </c>
      <c r="C12" s="2" t="s">
        <v>167</v>
      </c>
      <c r="E12" s="35" t="n">
        <f aca="false">Hypotheses!$D$21*MIN(1,(E3-1)/47)</f>
        <v>0</v>
      </c>
      <c r="F12" s="35" t="n">
        <f aca="false">Hypotheses!$D$21*MIN(1,(F3-1)/47)</f>
        <v>0.00531914893617021</v>
      </c>
      <c r="G12" s="35" t="n">
        <f aca="false">Hypotheses!$D$21*MIN(1,(G3-1)/47)</f>
        <v>0.0106382978723404</v>
      </c>
      <c r="H12" s="35" t="n">
        <f aca="false">Hypotheses!$D$21*MIN(1,(H3-1)/47)</f>
        <v>0.0159574468085106</v>
      </c>
      <c r="I12" s="35" t="n">
        <f aca="false">Hypotheses!$D$21*MIN(1,(I3-1)/47)</f>
        <v>0.0212765957446809</v>
      </c>
      <c r="J12" s="35" t="n">
        <f aca="false">Hypotheses!$D$21*MIN(1,(J3-1)/47)</f>
        <v>0.0265957446808511</v>
      </c>
      <c r="K12" s="35" t="n">
        <f aca="false">Hypotheses!$D$21*MIN(1,(K3-1)/47)</f>
        <v>0.0319148936170213</v>
      </c>
      <c r="L12" s="35" t="n">
        <f aca="false">Hypotheses!$D$21*MIN(1,(L3-1)/47)</f>
        <v>0.0372340425531915</v>
      </c>
      <c r="M12" s="35" t="n">
        <f aca="false">Hypotheses!$D$21*MIN(1,(M3-1)/47)</f>
        <v>0.0425531914893617</v>
      </c>
      <c r="N12" s="35" t="n">
        <f aca="false">Hypotheses!$D$21*MIN(1,(N3-1)/47)</f>
        <v>0.0478723404255319</v>
      </c>
      <c r="O12" s="35" t="n">
        <f aca="false">Hypotheses!$D$21*MIN(1,(O3-1)/47)</f>
        <v>0.0531914893617021</v>
      </c>
      <c r="P12" s="35" t="n">
        <f aca="false">Hypotheses!$D$21*MIN(1,(P3-1)/47)</f>
        <v>0.0585106382978723</v>
      </c>
      <c r="Q12" s="35" t="n">
        <f aca="false">Hypotheses!$D$21*MIN(1,(Q3-1)/47)</f>
        <v>0.0638297872340426</v>
      </c>
      <c r="R12" s="35" t="n">
        <f aca="false">Hypotheses!$D$21*MIN(1,(R3-1)/47)</f>
        <v>0.0691489361702128</v>
      </c>
      <c r="S12" s="35" t="n">
        <f aca="false">Hypotheses!$D$21*MIN(1,(S3-1)/47)</f>
        <v>0.074468085106383</v>
      </c>
      <c r="T12" s="35" t="n">
        <f aca="false">Hypotheses!$D$21*MIN(1,(T3-1)/47)</f>
        <v>0.0797872340425532</v>
      </c>
      <c r="U12" s="35" t="n">
        <f aca="false">Hypotheses!$D$21*MIN(1,(U3-1)/47)</f>
        <v>0.0851063829787234</v>
      </c>
      <c r="V12" s="35" t="n">
        <f aca="false">Hypotheses!$D$21*MIN(1,(V3-1)/47)</f>
        <v>0.0904255319148936</v>
      </c>
      <c r="W12" s="35" t="n">
        <f aca="false">Hypotheses!$D$21*MIN(1,(W3-1)/47)</f>
        <v>0.0957446808510638</v>
      </c>
      <c r="X12" s="35" t="n">
        <f aca="false">Hypotheses!$D$21*MIN(1,(X3-1)/47)</f>
        <v>0.101063829787234</v>
      </c>
      <c r="Y12" s="35" t="n">
        <f aca="false">Hypotheses!$D$21*MIN(1,(Y3-1)/47)</f>
        <v>0.106382978723404</v>
      </c>
      <c r="Z12" s="35" t="n">
        <f aca="false">Hypotheses!$D$21*MIN(1,(Z3-1)/47)</f>
        <v>0.111702127659574</v>
      </c>
      <c r="AA12" s="35" t="n">
        <f aca="false">Hypotheses!$D$21*MIN(1,(AA3-1)/47)</f>
        <v>0.117021276595745</v>
      </c>
      <c r="AB12" s="35" t="n">
        <f aca="false">Hypotheses!$D$21*MIN(1,(AB3-1)/47)</f>
        <v>0.122340425531915</v>
      </c>
      <c r="AC12" s="35" t="n">
        <f aca="false">Hypotheses!$D$21*MIN(1,(AC3-1)/47)</f>
        <v>0.127659574468085</v>
      </c>
      <c r="AD12" s="35" t="n">
        <f aca="false">Hypotheses!$D$21*MIN(1,(AD3-1)/47)</f>
        <v>0.132978723404255</v>
      </c>
      <c r="AE12" s="35" t="n">
        <f aca="false">Hypotheses!$D$21*MIN(1,(AE3-1)/47)</f>
        <v>0.138297872340426</v>
      </c>
      <c r="AF12" s="35" t="n">
        <f aca="false">Hypotheses!$D$21*MIN(1,(AF3-1)/47)</f>
        <v>0.143617021276596</v>
      </c>
      <c r="AG12" s="35" t="n">
        <f aca="false">Hypotheses!$D$21*MIN(1,(AG3-1)/47)</f>
        <v>0.148936170212766</v>
      </c>
      <c r="AH12" s="35" t="n">
        <f aca="false">Hypotheses!$D$21*MIN(1,(AH3-1)/47)</f>
        <v>0.154255319148936</v>
      </c>
      <c r="AI12" s="35" t="n">
        <f aca="false">Hypotheses!$D$21*MIN(1,(AI3-1)/47)</f>
        <v>0.159574468085106</v>
      </c>
      <c r="AJ12" s="35" t="n">
        <f aca="false">Hypotheses!$D$21*MIN(1,(AJ3-1)/47)</f>
        <v>0.164893617021277</v>
      </c>
      <c r="AK12" s="35" t="n">
        <f aca="false">Hypotheses!$D$21*MIN(1,(AK3-1)/47)</f>
        <v>0.170212765957447</v>
      </c>
      <c r="AL12" s="35" t="n">
        <f aca="false">Hypotheses!$D$21*MIN(1,(AL3-1)/47)</f>
        <v>0.175531914893617</v>
      </c>
      <c r="AM12" s="35" t="n">
        <f aca="false">Hypotheses!$D$21*MIN(1,(AM3-1)/47)</f>
        <v>0.180851063829787</v>
      </c>
      <c r="AN12" s="35" t="n">
        <f aca="false">Hypotheses!$D$21*MIN(1,(AN3-1)/47)</f>
        <v>0.186170212765957</v>
      </c>
      <c r="AO12" s="35" t="n">
        <f aca="false">Hypotheses!$D$21*MIN(1,(AO3-1)/47)</f>
        <v>0.191489361702128</v>
      </c>
      <c r="AP12" s="35" t="n">
        <f aca="false">Hypotheses!$D$21*MIN(1,(AP3-1)/47)</f>
        <v>0.196808510638298</v>
      </c>
      <c r="AQ12" s="35" t="n">
        <f aca="false">Hypotheses!$D$21*MIN(1,(AQ3-1)/47)</f>
        <v>0.202127659574468</v>
      </c>
      <c r="AR12" s="35" t="n">
        <f aca="false">Hypotheses!$D$21*MIN(1,(AR3-1)/47)</f>
        <v>0.207446808510638</v>
      </c>
      <c r="AS12" s="35" t="n">
        <f aca="false">Hypotheses!$D$21*MIN(1,(AS3-1)/47)</f>
        <v>0.212765957446809</v>
      </c>
      <c r="AT12" s="35" t="n">
        <f aca="false">Hypotheses!$D$21*MIN(1,(AT3-1)/47)</f>
        <v>0.218085106382979</v>
      </c>
      <c r="AU12" s="35" t="n">
        <f aca="false">Hypotheses!$D$21*MIN(1,(AU3-1)/47)</f>
        <v>0.223404255319149</v>
      </c>
      <c r="AV12" s="35" t="n">
        <f aca="false">Hypotheses!$D$21*MIN(1,(AV3-1)/47)</f>
        <v>0.228723404255319</v>
      </c>
      <c r="AW12" s="35" t="n">
        <f aca="false">Hypotheses!$D$21*MIN(1,(AW3-1)/47)</f>
        <v>0.234042553191489</v>
      </c>
      <c r="AX12" s="35" t="n">
        <f aca="false">Hypotheses!$D$21*MIN(1,(AX3-1)/47)</f>
        <v>0.23936170212766</v>
      </c>
      <c r="AY12" s="35" t="n">
        <f aca="false">Hypotheses!$D$21*MIN(1,(AY3-1)/47)</f>
        <v>0.24468085106383</v>
      </c>
      <c r="AZ12" s="35" t="n">
        <f aca="false">Hypotheses!$D$21*MIN(1,(AZ3-1)/47)</f>
        <v>0.25</v>
      </c>
      <c r="BA12" s="35" t="n">
        <f aca="false">Hypotheses!$D$21*MIN(1,(BA3-1)/47)</f>
        <v>0.25</v>
      </c>
      <c r="BB12" s="35" t="n">
        <f aca="false">Hypotheses!$D$21*MIN(1,(BB3-1)/47)</f>
        <v>0.25</v>
      </c>
      <c r="BC12" s="35" t="n">
        <f aca="false">Hypotheses!$D$21*MIN(1,(BC3-1)/47)</f>
        <v>0.25</v>
      </c>
      <c r="BD12" s="35" t="n">
        <f aca="false">Hypotheses!$D$21*MIN(1,(BD3-1)/47)</f>
        <v>0.25</v>
      </c>
      <c r="BE12" s="35" t="n">
        <f aca="false">Hypotheses!$D$21*MIN(1,(BE3-1)/47)</f>
        <v>0.25</v>
      </c>
      <c r="BF12" s="35" t="n">
        <f aca="false">Hypotheses!$D$21*MIN(1,(BF3-1)/47)</f>
        <v>0.25</v>
      </c>
      <c r="BG12" s="35" t="n">
        <f aca="false">Hypotheses!$D$21*MIN(1,(BG3-1)/47)</f>
        <v>0.25</v>
      </c>
      <c r="BH12" s="35" t="n">
        <f aca="false">Hypotheses!$D$21*MIN(1,(BH3-1)/47)</f>
        <v>0.25</v>
      </c>
      <c r="BI12" s="35" t="n">
        <f aca="false">Hypotheses!$D$21*MIN(1,(BI3-1)/47)</f>
        <v>0.25</v>
      </c>
      <c r="BJ12" s="35" t="n">
        <f aca="false">Hypotheses!$D$21*MIN(1,(BJ3-1)/47)</f>
        <v>0.25</v>
      </c>
      <c r="BK12" s="35" t="n">
        <f aca="false">Hypotheses!$D$21*MIN(1,(BK3-1)/47)</f>
        <v>0.25</v>
      </c>
      <c r="BL12" s="35" t="n">
        <f aca="false">Hypotheses!$D$21*MIN(1,(BL3-1)/47)</f>
        <v>0.25</v>
      </c>
    </row>
    <row r="13" customFormat="false" ht="15" hidden="false" customHeight="false" outlineLevel="0" collapsed="false">
      <c r="B13" s="2" t="s">
        <v>270</v>
      </c>
      <c r="C13" s="2" t="s">
        <v>268</v>
      </c>
      <c r="E13" s="27" t="n">
        <f aca="false">E11*(1-E12)</f>
        <v>1040</v>
      </c>
      <c r="F13" s="27" t="n">
        <f aca="false">F11*(1-F12)</f>
        <v>1236.86401480111</v>
      </c>
      <c r="G13" s="27" t="n">
        <f aca="false">G11*(1-G12)</f>
        <v>1431.56336725254</v>
      </c>
      <c r="H13" s="27" t="n">
        <f aca="false">H11*(1-H12)</f>
        <v>1624.0980573543</v>
      </c>
      <c r="I13" s="27" t="n">
        <f aca="false">I11*(1-I12)</f>
        <v>1814.46808510638</v>
      </c>
      <c r="J13" s="27" t="n">
        <f aca="false">J11*(1-J12)</f>
        <v>2002.67345050879</v>
      </c>
      <c r="K13" s="27" t="n">
        <f aca="false">K11*(1-K12)</f>
        <v>2188.71415356152</v>
      </c>
      <c r="L13" s="27" t="n">
        <f aca="false">L11*(1-L12)</f>
        <v>2372.59019426457</v>
      </c>
      <c r="M13" s="27" t="n">
        <f aca="false">M11*(1-M12)</f>
        <v>2554.30157261795</v>
      </c>
      <c r="N13" s="27" t="n">
        <f aca="false">N11*(1-N12)</f>
        <v>2733.84828862165</v>
      </c>
      <c r="O13" s="27" t="n">
        <f aca="false">O11*(1-O12)</f>
        <v>2911.23034227567</v>
      </c>
      <c r="P13" s="27" t="n">
        <f aca="false">P11*(1-P12)</f>
        <v>3086.44773358002</v>
      </c>
      <c r="Q13" s="27" t="n">
        <f aca="false">Q11*(1-Q12)</f>
        <v>3259.50046253469</v>
      </c>
      <c r="R13" s="27" t="n">
        <f aca="false">R11*(1-R12)</f>
        <v>3430.38852913969</v>
      </c>
      <c r="S13" s="27" t="n">
        <f aca="false">S11*(1-S12)</f>
        <v>3599.11193339501</v>
      </c>
      <c r="T13" s="27" t="n">
        <f aca="false">T11*(1-T12)</f>
        <v>3765.67067530065</v>
      </c>
      <c r="U13" s="27" t="n">
        <f aca="false">U11*(1-U12)</f>
        <v>3930.06475485661</v>
      </c>
      <c r="V13" s="27" t="n">
        <f aca="false">V11*(1-V12)</f>
        <v>4092.2941720629</v>
      </c>
      <c r="W13" s="27" t="n">
        <f aca="false">W11*(1-W12)</f>
        <v>4252.35892691952</v>
      </c>
      <c r="X13" s="27" t="n">
        <f aca="false">X11*(1-X12)</f>
        <v>4410.25901942646</v>
      </c>
      <c r="Y13" s="27" t="n">
        <f aca="false">Y11*(1-Y12)</f>
        <v>4565.99444958372</v>
      </c>
      <c r="Z13" s="27" t="n">
        <f aca="false">Z11*(1-Z12)</f>
        <v>4719.5652173913</v>
      </c>
      <c r="AA13" s="27" t="n">
        <f aca="false">AA11*(1-AA12)</f>
        <v>4870.97132284921</v>
      </c>
      <c r="AB13" s="27" t="n">
        <f aca="false">AB11*(1-AB12)</f>
        <v>5020.21276595745</v>
      </c>
      <c r="AC13" s="27" t="n">
        <f aca="false">AC11*(1-AC12)</f>
        <v>4989.78723404255</v>
      </c>
      <c r="AD13" s="27" t="n">
        <f aca="false">AD11*(1-AD12)</f>
        <v>4959.36170212766</v>
      </c>
      <c r="AE13" s="27" t="n">
        <f aca="false">AE11*(1-AE12)</f>
        <v>4928.93617021277</v>
      </c>
      <c r="AF13" s="27" t="n">
        <f aca="false">AF11*(1-AF12)</f>
        <v>4898.51063829787</v>
      </c>
      <c r="AG13" s="27" t="n">
        <f aca="false">AG11*(1-AG12)</f>
        <v>4868.08510638298</v>
      </c>
      <c r="AH13" s="27" t="n">
        <f aca="false">AH11*(1-AH12)</f>
        <v>4837.65957446809</v>
      </c>
      <c r="AI13" s="27" t="n">
        <f aca="false">AI11*(1-AI12)</f>
        <v>4807.23404255319</v>
      </c>
      <c r="AJ13" s="27" t="n">
        <f aca="false">AJ11*(1-AJ12)</f>
        <v>4776.8085106383</v>
      </c>
      <c r="AK13" s="27" t="n">
        <f aca="false">AK11*(1-AK12)</f>
        <v>4746.3829787234</v>
      </c>
      <c r="AL13" s="27" t="n">
        <f aca="false">AL11*(1-AL12)</f>
        <v>4715.95744680851</v>
      </c>
      <c r="AM13" s="27" t="n">
        <f aca="false">AM11*(1-AM12)</f>
        <v>4685.53191489362</v>
      </c>
      <c r="AN13" s="27" t="n">
        <f aca="false">AN11*(1-AN12)</f>
        <v>4655.10638297872</v>
      </c>
      <c r="AO13" s="27" t="n">
        <f aca="false">AO11*(1-AO12)</f>
        <v>4624.68085106383</v>
      </c>
      <c r="AP13" s="27" t="n">
        <f aca="false">AP11*(1-AP12)</f>
        <v>4594.25531914894</v>
      </c>
      <c r="AQ13" s="27" t="n">
        <f aca="false">AQ11*(1-AQ12)</f>
        <v>4563.82978723404</v>
      </c>
      <c r="AR13" s="27" t="n">
        <f aca="false">AR11*(1-AR12)</f>
        <v>4533.40425531915</v>
      </c>
      <c r="AS13" s="27" t="n">
        <f aca="false">AS11*(1-AS12)</f>
        <v>4502.97872340426</v>
      </c>
      <c r="AT13" s="27" t="n">
        <f aca="false">AT11*(1-AT12)</f>
        <v>4472.55319148936</v>
      </c>
      <c r="AU13" s="27" t="n">
        <f aca="false">AU11*(1-AU12)</f>
        <v>4442.12765957447</v>
      </c>
      <c r="AV13" s="27" t="n">
        <f aca="false">AV11*(1-AV12)</f>
        <v>4411.70212765957</v>
      </c>
      <c r="AW13" s="27" t="n">
        <f aca="false">AW11*(1-AW12)</f>
        <v>4381.27659574468</v>
      </c>
      <c r="AX13" s="27" t="n">
        <f aca="false">AX11*(1-AX12)</f>
        <v>4350.85106382979</v>
      </c>
      <c r="AY13" s="27" t="n">
        <f aca="false">AY11*(1-AY12)</f>
        <v>4320.42553191489</v>
      </c>
      <c r="AZ13" s="27" t="n">
        <f aca="false">AZ11*(1-AZ12)</f>
        <v>4290</v>
      </c>
      <c r="BA13" s="27" t="n">
        <f aca="false">BA11*(1-BA12)</f>
        <v>4290</v>
      </c>
      <c r="BB13" s="27" t="n">
        <f aca="false">BB11*(1-BB12)</f>
        <v>4290</v>
      </c>
      <c r="BC13" s="27" t="n">
        <f aca="false">BC11*(1-BC12)</f>
        <v>4290</v>
      </c>
      <c r="BD13" s="27" t="n">
        <f aca="false">BD11*(1-BD12)</f>
        <v>4290</v>
      </c>
      <c r="BE13" s="27" t="n">
        <f aca="false">BE11*(1-BE12)</f>
        <v>4290</v>
      </c>
      <c r="BF13" s="27" t="n">
        <f aca="false">BF11*(1-BF12)</f>
        <v>4290</v>
      </c>
      <c r="BG13" s="27" t="n">
        <f aca="false">BG11*(1-BG12)</f>
        <v>4290</v>
      </c>
      <c r="BH13" s="27" t="n">
        <f aca="false">BH11*(1-BH12)</f>
        <v>4290</v>
      </c>
      <c r="BI13" s="27" t="n">
        <f aca="false">BI11*(1-BI12)</f>
        <v>4290</v>
      </c>
      <c r="BJ13" s="27" t="n">
        <f aca="false">BJ11*(1-BJ12)</f>
        <v>4290</v>
      </c>
      <c r="BK13" s="27" t="n">
        <f aca="false">BK11*(1-BK12)</f>
        <v>4290</v>
      </c>
      <c r="BL13" s="27" t="n">
        <f aca="false">BL11*(1-BL12)</f>
        <v>4290</v>
      </c>
    </row>
    <row r="14" customFormat="false" ht="15" hidden="false" customHeight="false" outlineLevel="0" collapsed="false">
      <c r="B14" s="2" t="s">
        <v>271</v>
      </c>
      <c r="C14" s="2" t="s">
        <v>268</v>
      </c>
      <c r="E14" s="27" t="n">
        <f aca="false">E11*E12</f>
        <v>0</v>
      </c>
      <c r="F14" s="27" t="n">
        <f aca="false">F11*F12</f>
        <v>6.61424606845513</v>
      </c>
      <c r="G14" s="27" t="n">
        <f aca="false">G11*G12</f>
        <v>15.3931544865865</v>
      </c>
      <c r="H14" s="27" t="n">
        <f aca="false">H11*H12</f>
        <v>26.3367252543941</v>
      </c>
      <c r="I14" s="27" t="n">
        <f aca="false">I11*I12</f>
        <v>39.4449583718779</v>
      </c>
      <c r="J14" s="27" t="n">
        <f aca="false">J11*J12</f>
        <v>54.7178538390379</v>
      </c>
      <c r="K14" s="27" t="n">
        <f aca="false">K11*K12</f>
        <v>72.1554116558742</v>
      </c>
      <c r="L14" s="27" t="n">
        <f aca="false">L11*L12</f>
        <v>91.7576318223867</v>
      </c>
      <c r="M14" s="27" t="n">
        <f aca="false">M11*M12</f>
        <v>113.524514338575</v>
      </c>
      <c r="N14" s="27" t="n">
        <f aca="false">N11*N12</f>
        <v>137.45605920444</v>
      </c>
      <c r="O14" s="27" t="n">
        <f aca="false">O11*O12</f>
        <v>163.552266419982</v>
      </c>
      <c r="P14" s="27" t="n">
        <f aca="false">P11*P12</f>
        <v>191.813135985199</v>
      </c>
      <c r="Q14" s="27" t="n">
        <f aca="false">Q11*Q12</f>
        <v>222.238667900093</v>
      </c>
      <c r="R14" s="27" t="n">
        <f aca="false">R11*R12</f>
        <v>254.828862164662</v>
      </c>
      <c r="S14" s="27" t="n">
        <f aca="false">S11*S12</f>
        <v>289.583718778908</v>
      </c>
      <c r="T14" s="27" t="n">
        <f aca="false">T11*T12</f>
        <v>326.503237742831</v>
      </c>
      <c r="U14" s="27" t="n">
        <f aca="false">U11*U12</f>
        <v>365.587419056429</v>
      </c>
      <c r="V14" s="27" t="n">
        <f aca="false">V11*V12</f>
        <v>406.836262719704</v>
      </c>
      <c r="W14" s="27" t="n">
        <f aca="false">W11*W12</f>
        <v>450.249768732655</v>
      </c>
      <c r="X14" s="27" t="n">
        <f aca="false">X11*X12</f>
        <v>495.827937095282</v>
      </c>
      <c r="Y14" s="27" t="n">
        <f aca="false">Y11*Y12</f>
        <v>543.570767807586</v>
      </c>
      <c r="Z14" s="27" t="n">
        <f aca="false">Z11*Z12</f>
        <v>593.478260869565</v>
      </c>
      <c r="AA14" s="27" t="n">
        <f aca="false">AA11*AA12</f>
        <v>645.550416281221</v>
      </c>
      <c r="AB14" s="27" t="n">
        <f aca="false">AB11*AB12</f>
        <v>699.787234042553</v>
      </c>
      <c r="AC14" s="27" t="n">
        <f aca="false">AC11*AC12</f>
        <v>730.212765957447</v>
      </c>
      <c r="AD14" s="27" t="n">
        <f aca="false">AD11*AD12</f>
        <v>760.63829787234</v>
      </c>
      <c r="AE14" s="27" t="n">
        <f aca="false">AE11*AE12</f>
        <v>791.063829787234</v>
      </c>
      <c r="AF14" s="27" t="n">
        <f aca="false">AF11*AF12</f>
        <v>821.489361702128</v>
      </c>
      <c r="AG14" s="27" t="n">
        <f aca="false">AG11*AG12</f>
        <v>851.914893617021</v>
      </c>
      <c r="AH14" s="27" t="n">
        <f aca="false">AH11*AH12</f>
        <v>882.340425531915</v>
      </c>
      <c r="AI14" s="27" t="n">
        <f aca="false">AI11*AI12</f>
        <v>912.765957446809</v>
      </c>
      <c r="AJ14" s="27" t="n">
        <f aca="false">AJ11*AJ12</f>
        <v>943.191489361702</v>
      </c>
      <c r="AK14" s="27" t="n">
        <f aca="false">AK11*AK12</f>
        <v>973.617021276596</v>
      </c>
      <c r="AL14" s="27" t="n">
        <f aca="false">AL11*AL12</f>
        <v>1004.04255319149</v>
      </c>
      <c r="AM14" s="27" t="n">
        <f aca="false">AM11*AM12</f>
        <v>1034.46808510638</v>
      </c>
      <c r="AN14" s="27" t="n">
        <f aca="false">AN11*AN12</f>
        <v>1064.89361702128</v>
      </c>
      <c r="AO14" s="27" t="n">
        <f aca="false">AO11*AO12</f>
        <v>1095.31914893617</v>
      </c>
      <c r="AP14" s="27" t="n">
        <f aca="false">AP11*AP12</f>
        <v>1125.74468085106</v>
      </c>
      <c r="AQ14" s="27" t="n">
        <f aca="false">AQ11*AQ12</f>
        <v>1156.17021276596</v>
      </c>
      <c r="AR14" s="27" t="n">
        <f aca="false">AR11*AR12</f>
        <v>1186.59574468085</v>
      </c>
      <c r="AS14" s="27" t="n">
        <f aca="false">AS11*AS12</f>
        <v>1217.02127659574</v>
      </c>
      <c r="AT14" s="27" t="n">
        <f aca="false">AT11*AT12</f>
        <v>1247.44680851064</v>
      </c>
      <c r="AU14" s="27" t="n">
        <f aca="false">AU11*AU12</f>
        <v>1277.87234042553</v>
      </c>
      <c r="AV14" s="27" t="n">
        <f aca="false">AV11*AV12</f>
        <v>1308.29787234043</v>
      </c>
      <c r="AW14" s="27" t="n">
        <f aca="false">AW11*AW12</f>
        <v>1338.72340425532</v>
      </c>
      <c r="AX14" s="27" t="n">
        <f aca="false">AX11*AX12</f>
        <v>1369.14893617021</v>
      </c>
      <c r="AY14" s="27" t="n">
        <f aca="false">AY11*AY12</f>
        <v>1399.57446808511</v>
      </c>
      <c r="AZ14" s="27" t="n">
        <f aca="false">AZ11*AZ12</f>
        <v>1430</v>
      </c>
      <c r="BA14" s="27" t="n">
        <f aca="false">BA11*BA12</f>
        <v>1430</v>
      </c>
      <c r="BB14" s="27" t="n">
        <f aca="false">BB11*BB12</f>
        <v>1430</v>
      </c>
      <c r="BC14" s="27" t="n">
        <f aca="false">BC11*BC12</f>
        <v>1430</v>
      </c>
      <c r="BD14" s="27" t="n">
        <f aca="false">BD11*BD12</f>
        <v>1430</v>
      </c>
      <c r="BE14" s="27" t="n">
        <f aca="false">BE11*BE12</f>
        <v>1430</v>
      </c>
      <c r="BF14" s="27" t="n">
        <f aca="false">BF11*BF12</f>
        <v>1430</v>
      </c>
      <c r="BG14" s="27" t="n">
        <f aca="false">BG11*BG12</f>
        <v>1430</v>
      </c>
      <c r="BH14" s="27" t="n">
        <f aca="false">BH11*BH12</f>
        <v>1430</v>
      </c>
      <c r="BI14" s="27" t="n">
        <f aca="false">BI11*BI12</f>
        <v>1430</v>
      </c>
      <c r="BJ14" s="27" t="n">
        <f aca="false">BJ11*BJ12</f>
        <v>1430</v>
      </c>
      <c r="BK14" s="27" t="n">
        <f aca="false">BK11*BK12</f>
        <v>1430</v>
      </c>
      <c r="BL14" s="27" t="n">
        <f aca="false">BL11*BL12</f>
        <v>1430</v>
      </c>
    </row>
    <row r="15" customFormat="false" ht="15" hidden="false" customHeight="false" outlineLevel="0" collapsed="false">
      <c r="B15" s="9" t="s">
        <v>272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customFormat="false" ht="15" hidden="false" customHeight="false" outlineLevel="0" collapsed="false">
      <c r="B16" s="2" t="s">
        <v>273</v>
      </c>
      <c r="C16" s="2" t="s">
        <v>141</v>
      </c>
      <c r="E16" s="27" t="n">
        <f aca="false">E13*Hypotheses!$D$19</f>
        <v>572000</v>
      </c>
      <c r="F16" s="27" t="n">
        <f aca="false">F13*Hypotheses!$D$19</f>
        <v>680275.208140611</v>
      </c>
      <c r="G16" s="27" t="n">
        <f aca="false">G13*Hypotheses!$D$19</f>
        <v>787359.851988899</v>
      </c>
      <c r="H16" s="27" t="n">
        <f aca="false">H13*Hypotheses!$D$19</f>
        <v>893253.931544866</v>
      </c>
      <c r="I16" s="27" t="n">
        <f aca="false">I13*Hypotheses!$D$19</f>
        <v>997957.446808511</v>
      </c>
      <c r="J16" s="27" t="n">
        <f aca="false">J13*Hypotheses!$D$19</f>
        <v>1101470.39777983</v>
      </c>
      <c r="K16" s="27" t="n">
        <f aca="false">K13*Hypotheses!$D$19</f>
        <v>1203792.78445883</v>
      </c>
      <c r="L16" s="27" t="n">
        <f aca="false">L13*Hypotheses!$D$19</f>
        <v>1304924.60684551</v>
      </c>
      <c r="M16" s="27" t="n">
        <f aca="false">M13*Hypotheses!$D$19</f>
        <v>1404865.86493987</v>
      </c>
      <c r="N16" s="27" t="n">
        <f aca="false">N13*Hypotheses!$D$19</f>
        <v>1503616.55874191</v>
      </c>
      <c r="O16" s="27" t="n">
        <f aca="false">O13*Hypotheses!$D$19</f>
        <v>1601176.68825162</v>
      </c>
      <c r="P16" s="27" t="n">
        <f aca="false">P13*Hypotheses!$D$19</f>
        <v>1697546.25346901</v>
      </c>
      <c r="Q16" s="27" t="n">
        <f aca="false">Q13*Hypotheses!$D$19</f>
        <v>1792725.25439408</v>
      </c>
      <c r="R16" s="27" t="n">
        <f aca="false">R13*Hypotheses!$D$19</f>
        <v>1886713.69102683</v>
      </c>
      <c r="S16" s="27" t="n">
        <f aca="false">S13*Hypotheses!$D$19</f>
        <v>1979511.56336725</v>
      </c>
      <c r="T16" s="27" t="n">
        <f aca="false">T13*Hypotheses!$D$19</f>
        <v>2071118.87141536</v>
      </c>
      <c r="U16" s="27" t="n">
        <f aca="false">U13*Hypotheses!$D$19</f>
        <v>2161535.61517114</v>
      </c>
      <c r="V16" s="27" t="n">
        <f aca="false">V13*Hypotheses!$D$19</f>
        <v>2250761.7946346</v>
      </c>
      <c r="W16" s="27" t="n">
        <f aca="false">W13*Hypotheses!$D$19</f>
        <v>2338797.40980574</v>
      </c>
      <c r="X16" s="27" t="n">
        <f aca="false">X13*Hypotheses!$D$19</f>
        <v>2425642.46068455</v>
      </c>
      <c r="Y16" s="27" t="n">
        <f aca="false">Y13*Hypotheses!$D$19</f>
        <v>2511296.94727105</v>
      </c>
      <c r="Z16" s="27" t="n">
        <f aca="false">Z13*Hypotheses!$D$19</f>
        <v>2595760.86956522</v>
      </c>
      <c r="AA16" s="27" t="n">
        <f aca="false">AA13*Hypotheses!$D$19</f>
        <v>2679034.22756707</v>
      </c>
      <c r="AB16" s="27" t="n">
        <f aca="false">AB13*Hypotheses!$D$19</f>
        <v>2761117.0212766</v>
      </c>
      <c r="AC16" s="27" t="n">
        <f aca="false">AC13*Hypotheses!$D$19</f>
        <v>2744382.9787234</v>
      </c>
      <c r="AD16" s="27" t="n">
        <f aca="false">AD13*Hypotheses!$D$19</f>
        <v>2727648.93617021</v>
      </c>
      <c r="AE16" s="27" t="n">
        <f aca="false">AE13*Hypotheses!$D$19</f>
        <v>2710914.89361702</v>
      </c>
      <c r="AF16" s="27" t="n">
        <f aca="false">AF13*Hypotheses!$D$19</f>
        <v>2694180.85106383</v>
      </c>
      <c r="AG16" s="27" t="n">
        <f aca="false">AG13*Hypotheses!$D$19</f>
        <v>2677446.80851064</v>
      </c>
      <c r="AH16" s="27" t="n">
        <f aca="false">AH13*Hypotheses!$D$19</f>
        <v>2660712.76595745</v>
      </c>
      <c r="AI16" s="27" t="n">
        <f aca="false">AI13*Hypotheses!$D$19</f>
        <v>2643978.72340426</v>
      </c>
      <c r="AJ16" s="27" t="n">
        <f aca="false">AJ13*Hypotheses!$D$19</f>
        <v>2627244.68085106</v>
      </c>
      <c r="AK16" s="27" t="n">
        <f aca="false">AK13*Hypotheses!$D$19</f>
        <v>2610510.63829787</v>
      </c>
      <c r="AL16" s="27" t="n">
        <f aca="false">AL13*Hypotheses!$D$19</f>
        <v>2593776.59574468</v>
      </c>
      <c r="AM16" s="27" t="n">
        <f aca="false">AM13*Hypotheses!$D$19</f>
        <v>2577042.55319149</v>
      </c>
      <c r="AN16" s="27" t="n">
        <f aca="false">AN13*Hypotheses!$D$19</f>
        <v>2560308.5106383</v>
      </c>
      <c r="AO16" s="27" t="n">
        <f aca="false">AO13*Hypotheses!$D$19</f>
        <v>2543574.46808511</v>
      </c>
      <c r="AP16" s="27" t="n">
        <f aca="false">AP13*Hypotheses!$D$19</f>
        <v>2526840.42553192</v>
      </c>
      <c r="AQ16" s="27" t="n">
        <f aca="false">AQ13*Hypotheses!$D$19</f>
        <v>2510106.38297872</v>
      </c>
      <c r="AR16" s="27" t="n">
        <f aca="false">AR13*Hypotheses!$D$19</f>
        <v>2493372.34042553</v>
      </c>
      <c r="AS16" s="27" t="n">
        <f aca="false">AS13*Hypotheses!$D$19</f>
        <v>2476638.29787234</v>
      </c>
      <c r="AT16" s="27" t="n">
        <f aca="false">AT13*Hypotheses!$D$19</f>
        <v>2459904.25531915</v>
      </c>
      <c r="AU16" s="27" t="n">
        <f aca="false">AU13*Hypotheses!$D$19</f>
        <v>2443170.21276596</v>
      </c>
      <c r="AV16" s="27" t="n">
        <f aca="false">AV13*Hypotheses!$D$19</f>
        <v>2426436.17021277</v>
      </c>
      <c r="AW16" s="27" t="n">
        <f aca="false">AW13*Hypotheses!$D$19</f>
        <v>2409702.12765957</v>
      </c>
      <c r="AX16" s="27" t="n">
        <f aca="false">AX13*Hypotheses!$D$19</f>
        <v>2392968.08510638</v>
      </c>
      <c r="AY16" s="27" t="n">
        <f aca="false">AY13*Hypotheses!$D$19</f>
        <v>2376234.04255319</v>
      </c>
      <c r="AZ16" s="27" t="n">
        <f aca="false">AZ13*Hypotheses!$D$19</f>
        <v>2359500</v>
      </c>
      <c r="BA16" s="27" t="n">
        <f aca="false">BA13*Hypotheses!$D$19</f>
        <v>2359500</v>
      </c>
      <c r="BB16" s="27" t="n">
        <f aca="false">BB13*Hypotheses!$D$19</f>
        <v>2359500</v>
      </c>
      <c r="BC16" s="27" t="n">
        <f aca="false">BC13*Hypotheses!$D$19</f>
        <v>2359500</v>
      </c>
      <c r="BD16" s="27" t="n">
        <f aca="false">BD13*Hypotheses!$D$19</f>
        <v>2359500</v>
      </c>
      <c r="BE16" s="27" t="n">
        <f aca="false">BE13*Hypotheses!$D$19</f>
        <v>2359500</v>
      </c>
      <c r="BF16" s="27" t="n">
        <f aca="false">BF13*Hypotheses!$D$19</f>
        <v>2359500</v>
      </c>
      <c r="BG16" s="27" t="n">
        <f aca="false">BG13*Hypotheses!$D$19</f>
        <v>2359500</v>
      </c>
      <c r="BH16" s="27" t="n">
        <f aca="false">BH13*Hypotheses!$D$19</f>
        <v>2359500</v>
      </c>
      <c r="BI16" s="27" t="n">
        <f aca="false">BI13*Hypotheses!$D$19</f>
        <v>2359500</v>
      </c>
      <c r="BJ16" s="27" t="n">
        <f aca="false">BJ13*Hypotheses!$D$19</f>
        <v>2359500</v>
      </c>
      <c r="BK16" s="27" t="n">
        <f aca="false">BK13*Hypotheses!$D$19</f>
        <v>2359500</v>
      </c>
      <c r="BL16" s="27" t="n">
        <f aca="false">BL13*Hypotheses!$D$19</f>
        <v>2359500</v>
      </c>
    </row>
    <row r="17" customFormat="false" ht="15" hidden="false" customHeight="false" outlineLevel="0" collapsed="false">
      <c r="B17" s="2" t="s">
        <v>274</v>
      </c>
      <c r="C17" s="2" t="s">
        <v>141</v>
      </c>
      <c r="E17" s="27" t="n">
        <f aca="false">E14*Hypotheses!$D$20</f>
        <v>0</v>
      </c>
      <c r="F17" s="27" t="n">
        <f aca="false">F14*Hypotheses!$D$20</f>
        <v>6283.53376503238</v>
      </c>
      <c r="G17" s="27" t="n">
        <f aca="false">G14*Hypotheses!$D$20</f>
        <v>14623.4967622572</v>
      </c>
      <c r="H17" s="27" t="n">
        <f aca="false">H14*Hypotheses!$D$20</f>
        <v>25019.8889916744</v>
      </c>
      <c r="I17" s="27" t="n">
        <f aca="false">I14*Hypotheses!$D$20</f>
        <v>37472.710453284</v>
      </c>
      <c r="J17" s="27" t="n">
        <f aca="false">J14*Hypotheses!$D$20</f>
        <v>51981.961147086</v>
      </c>
      <c r="K17" s="27" t="n">
        <f aca="false">K14*Hypotheses!$D$20</f>
        <v>68547.6410730805</v>
      </c>
      <c r="L17" s="27" t="n">
        <f aca="false">L14*Hypotheses!$D$20</f>
        <v>87169.7502312674</v>
      </c>
      <c r="M17" s="27" t="n">
        <f aca="false">M14*Hypotheses!$D$20</f>
        <v>107848.288621647</v>
      </c>
      <c r="N17" s="27" t="n">
        <f aca="false">N14*Hypotheses!$D$20</f>
        <v>130583.256244218</v>
      </c>
      <c r="O17" s="27" t="n">
        <f aca="false">O14*Hypotheses!$D$20</f>
        <v>155374.653098982</v>
      </c>
      <c r="P17" s="27" t="n">
        <f aca="false">P14*Hypotheses!$D$20</f>
        <v>182222.479185939</v>
      </c>
      <c r="Q17" s="27" t="n">
        <f aca="false">Q14*Hypotheses!$D$20</f>
        <v>211126.734505088</v>
      </c>
      <c r="R17" s="27" t="n">
        <f aca="false">R14*Hypotheses!$D$20</f>
        <v>242087.419056429</v>
      </c>
      <c r="S17" s="27" t="n">
        <f aca="false">S14*Hypotheses!$D$20</f>
        <v>275104.532839963</v>
      </c>
      <c r="T17" s="27" t="n">
        <f aca="false">T14*Hypotheses!$D$20</f>
        <v>310178.075855689</v>
      </c>
      <c r="U17" s="27" t="n">
        <f aca="false">U14*Hypotheses!$D$20</f>
        <v>347308.048103608</v>
      </c>
      <c r="V17" s="27" t="n">
        <f aca="false">V14*Hypotheses!$D$20</f>
        <v>386494.449583719</v>
      </c>
      <c r="W17" s="27" t="n">
        <f aca="false">W14*Hypotheses!$D$20</f>
        <v>427737.280296022</v>
      </c>
      <c r="X17" s="27" t="n">
        <f aca="false">X14*Hypotheses!$D$20</f>
        <v>471036.540240518</v>
      </c>
      <c r="Y17" s="27" t="n">
        <f aca="false">Y14*Hypotheses!$D$20</f>
        <v>516392.229417206</v>
      </c>
      <c r="Z17" s="27" t="n">
        <f aca="false">Z14*Hypotheses!$D$20</f>
        <v>563804.347826087</v>
      </c>
      <c r="AA17" s="27" t="n">
        <f aca="false">AA14*Hypotheses!$D$20</f>
        <v>613272.89546716</v>
      </c>
      <c r="AB17" s="27" t="n">
        <f aca="false">AB14*Hypotheses!$D$20</f>
        <v>664797.872340426</v>
      </c>
      <c r="AC17" s="27" t="n">
        <f aca="false">AC14*Hypotheses!$D$20</f>
        <v>693702.127659574</v>
      </c>
      <c r="AD17" s="27" t="n">
        <f aca="false">AD14*Hypotheses!$D$20</f>
        <v>722606.382978723</v>
      </c>
      <c r="AE17" s="27" t="n">
        <f aca="false">AE14*Hypotheses!$D$20</f>
        <v>751510.638297872</v>
      </c>
      <c r="AF17" s="27" t="n">
        <f aca="false">AF14*Hypotheses!$D$20</f>
        <v>780414.893617021</v>
      </c>
      <c r="AG17" s="27" t="n">
        <f aca="false">AG14*Hypotheses!$D$20</f>
        <v>809319.14893617</v>
      </c>
      <c r="AH17" s="27" t="n">
        <f aca="false">AH14*Hypotheses!$D$20</f>
        <v>838223.404255319</v>
      </c>
      <c r="AI17" s="27" t="n">
        <f aca="false">AI14*Hypotheses!$D$20</f>
        <v>867127.659574468</v>
      </c>
      <c r="AJ17" s="27" t="n">
        <f aca="false">AJ14*Hypotheses!$D$20</f>
        <v>896031.914893617</v>
      </c>
      <c r="AK17" s="27" t="n">
        <f aca="false">AK14*Hypotheses!$D$20</f>
        <v>924936.170212766</v>
      </c>
      <c r="AL17" s="27" t="n">
        <f aca="false">AL14*Hypotheses!$D$20</f>
        <v>953840.425531915</v>
      </c>
      <c r="AM17" s="27" t="n">
        <f aca="false">AM14*Hypotheses!$D$20</f>
        <v>982744.680851064</v>
      </c>
      <c r="AN17" s="27" t="n">
        <f aca="false">AN14*Hypotheses!$D$20</f>
        <v>1011648.93617021</v>
      </c>
      <c r="AO17" s="27" t="n">
        <f aca="false">AO14*Hypotheses!$D$20</f>
        <v>1040553.19148936</v>
      </c>
      <c r="AP17" s="27" t="n">
        <f aca="false">AP14*Hypotheses!$D$20</f>
        <v>1069457.44680851</v>
      </c>
      <c r="AQ17" s="27" t="n">
        <f aca="false">AQ14*Hypotheses!$D$20</f>
        <v>1098361.70212766</v>
      </c>
      <c r="AR17" s="27" t="n">
        <f aca="false">AR14*Hypotheses!$D$20</f>
        <v>1127265.95744681</v>
      </c>
      <c r="AS17" s="27" t="n">
        <f aca="false">AS14*Hypotheses!$D$20</f>
        <v>1156170.21276596</v>
      </c>
      <c r="AT17" s="27" t="n">
        <f aca="false">AT14*Hypotheses!$D$20</f>
        <v>1185074.46808511</v>
      </c>
      <c r="AU17" s="27" t="n">
        <f aca="false">AU14*Hypotheses!$D$20</f>
        <v>1213978.72340426</v>
      </c>
      <c r="AV17" s="27" t="n">
        <f aca="false">AV14*Hypotheses!$D$20</f>
        <v>1242882.9787234</v>
      </c>
      <c r="AW17" s="27" t="n">
        <f aca="false">AW14*Hypotheses!$D$20</f>
        <v>1271787.23404255</v>
      </c>
      <c r="AX17" s="27" t="n">
        <f aca="false">AX14*Hypotheses!$D$20</f>
        <v>1300691.4893617</v>
      </c>
      <c r="AY17" s="27" t="n">
        <f aca="false">AY14*Hypotheses!$D$20</f>
        <v>1329595.74468085</v>
      </c>
      <c r="AZ17" s="27" t="n">
        <f aca="false">AZ14*Hypotheses!$D$20</f>
        <v>1358500</v>
      </c>
      <c r="BA17" s="27" t="n">
        <f aca="false">BA14*Hypotheses!$D$20</f>
        <v>1358500</v>
      </c>
      <c r="BB17" s="27" t="n">
        <f aca="false">BB14*Hypotheses!$D$20</f>
        <v>1358500</v>
      </c>
      <c r="BC17" s="27" t="n">
        <f aca="false">BC14*Hypotheses!$D$20</f>
        <v>1358500</v>
      </c>
      <c r="BD17" s="27" t="n">
        <f aca="false">BD14*Hypotheses!$D$20</f>
        <v>1358500</v>
      </c>
      <c r="BE17" s="27" t="n">
        <f aca="false">BE14*Hypotheses!$D$20</f>
        <v>1358500</v>
      </c>
      <c r="BF17" s="27" t="n">
        <f aca="false">BF14*Hypotheses!$D$20</f>
        <v>1358500</v>
      </c>
      <c r="BG17" s="27" t="n">
        <f aca="false">BG14*Hypotheses!$D$20</f>
        <v>1358500</v>
      </c>
      <c r="BH17" s="27" t="n">
        <f aca="false">BH14*Hypotheses!$D$20</f>
        <v>1358500</v>
      </c>
      <c r="BI17" s="27" t="n">
        <f aca="false">BI14*Hypotheses!$D$20</f>
        <v>1358500</v>
      </c>
      <c r="BJ17" s="27" t="n">
        <f aca="false">BJ14*Hypotheses!$D$20</f>
        <v>1358500</v>
      </c>
      <c r="BK17" s="27" t="n">
        <f aca="false">BK14*Hypotheses!$D$20</f>
        <v>1358500</v>
      </c>
      <c r="BL17" s="27" t="n">
        <f aca="false">BL14*Hypotheses!$D$20</f>
        <v>1358500</v>
      </c>
    </row>
    <row r="18" customFormat="false" ht="15" hidden="false" customHeight="false" outlineLevel="0" collapsed="false">
      <c r="B18" s="3" t="s">
        <v>36</v>
      </c>
      <c r="C18" s="2" t="s">
        <v>141</v>
      </c>
      <c r="E18" s="28" t="n">
        <f aca="false">E16+E17</f>
        <v>572000</v>
      </c>
      <c r="F18" s="28" t="n">
        <f aca="false">F16+F17</f>
        <v>686558.741905643</v>
      </c>
      <c r="G18" s="28" t="n">
        <f aca="false">G16+G17</f>
        <v>801983.348751157</v>
      </c>
      <c r="H18" s="28" t="n">
        <f aca="false">H16+H17</f>
        <v>918273.82053654</v>
      </c>
      <c r="I18" s="28" t="n">
        <f aca="false">I16+I17</f>
        <v>1035430.15726179</v>
      </c>
      <c r="J18" s="28" t="n">
        <f aca="false">J16+J17</f>
        <v>1153452.35892692</v>
      </c>
      <c r="K18" s="28" t="n">
        <f aca="false">K16+K17</f>
        <v>1272340.42553192</v>
      </c>
      <c r="L18" s="28" t="n">
        <f aca="false">L16+L17</f>
        <v>1392094.35707678</v>
      </c>
      <c r="M18" s="28" t="n">
        <f aca="false">M16+M17</f>
        <v>1512714.15356152</v>
      </c>
      <c r="N18" s="28" t="n">
        <f aca="false">N16+N17</f>
        <v>1634199.81498612</v>
      </c>
      <c r="O18" s="28" t="n">
        <f aca="false">O16+O17</f>
        <v>1756551.3413506</v>
      </c>
      <c r="P18" s="28" t="n">
        <f aca="false">P16+P17</f>
        <v>1879768.73265495</v>
      </c>
      <c r="Q18" s="28" t="n">
        <f aca="false">Q16+Q17</f>
        <v>2003851.98889917</v>
      </c>
      <c r="R18" s="28" t="n">
        <f aca="false">R16+R17</f>
        <v>2128801.11008326</v>
      </c>
      <c r="S18" s="28" t="n">
        <f aca="false">S16+S17</f>
        <v>2254616.09620722</v>
      </c>
      <c r="T18" s="28" t="n">
        <f aca="false">T16+T17</f>
        <v>2381296.94727105</v>
      </c>
      <c r="U18" s="28" t="n">
        <f aca="false">U16+U17</f>
        <v>2508843.66327475</v>
      </c>
      <c r="V18" s="28" t="n">
        <f aca="false">V16+V17</f>
        <v>2637256.24421832</v>
      </c>
      <c r="W18" s="28" t="n">
        <f aca="false">W16+W17</f>
        <v>2766534.69010176</v>
      </c>
      <c r="X18" s="28" t="n">
        <f aca="false">X16+X17</f>
        <v>2896679.00092507</v>
      </c>
      <c r="Y18" s="28" t="n">
        <f aca="false">Y16+Y17</f>
        <v>3027689.17668825</v>
      </c>
      <c r="Z18" s="28" t="n">
        <f aca="false">Z16+Z17</f>
        <v>3159565.2173913</v>
      </c>
      <c r="AA18" s="28" t="n">
        <f aca="false">AA16+AA17</f>
        <v>3292307.12303423</v>
      </c>
      <c r="AB18" s="28" t="n">
        <f aca="false">AB16+AB17</f>
        <v>3425914.89361702</v>
      </c>
      <c r="AC18" s="28" t="n">
        <f aca="false">AC16+AC17</f>
        <v>3438085.10638298</v>
      </c>
      <c r="AD18" s="28" t="n">
        <f aca="false">AD16+AD17</f>
        <v>3450255.31914894</v>
      </c>
      <c r="AE18" s="28" t="n">
        <f aca="false">AE16+AE17</f>
        <v>3462425.53191489</v>
      </c>
      <c r="AF18" s="28" t="n">
        <f aca="false">AF16+AF17</f>
        <v>3474595.74468085</v>
      </c>
      <c r="AG18" s="28" t="n">
        <f aca="false">AG16+AG17</f>
        <v>3486765.95744681</v>
      </c>
      <c r="AH18" s="28" t="n">
        <f aca="false">AH16+AH17</f>
        <v>3498936.17021277</v>
      </c>
      <c r="AI18" s="28" t="n">
        <f aca="false">AI16+AI17</f>
        <v>3511106.38297872</v>
      </c>
      <c r="AJ18" s="28" t="n">
        <f aca="false">AJ16+AJ17</f>
        <v>3523276.59574468</v>
      </c>
      <c r="AK18" s="28" t="n">
        <f aca="false">AK16+AK17</f>
        <v>3535446.80851064</v>
      </c>
      <c r="AL18" s="28" t="n">
        <f aca="false">AL16+AL17</f>
        <v>3547617.0212766</v>
      </c>
      <c r="AM18" s="28" t="n">
        <f aca="false">AM16+AM17</f>
        <v>3559787.23404255</v>
      </c>
      <c r="AN18" s="28" t="n">
        <f aca="false">AN16+AN17</f>
        <v>3571957.44680851</v>
      </c>
      <c r="AO18" s="28" t="n">
        <f aca="false">AO16+AO17</f>
        <v>3584127.65957447</v>
      </c>
      <c r="AP18" s="28" t="n">
        <f aca="false">AP16+AP17</f>
        <v>3596297.87234043</v>
      </c>
      <c r="AQ18" s="28" t="n">
        <f aca="false">AQ16+AQ17</f>
        <v>3608468.08510638</v>
      </c>
      <c r="AR18" s="28" t="n">
        <f aca="false">AR16+AR17</f>
        <v>3620638.29787234</v>
      </c>
      <c r="AS18" s="28" t="n">
        <f aca="false">AS16+AS17</f>
        <v>3632808.5106383</v>
      </c>
      <c r="AT18" s="28" t="n">
        <f aca="false">AT16+AT17</f>
        <v>3644978.72340426</v>
      </c>
      <c r="AU18" s="28" t="n">
        <f aca="false">AU16+AU17</f>
        <v>3657148.93617021</v>
      </c>
      <c r="AV18" s="28" t="n">
        <f aca="false">AV16+AV17</f>
        <v>3669319.14893617</v>
      </c>
      <c r="AW18" s="28" t="n">
        <f aca="false">AW16+AW17</f>
        <v>3681489.36170213</v>
      </c>
      <c r="AX18" s="28" t="n">
        <f aca="false">AX16+AX17</f>
        <v>3693659.57446808</v>
      </c>
      <c r="AY18" s="28" t="n">
        <f aca="false">AY16+AY17</f>
        <v>3705829.78723404</v>
      </c>
      <c r="AZ18" s="28" t="n">
        <f aca="false">AZ16+AZ17</f>
        <v>3718000</v>
      </c>
      <c r="BA18" s="28" t="n">
        <f aca="false">BA16+BA17</f>
        <v>3718000</v>
      </c>
      <c r="BB18" s="28" t="n">
        <f aca="false">BB16+BB17</f>
        <v>3718000</v>
      </c>
      <c r="BC18" s="28" t="n">
        <f aca="false">BC16+BC17</f>
        <v>3718000</v>
      </c>
      <c r="BD18" s="28" t="n">
        <f aca="false">BD16+BD17</f>
        <v>3718000</v>
      </c>
      <c r="BE18" s="28" t="n">
        <f aca="false">BE16+BE17</f>
        <v>3718000</v>
      </c>
      <c r="BF18" s="28" t="n">
        <f aca="false">BF16+BF17</f>
        <v>3718000</v>
      </c>
      <c r="BG18" s="28" t="n">
        <f aca="false">BG16+BG17</f>
        <v>3718000</v>
      </c>
      <c r="BH18" s="28" t="n">
        <f aca="false">BH16+BH17</f>
        <v>3718000</v>
      </c>
      <c r="BI18" s="28" t="n">
        <f aca="false">BI16+BI17</f>
        <v>3718000</v>
      </c>
      <c r="BJ18" s="28" t="n">
        <f aca="false">BJ16+BJ17</f>
        <v>3718000</v>
      </c>
      <c r="BK18" s="28" t="n">
        <f aca="false">BK16+BK17</f>
        <v>3718000</v>
      </c>
      <c r="BL18" s="28" t="n">
        <f aca="false">BL16+BL17</f>
        <v>3718000</v>
      </c>
    </row>
    <row r="19" customFormat="false" ht="15" hidden="false" customHeight="false" outlineLevel="0" collapsed="false">
      <c r="B19" s="2" t="s">
        <v>275</v>
      </c>
      <c r="C19" s="2" t="s">
        <v>141</v>
      </c>
      <c r="E19" s="27" t="n">
        <f aca="false">-E11*(Hypotheses!$D$23*Hypotheses!$D$24/1000+Hypotheses!$D$25*Hypotheses!$D$26+Hypotheses!$D$27+Hypotheses!$D$28+Hypotheses!$D$29+Hypotheses!$D$30)</f>
        <v>-283462.4</v>
      </c>
      <c r="F19" s="27" t="n">
        <f aca="false">-F11*(Hypotheses!$D$23*Hypotheses!$D$24/1000+Hypotheses!$D$25*Hypotheses!$D$26+Hypotheses!$D$27+Hypotheses!$D$28+Hypotheses!$D$29+Hypotheses!$D$30)</f>
        <v>-338922.434782609</v>
      </c>
      <c r="G19" s="27" t="n">
        <f aca="false">-G11*(Hypotheses!$D$23*Hypotheses!$D$24/1000+Hypotheses!$D$25*Hypotheses!$D$26+Hypotheses!$D$27+Hypotheses!$D$28+Hypotheses!$D$29+Hypotheses!$D$30)</f>
        <v>-394382.469565217</v>
      </c>
      <c r="H19" s="27" t="n">
        <f aca="false">-H11*(Hypotheses!$D$23*Hypotheses!$D$24/1000+Hypotheses!$D$25*Hypotheses!$D$26+Hypotheses!$D$27+Hypotheses!$D$28+Hypotheses!$D$29+Hypotheses!$D$30)</f>
        <v>-449842.504347826</v>
      </c>
      <c r="I19" s="27" t="n">
        <f aca="false">-I11*(Hypotheses!$D$23*Hypotheses!$D$24/1000+Hypotheses!$D$25*Hypotheses!$D$26+Hypotheses!$D$27+Hypotheses!$D$28+Hypotheses!$D$29+Hypotheses!$D$30)</f>
        <v>-505302.539130435</v>
      </c>
      <c r="J19" s="27" t="n">
        <f aca="false">-J11*(Hypotheses!$D$23*Hypotheses!$D$24/1000+Hypotheses!$D$25*Hypotheses!$D$26+Hypotheses!$D$27+Hypotheses!$D$28+Hypotheses!$D$29+Hypotheses!$D$30)</f>
        <v>-560762.573913044</v>
      </c>
      <c r="K19" s="27" t="n">
        <f aca="false">-K11*(Hypotheses!$D$23*Hypotheses!$D$24/1000+Hypotheses!$D$25*Hypotheses!$D$26+Hypotheses!$D$27+Hypotheses!$D$28+Hypotheses!$D$29+Hypotheses!$D$30)</f>
        <v>-616222.608695652</v>
      </c>
      <c r="L19" s="27" t="n">
        <f aca="false">-L11*(Hypotheses!$D$23*Hypotheses!$D$24/1000+Hypotheses!$D$25*Hypotheses!$D$26+Hypotheses!$D$27+Hypotheses!$D$28+Hypotheses!$D$29+Hypotheses!$D$30)</f>
        <v>-671682.643478261</v>
      </c>
      <c r="M19" s="27" t="n">
        <f aca="false">-M11*(Hypotheses!$D$23*Hypotheses!$D$24/1000+Hypotheses!$D$25*Hypotheses!$D$26+Hypotheses!$D$27+Hypotheses!$D$28+Hypotheses!$D$29+Hypotheses!$D$30)</f>
        <v>-727142.67826087</v>
      </c>
      <c r="N19" s="27" t="n">
        <f aca="false">-N11*(Hypotheses!$D$23*Hypotheses!$D$24/1000+Hypotheses!$D$25*Hypotheses!$D$26+Hypotheses!$D$27+Hypotheses!$D$28+Hypotheses!$D$29+Hypotheses!$D$30)</f>
        <v>-782602.713043478</v>
      </c>
      <c r="O19" s="27" t="n">
        <f aca="false">-O11*(Hypotheses!$D$23*Hypotheses!$D$24/1000+Hypotheses!$D$25*Hypotheses!$D$26+Hypotheses!$D$27+Hypotheses!$D$28+Hypotheses!$D$29+Hypotheses!$D$30)</f>
        <v>-838062.747826087</v>
      </c>
      <c r="P19" s="27" t="n">
        <f aca="false">-P11*(Hypotheses!$D$23*Hypotheses!$D$24/1000+Hypotheses!$D$25*Hypotheses!$D$26+Hypotheses!$D$27+Hypotheses!$D$28+Hypotheses!$D$29+Hypotheses!$D$30)</f>
        <v>-893522.782608696</v>
      </c>
      <c r="Q19" s="27" t="n">
        <f aca="false">-Q11*(Hypotheses!$D$23*Hypotheses!$D$24/1000+Hypotheses!$D$25*Hypotheses!$D$26+Hypotheses!$D$27+Hypotheses!$D$28+Hypotheses!$D$29+Hypotheses!$D$30)</f>
        <v>-948982.817391304</v>
      </c>
      <c r="R19" s="27" t="n">
        <f aca="false">-R11*(Hypotheses!$D$23*Hypotheses!$D$24/1000+Hypotheses!$D$25*Hypotheses!$D$26+Hypotheses!$D$27+Hypotheses!$D$28+Hypotheses!$D$29+Hypotheses!$D$30)</f>
        <v>-1004442.85217391</v>
      </c>
      <c r="S19" s="27" t="n">
        <f aca="false">-S11*(Hypotheses!$D$23*Hypotheses!$D$24/1000+Hypotheses!$D$25*Hypotheses!$D$26+Hypotheses!$D$27+Hypotheses!$D$28+Hypotheses!$D$29+Hypotheses!$D$30)</f>
        <v>-1059902.88695652</v>
      </c>
      <c r="T19" s="27" t="n">
        <f aca="false">-T11*(Hypotheses!$D$23*Hypotheses!$D$24/1000+Hypotheses!$D$25*Hypotheses!$D$26+Hypotheses!$D$27+Hypotheses!$D$28+Hypotheses!$D$29+Hypotheses!$D$30)</f>
        <v>-1115362.92173913</v>
      </c>
      <c r="U19" s="27" t="n">
        <f aca="false">-U11*(Hypotheses!$D$23*Hypotheses!$D$24/1000+Hypotheses!$D$25*Hypotheses!$D$26+Hypotheses!$D$27+Hypotheses!$D$28+Hypotheses!$D$29+Hypotheses!$D$30)</f>
        <v>-1170822.95652174</v>
      </c>
      <c r="V19" s="27" t="n">
        <f aca="false">-V11*(Hypotheses!$D$23*Hypotheses!$D$24/1000+Hypotheses!$D$25*Hypotheses!$D$26+Hypotheses!$D$27+Hypotheses!$D$28+Hypotheses!$D$29+Hypotheses!$D$30)</f>
        <v>-1226282.99130435</v>
      </c>
      <c r="W19" s="27" t="n">
        <f aca="false">-W11*(Hypotheses!$D$23*Hypotheses!$D$24/1000+Hypotheses!$D$25*Hypotheses!$D$26+Hypotheses!$D$27+Hypotheses!$D$28+Hypotheses!$D$29+Hypotheses!$D$30)</f>
        <v>-1281743.02608696</v>
      </c>
      <c r="X19" s="27" t="n">
        <f aca="false">-X11*(Hypotheses!$D$23*Hypotheses!$D$24/1000+Hypotheses!$D$25*Hypotheses!$D$26+Hypotheses!$D$27+Hypotheses!$D$28+Hypotheses!$D$29+Hypotheses!$D$30)</f>
        <v>-1337203.06086957</v>
      </c>
      <c r="Y19" s="27" t="n">
        <f aca="false">-Y11*(Hypotheses!$D$23*Hypotheses!$D$24/1000+Hypotheses!$D$25*Hypotheses!$D$26+Hypotheses!$D$27+Hypotheses!$D$28+Hypotheses!$D$29+Hypotheses!$D$30)</f>
        <v>-1392663.09565217</v>
      </c>
      <c r="Z19" s="27" t="n">
        <f aca="false">-Z11*(Hypotheses!$D$23*Hypotheses!$D$24/1000+Hypotheses!$D$25*Hypotheses!$D$26+Hypotheses!$D$27+Hypotheses!$D$28+Hypotheses!$D$29+Hypotheses!$D$30)</f>
        <v>-1448123.13043478</v>
      </c>
      <c r="AA19" s="27" t="n">
        <f aca="false">-AA11*(Hypotheses!$D$23*Hypotheses!$D$24/1000+Hypotheses!$D$25*Hypotheses!$D$26+Hypotheses!$D$27+Hypotheses!$D$28+Hypotheses!$D$29+Hypotheses!$D$30)</f>
        <v>-1503583.16521739</v>
      </c>
      <c r="AB19" s="27" t="n">
        <f aca="false">-AB11*(Hypotheses!$D$23*Hypotheses!$D$24/1000+Hypotheses!$D$25*Hypotheses!$D$26+Hypotheses!$D$27+Hypotheses!$D$28+Hypotheses!$D$29+Hypotheses!$D$30)</f>
        <v>-1559043.2</v>
      </c>
      <c r="AC19" s="27" t="n">
        <f aca="false">-AC11*(Hypotheses!$D$23*Hypotheses!$D$24/1000+Hypotheses!$D$25*Hypotheses!$D$26+Hypotheses!$D$27+Hypotheses!$D$28+Hypotheses!$D$29+Hypotheses!$D$30)</f>
        <v>-1559043.2</v>
      </c>
      <c r="AD19" s="27" t="n">
        <f aca="false">-AD11*(Hypotheses!$D$23*Hypotheses!$D$24/1000+Hypotheses!$D$25*Hypotheses!$D$26+Hypotheses!$D$27+Hypotheses!$D$28+Hypotheses!$D$29+Hypotheses!$D$30)</f>
        <v>-1559043.2</v>
      </c>
      <c r="AE19" s="27" t="n">
        <f aca="false">-AE11*(Hypotheses!$D$23*Hypotheses!$D$24/1000+Hypotheses!$D$25*Hypotheses!$D$26+Hypotheses!$D$27+Hypotheses!$D$28+Hypotheses!$D$29+Hypotheses!$D$30)</f>
        <v>-1559043.2</v>
      </c>
      <c r="AF19" s="27" t="n">
        <f aca="false">-AF11*(Hypotheses!$D$23*Hypotheses!$D$24/1000+Hypotheses!$D$25*Hypotheses!$D$26+Hypotheses!$D$27+Hypotheses!$D$28+Hypotheses!$D$29+Hypotheses!$D$30)</f>
        <v>-1559043.2</v>
      </c>
      <c r="AG19" s="27" t="n">
        <f aca="false">-AG11*(Hypotheses!$D$23*Hypotheses!$D$24/1000+Hypotheses!$D$25*Hypotheses!$D$26+Hypotheses!$D$27+Hypotheses!$D$28+Hypotheses!$D$29+Hypotheses!$D$30)</f>
        <v>-1559043.2</v>
      </c>
      <c r="AH19" s="27" t="n">
        <f aca="false">-AH11*(Hypotheses!$D$23*Hypotheses!$D$24/1000+Hypotheses!$D$25*Hypotheses!$D$26+Hypotheses!$D$27+Hypotheses!$D$28+Hypotheses!$D$29+Hypotheses!$D$30)</f>
        <v>-1559043.2</v>
      </c>
      <c r="AI19" s="27" t="n">
        <f aca="false">-AI11*(Hypotheses!$D$23*Hypotheses!$D$24/1000+Hypotheses!$D$25*Hypotheses!$D$26+Hypotheses!$D$27+Hypotheses!$D$28+Hypotheses!$D$29+Hypotheses!$D$30)</f>
        <v>-1559043.2</v>
      </c>
      <c r="AJ19" s="27" t="n">
        <f aca="false">-AJ11*(Hypotheses!$D$23*Hypotheses!$D$24/1000+Hypotheses!$D$25*Hypotheses!$D$26+Hypotheses!$D$27+Hypotheses!$D$28+Hypotheses!$D$29+Hypotheses!$D$30)</f>
        <v>-1559043.2</v>
      </c>
      <c r="AK19" s="27" t="n">
        <f aca="false">-AK11*(Hypotheses!$D$23*Hypotheses!$D$24/1000+Hypotheses!$D$25*Hypotheses!$D$26+Hypotheses!$D$27+Hypotheses!$D$28+Hypotheses!$D$29+Hypotheses!$D$30)</f>
        <v>-1559043.2</v>
      </c>
      <c r="AL19" s="27" t="n">
        <f aca="false">-AL11*(Hypotheses!$D$23*Hypotheses!$D$24/1000+Hypotheses!$D$25*Hypotheses!$D$26+Hypotheses!$D$27+Hypotheses!$D$28+Hypotheses!$D$29+Hypotheses!$D$30)</f>
        <v>-1559043.2</v>
      </c>
      <c r="AM19" s="27" t="n">
        <f aca="false">-AM11*(Hypotheses!$D$23*Hypotheses!$D$24/1000+Hypotheses!$D$25*Hypotheses!$D$26+Hypotheses!$D$27+Hypotheses!$D$28+Hypotheses!$D$29+Hypotheses!$D$30)</f>
        <v>-1559043.2</v>
      </c>
      <c r="AN19" s="27" t="n">
        <f aca="false">-AN11*(Hypotheses!$D$23*Hypotheses!$D$24/1000+Hypotheses!$D$25*Hypotheses!$D$26+Hypotheses!$D$27+Hypotheses!$D$28+Hypotheses!$D$29+Hypotheses!$D$30)</f>
        <v>-1559043.2</v>
      </c>
      <c r="AO19" s="27" t="n">
        <f aca="false">-AO11*(Hypotheses!$D$23*Hypotheses!$D$24/1000+Hypotheses!$D$25*Hypotheses!$D$26+Hypotheses!$D$27+Hypotheses!$D$28+Hypotheses!$D$29+Hypotheses!$D$30)</f>
        <v>-1559043.2</v>
      </c>
      <c r="AP19" s="27" t="n">
        <f aca="false">-AP11*(Hypotheses!$D$23*Hypotheses!$D$24/1000+Hypotheses!$D$25*Hypotheses!$D$26+Hypotheses!$D$27+Hypotheses!$D$28+Hypotheses!$D$29+Hypotheses!$D$30)</f>
        <v>-1559043.2</v>
      </c>
      <c r="AQ19" s="27" t="n">
        <f aca="false">-AQ11*(Hypotheses!$D$23*Hypotheses!$D$24/1000+Hypotheses!$D$25*Hypotheses!$D$26+Hypotheses!$D$27+Hypotheses!$D$28+Hypotheses!$D$29+Hypotheses!$D$30)</f>
        <v>-1559043.2</v>
      </c>
      <c r="AR19" s="27" t="n">
        <f aca="false">-AR11*(Hypotheses!$D$23*Hypotheses!$D$24/1000+Hypotheses!$D$25*Hypotheses!$D$26+Hypotheses!$D$27+Hypotheses!$D$28+Hypotheses!$D$29+Hypotheses!$D$30)</f>
        <v>-1559043.2</v>
      </c>
      <c r="AS19" s="27" t="n">
        <f aca="false">-AS11*(Hypotheses!$D$23*Hypotheses!$D$24/1000+Hypotheses!$D$25*Hypotheses!$D$26+Hypotheses!$D$27+Hypotheses!$D$28+Hypotheses!$D$29+Hypotheses!$D$30)</f>
        <v>-1559043.2</v>
      </c>
      <c r="AT19" s="27" t="n">
        <f aca="false">-AT11*(Hypotheses!$D$23*Hypotheses!$D$24/1000+Hypotheses!$D$25*Hypotheses!$D$26+Hypotheses!$D$27+Hypotheses!$D$28+Hypotheses!$D$29+Hypotheses!$D$30)</f>
        <v>-1559043.2</v>
      </c>
      <c r="AU19" s="27" t="n">
        <f aca="false">-AU11*(Hypotheses!$D$23*Hypotheses!$D$24/1000+Hypotheses!$D$25*Hypotheses!$D$26+Hypotheses!$D$27+Hypotheses!$D$28+Hypotheses!$D$29+Hypotheses!$D$30)</f>
        <v>-1559043.2</v>
      </c>
      <c r="AV19" s="27" t="n">
        <f aca="false">-AV11*(Hypotheses!$D$23*Hypotheses!$D$24/1000+Hypotheses!$D$25*Hypotheses!$D$26+Hypotheses!$D$27+Hypotheses!$D$28+Hypotheses!$D$29+Hypotheses!$D$30)</f>
        <v>-1559043.2</v>
      </c>
      <c r="AW19" s="27" t="n">
        <f aca="false">-AW11*(Hypotheses!$D$23*Hypotheses!$D$24/1000+Hypotheses!$D$25*Hypotheses!$D$26+Hypotheses!$D$27+Hypotheses!$D$28+Hypotheses!$D$29+Hypotheses!$D$30)</f>
        <v>-1559043.2</v>
      </c>
      <c r="AX19" s="27" t="n">
        <f aca="false">-AX11*(Hypotheses!$D$23*Hypotheses!$D$24/1000+Hypotheses!$D$25*Hypotheses!$D$26+Hypotheses!$D$27+Hypotheses!$D$28+Hypotheses!$D$29+Hypotheses!$D$30)</f>
        <v>-1559043.2</v>
      </c>
      <c r="AY19" s="27" t="n">
        <f aca="false">-AY11*(Hypotheses!$D$23*Hypotheses!$D$24/1000+Hypotheses!$D$25*Hypotheses!$D$26+Hypotheses!$D$27+Hypotheses!$D$28+Hypotheses!$D$29+Hypotheses!$D$30)</f>
        <v>-1559043.2</v>
      </c>
      <c r="AZ19" s="27" t="n">
        <f aca="false">-AZ11*(Hypotheses!$D$23*Hypotheses!$D$24/1000+Hypotheses!$D$25*Hypotheses!$D$26+Hypotheses!$D$27+Hypotheses!$D$28+Hypotheses!$D$29+Hypotheses!$D$30)</f>
        <v>-1559043.2</v>
      </c>
      <c r="BA19" s="27" t="n">
        <f aca="false">-BA11*(Hypotheses!$D$23*Hypotheses!$D$24/1000+Hypotheses!$D$25*Hypotheses!$D$26+Hypotheses!$D$27+Hypotheses!$D$28+Hypotheses!$D$29+Hypotheses!$D$30)</f>
        <v>-1559043.2</v>
      </c>
      <c r="BB19" s="27" t="n">
        <f aca="false">-BB11*(Hypotheses!$D$23*Hypotheses!$D$24/1000+Hypotheses!$D$25*Hypotheses!$D$26+Hypotheses!$D$27+Hypotheses!$D$28+Hypotheses!$D$29+Hypotheses!$D$30)</f>
        <v>-1559043.2</v>
      </c>
      <c r="BC19" s="27" t="n">
        <f aca="false">-BC11*(Hypotheses!$D$23*Hypotheses!$D$24/1000+Hypotheses!$D$25*Hypotheses!$D$26+Hypotheses!$D$27+Hypotheses!$D$28+Hypotheses!$D$29+Hypotheses!$D$30)</f>
        <v>-1559043.2</v>
      </c>
      <c r="BD19" s="27" t="n">
        <f aca="false">-BD11*(Hypotheses!$D$23*Hypotheses!$D$24/1000+Hypotheses!$D$25*Hypotheses!$D$26+Hypotheses!$D$27+Hypotheses!$D$28+Hypotheses!$D$29+Hypotheses!$D$30)</f>
        <v>-1559043.2</v>
      </c>
      <c r="BE19" s="27" t="n">
        <f aca="false">-BE11*(Hypotheses!$D$23*Hypotheses!$D$24/1000+Hypotheses!$D$25*Hypotheses!$D$26+Hypotheses!$D$27+Hypotheses!$D$28+Hypotheses!$D$29+Hypotheses!$D$30)</f>
        <v>-1559043.2</v>
      </c>
      <c r="BF19" s="27" t="n">
        <f aca="false">-BF11*(Hypotheses!$D$23*Hypotheses!$D$24/1000+Hypotheses!$D$25*Hypotheses!$D$26+Hypotheses!$D$27+Hypotheses!$D$28+Hypotheses!$D$29+Hypotheses!$D$30)</f>
        <v>-1559043.2</v>
      </c>
      <c r="BG19" s="27" t="n">
        <f aca="false">-BG11*(Hypotheses!$D$23*Hypotheses!$D$24/1000+Hypotheses!$D$25*Hypotheses!$D$26+Hypotheses!$D$27+Hypotheses!$D$28+Hypotheses!$D$29+Hypotheses!$D$30)</f>
        <v>-1559043.2</v>
      </c>
      <c r="BH19" s="27" t="n">
        <f aca="false">-BH11*(Hypotheses!$D$23*Hypotheses!$D$24/1000+Hypotheses!$D$25*Hypotheses!$D$26+Hypotheses!$D$27+Hypotheses!$D$28+Hypotheses!$D$29+Hypotheses!$D$30)</f>
        <v>-1559043.2</v>
      </c>
      <c r="BI19" s="27" t="n">
        <f aca="false">-BI11*(Hypotheses!$D$23*Hypotheses!$D$24/1000+Hypotheses!$D$25*Hypotheses!$D$26+Hypotheses!$D$27+Hypotheses!$D$28+Hypotheses!$D$29+Hypotheses!$D$30)</f>
        <v>-1559043.2</v>
      </c>
      <c r="BJ19" s="27" t="n">
        <f aca="false">-BJ11*(Hypotheses!$D$23*Hypotheses!$D$24/1000+Hypotheses!$D$25*Hypotheses!$D$26+Hypotheses!$D$27+Hypotheses!$D$28+Hypotheses!$D$29+Hypotheses!$D$30)</f>
        <v>-1559043.2</v>
      </c>
      <c r="BK19" s="27" t="n">
        <f aca="false">-BK11*(Hypotheses!$D$23*Hypotheses!$D$24/1000+Hypotheses!$D$25*Hypotheses!$D$26+Hypotheses!$D$27+Hypotheses!$D$28+Hypotheses!$D$29+Hypotheses!$D$30)</f>
        <v>-1559043.2</v>
      </c>
      <c r="BL19" s="27" t="n">
        <f aca="false">-BL11*(Hypotheses!$D$23*Hypotheses!$D$24/1000+Hypotheses!$D$25*Hypotheses!$D$26+Hypotheses!$D$27+Hypotheses!$D$28+Hypotheses!$D$29+Hypotheses!$D$30)</f>
        <v>-1559043.2</v>
      </c>
    </row>
    <row r="20" customFormat="false" ht="15" hidden="false" customHeight="false" outlineLevel="0" collapsed="false">
      <c r="B20" s="2" t="s">
        <v>276</v>
      </c>
      <c r="C20" s="2" t="s">
        <v>141</v>
      </c>
      <c r="D20" s="27" t="n">
        <f aca="false">0</f>
        <v>0</v>
      </c>
      <c r="E20" s="27" t="n">
        <f aca="false">E14/Hypotheses!$D$17*Hypotheses!$D$33*Hypotheses!$D$32</f>
        <v>0</v>
      </c>
      <c r="F20" s="27" t="n">
        <f aca="false">F14/Hypotheses!$D$17*Hypotheses!$D$33*Hypotheses!$D$32</f>
        <v>10175.7631822387</v>
      </c>
      <c r="G20" s="27" t="n">
        <f aca="false">G14/Hypotheses!$D$17*Hypotheses!$D$33*Hypotheses!$D$32</f>
        <v>23681.77613321</v>
      </c>
      <c r="H20" s="27" t="n">
        <f aca="false">H14/Hypotheses!$D$17*Hypotheses!$D$33*Hypotheses!$D$32</f>
        <v>40518.038852914</v>
      </c>
      <c r="I20" s="27" t="n">
        <f aca="false">I14/Hypotheses!$D$17*Hypotheses!$D$33*Hypotheses!$D$32</f>
        <v>60684.5513413506</v>
      </c>
      <c r="J20" s="27" t="n">
        <f aca="false">J14/Hypotheses!$D$17*Hypotheses!$D$33*Hypotheses!$D$32</f>
        <v>84181.3135985199</v>
      </c>
      <c r="K20" s="27" t="n">
        <f aca="false">K14/Hypotheses!$D$17*Hypotheses!$D$33*Hypotheses!$D$32</f>
        <v>111008.325624422</v>
      </c>
      <c r="L20" s="27" t="n">
        <f aca="false">L14/Hypotheses!$D$17*Hypotheses!$D$33*Hypotheses!$D$32</f>
        <v>141165.587419056</v>
      </c>
      <c r="M20" s="27" t="n">
        <f aca="false">M14/Hypotheses!$D$17*Hypotheses!$D$33*Hypotheses!$D$32</f>
        <v>174653.098982424</v>
      </c>
      <c r="N20" s="27" t="n">
        <f aca="false">N14/Hypotheses!$D$17*Hypotheses!$D$33*Hypotheses!$D$32</f>
        <v>211470.860314524</v>
      </c>
      <c r="O20" s="27" t="n">
        <f aca="false">O14/Hypotheses!$D$17*Hypotheses!$D$33*Hypotheses!$D$32</f>
        <v>251618.871415356</v>
      </c>
      <c r="P20" s="27" t="n">
        <f aca="false">P14/Hypotheses!$D$17*Hypotheses!$D$33*Hypotheses!$D$32</f>
        <v>295097.132284921</v>
      </c>
      <c r="Q20" s="27" t="n">
        <f aca="false">Q14/Hypotheses!$D$17*Hypotheses!$D$33*Hypotheses!$D$32</f>
        <v>341905.642923219</v>
      </c>
      <c r="R20" s="27" t="n">
        <f aca="false">R14/Hypotheses!$D$17*Hypotheses!$D$33*Hypotheses!$D$32</f>
        <v>392044.40333025</v>
      </c>
      <c r="S20" s="27" t="n">
        <f aca="false">S14/Hypotheses!$D$17*Hypotheses!$D$33*Hypotheses!$D$32</f>
        <v>445513.413506013</v>
      </c>
      <c r="T20" s="27" t="n">
        <f aca="false">T14/Hypotheses!$D$17*Hypotheses!$D$33*Hypotheses!$D$32</f>
        <v>502312.673450509</v>
      </c>
      <c r="U20" s="27" t="n">
        <f aca="false">U14/Hypotheses!$D$17*Hypotheses!$D$33*Hypotheses!$D$32</f>
        <v>562442.183163737</v>
      </c>
      <c r="V20" s="27" t="n">
        <f aca="false">V14/Hypotheses!$D$17*Hypotheses!$D$33*Hypotheses!$D$32</f>
        <v>625901.942645699</v>
      </c>
      <c r="W20" s="27" t="n">
        <f aca="false">W14/Hypotheses!$D$17*Hypotheses!$D$33*Hypotheses!$D$32</f>
        <v>692691.951896392</v>
      </c>
      <c r="X20" s="27" t="n">
        <f aca="false">X14/Hypotheses!$D$17*Hypotheses!$D$33*Hypotheses!$D$32</f>
        <v>762812.210915819</v>
      </c>
      <c r="Y20" s="27" t="n">
        <f aca="false">Y14/Hypotheses!$D$17*Hypotheses!$D$33*Hypotheses!$D$32</f>
        <v>836262.719703978</v>
      </c>
      <c r="Z20" s="27" t="n">
        <f aca="false">Z14/Hypotheses!$D$17*Hypotheses!$D$33*Hypotheses!$D$32</f>
        <v>913043.478260869</v>
      </c>
      <c r="AA20" s="27" t="n">
        <f aca="false">AA14/Hypotheses!$D$17*Hypotheses!$D$33*Hypotheses!$D$32</f>
        <v>993154.486586494</v>
      </c>
      <c r="AB20" s="27" t="n">
        <f aca="false">AB14/Hypotheses!$D$17*Hypotheses!$D$33*Hypotheses!$D$32</f>
        <v>1076595.74468085</v>
      </c>
      <c r="AC20" s="27" t="n">
        <f aca="false">AC14/Hypotheses!$D$17*Hypotheses!$D$33*Hypotheses!$D$32</f>
        <v>1123404.25531915</v>
      </c>
      <c r="AD20" s="27" t="n">
        <f aca="false">AD14/Hypotheses!$D$17*Hypotheses!$D$33*Hypotheses!$D$32</f>
        <v>1170212.76595745</v>
      </c>
      <c r="AE20" s="27" t="n">
        <f aca="false">AE14/Hypotheses!$D$17*Hypotheses!$D$33*Hypotheses!$D$32</f>
        <v>1217021.27659574</v>
      </c>
      <c r="AF20" s="27" t="n">
        <f aca="false">AF14/Hypotheses!$D$17*Hypotheses!$D$33*Hypotheses!$D$32</f>
        <v>1263829.78723404</v>
      </c>
      <c r="AG20" s="27" t="n">
        <f aca="false">AG14/Hypotheses!$D$17*Hypotheses!$D$33*Hypotheses!$D$32</f>
        <v>1310638.29787234</v>
      </c>
      <c r="AH20" s="27" t="n">
        <f aca="false">AH14/Hypotheses!$D$17*Hypotheses!$D$33*Hypotheses!$D$32</f>
        <v>1357446.80851064</v>
      </c>
      <c r="AI20" s="27" t="n">
        <f aca="false">AI14/Hypotheses!$D$17*Hypotheses!$D$33*Hypotheses!$D$32</f>
        <v>1404255.31914894</v>
      </c>
      <c r="AJ20" s="27" t="n">
        <f aca="false">AJ14/Hypotheses!$D$17*Hypotheses!$D$33*Hypotheses!$D$32</f>
        <v>1451063.82978723</v>
      </c>
      <c r="AK20" s="27" t="n">
        <f aca="false">AK14/Hypotheses!$D$17*Hypotheses!$D$33*Hypotheses!$D$32</f>
        <v>1497872.34042553</v>
      </c>
      <c r="AL20" s="27" t="n">
        <f aca="false">AL14/Hypotheses!$D$17*Hypotheses!$D$33*Hypotheses!$D$32</f>
        <v>1544680.85106383</v>
      </c>
      <c r="AM20" s="27" t="n">
        <f aca="false">AM14/Hypotheses!$D$17*Hypotheses!$D$33*Hypotheses!$D$32</f>
        <v>1591489.36170213</v>
      </c>
      <c r="AN20" s="27" t="n">
        <f aca="false">AN14/Hypotheses!$D$17*Hypotheses!$D$33*Hypotheses!$D$32</f>
        <v>1638297.87234043</v>
      </c>
      <c r="AO20" s="27" t="n">
        <f aca="false">AO14/Hypotheses!$D$17*Hypotheses!$D$33*Hypotheses!$D$32</f>
        <v>1685106.38297872</v>
      </c>
      <c r="AP20" s="27" t="n">
        <f aca="false">AP14/Hypotheses!$D$17*Hypotheses!$D$33*Hypotheses!$D$32</f>
        <v>1731914.89361702</v>
      </c>
      <c r="AQ20" s="27" t="n">
        <f aca="false">AQ14/Hypotheses!$D$17*Hypotheses!$D$33*Hypotheses!$D$32</f>
        <v>1778723.40425532</v>
      </c>
      <c r="AR20" s="27" t="n">
        <f aca="false">AR14/Hypotheses!$D$17*Hypotheses!$D$33*Hypotheses!$D$32</f>
        <v>1825531.91489362</v>
      </c>
      <c r="AS20" s="27" t="n">
        <f aca="false">AS14/Hypotheses!$D$17*Hypotheses!$D$33*Hypotheses!$D$32</f>
        <v>1872340.42553192</v>
      </c>
      <c r="AT20" s="27" t="n">
        <f aca="false">AT14/Hypotheses!$D$17*Hypotheses!$D$33*Hypotheses!$D$32</f>
        <v>1919148.93617021</v>
      </c>
      <c r="AU20" s="27" t="n">
        <f aca="false">AU14/Hypotheses!$D$17*Hypotheses!$D$33*Hypotheses!$D$32</f>
        <v>1965957.44680851</v>
      </c>
      <c r="AV20" s="27" t="n">
        <f aca="false">AV14/Hypotheses!$D$17*Hypotheses!$D$33*Hypotheses!$D$32</f>
        <v>2012765.95744681</v>
      </c>
      <c r="AW20" s="27" t="n">
        <f aca="false">AW14/Hypotheses!$D$17*Hypotheses!$D$33*Hypotheses!$D$32</f>
        <v>2059574.46808511</v>
      </c>
      <c r="AX20" s="27" t="n">
        <f aca="false">AX14/Hypotheses!$D$17*Hypotheses!$D$33*Hypotheses!$D$32</f>
        <v>2106382.9787234</v>
      </c>
      <c r="AY20" s="27" t="n">
        <f aca="false">AY14/Hypotheses!$D$17*Hypotheses!$D$33*Hypotheses!$D$32</f>
        <v>2153191.4893617</v>
      </c>
      <c r="AZ20" s="27" t="n">
        <f aca="false">AZ14/Hypotheses!$D$17*Hypotheses!$D$33*Hypotheses!$D$32</f>
        <v>2200000</v>
      </c>
      <c r="BA20" s="27" t="n">
        <f aca="false">BA14/Hypotheses!$D$17*Hypotheses!$D$33*Hypotheses!$D$32</f>
        <v>2200000</v>
      </c>
      <c r="BB20" s="27" t="n">
        <f aca="false">BB14/Hypotheses!$D$17*Hypotheses!$D$33*Hypotheses!$D$32</f>
        <v>2200000</v>
      </c>
      <c r="BC20" s="27" t="n">
        <f aca="false">BC14/Hypotheses!$D$17*Hypotheses!$D$33*Hypotheses!$D$32</f>
        <v>2200000</v>
      </c>
      <c r="BD20" s="27" t="n">
        <f aca="false">BD14/Hypotheses!$D$17*Hypotheses!$D$33*Hypotheses!$D$32</f>
        <v>2200000</v>
      </c>
      <c r="BE20" s="27" t="n">
        <f aca="false">BE14/Hypotheses!$D$17*Hypotheses!$D$33*Hypotheses!$D$32</f>
        <v>2200000</v>
      </c>
      <c r="BF20" s="27" t="n">
        <f aca="false">BF14/Hypotheses!$D$17*Hypotheses!$D$33*Hypotheses!$D$32</f>
        <v>2200000</v>
      </c>
      <c r="BG20" s="27" t="n">
        <f aca="false">BG14/Hypotheses!$D$17*Hypotheses!$D$33*Hypotheses!$D$32</f>
        <v>2200000</v>
      </c>
      <c r="BH20" s="27" t="n">
        <f aca="false">BH14/Hypotheses!$D$17*Hypotheses!$D$33*Hypotheses!$D$32</f>
        <v>2200000</v>
      </c>
      <c r="BI20" s="27" t="n">
        <f aca="false">BI14/Hypotheses!$D$17*Hypotheses!$D$33*Hypotheses!$D$32</f>
        <v>2200000</v>
      </c>
      <c r="BJ20" s="27" t="n">
        <f aca="false">BJ14/Hypotheses!$D$17*Hypotheses!$D$33*Hypotheses!$D$32</f>
        <v>2200000</v>
      </c>
      <c r="BK20" s="27" t="n">
        <f aca="false">BK14/Hypotheses!$D$17*Hypotheses!$D$33*Hypotheses!$D$32</f>
        <v>2200000</v>
      </c>
      <c r="BL20" s="27" t="n">
        <f aca="false">BL14/Hypotheses!$D$17*Hypotheses!$D$33*Hypotheses!$D$32</f>
        <v>2200000</v>
      </c>
    </row>
    <row r="21" customFormat="false" ht="15" hidden="false" customHeight="false" outlineLevel="0" collapsed="false">
      <c r="B21" s="2" t="s">
        <v>277</v>
      </c>
      <c r="C21" s="2" t="s">
        <v>141</v>
      </c>
      <c r="E21" s="27" t="n">
        <f aca="false">-(E14/Hypotheses!$D$34*Hypotheses!$D$32+E20*Hypotheses!$D$35)</f>
        <v>-0</v>
      </c>
      <c r="F21" s="27" t="n">
        <f aca="false">-(F14/Hypotheses!$D$34*Hypotheses!$D$32+F20*Hypotheses!$D$35)</f>
        <v>-754.702436016035</v>
      </c>
      <c r="G21" s="27" t="n">
        <f aca="false">-(G14/Hypotheses!$D$34*Hypotheses!$D$32+G20*Hypotheses!$D$35)</f>
        <v>-1756.39839654641</v>
      </c>
      <c r="H21" s="27" t="n">
        <f aca="false">-(H14/Hypotheses!$D$34*Hypotheses!$D$32+H20*Hypotheses!$D$35)</f>
        <v>-3005.08788159112</v>
      </c>
      <c r="I21" s="27" t="n">
        <f aca="false">-(I14/Hypotheses!$D$34*Hypotheses!$D$32+I20*Hypotheses!$D$35)</f>
        <v>-4500.77089115017</v>
      </c>
      <c r="J21" s="27" t="n">
        <f aca="false">-(J14/Hypotheses!$D$34*Hypotheses!$D$32+J20*Hypotheses!$D$35)</f>
        <v>-6243.44742522356</v>
      </c>
      <c r="K21" s="27" t="n">
        <f aca="false">-(K14/Hypotheses!$D$34*Hypotheses!$D$32+K20*Hypotheses!$D$35)</f>
        <v>-8233.11748381129</v>
      </c>
      <c r="L21" s="27" t="n">
        <f aca="false">-(L14/Hypotheses!$D$34*Hypotheses!$D$32+L20*Hypotheses!$D$35)</f>
        <v>-10469.7810669134</v>
      </c>
      <c r="M21" s="27" t="n">
        <f aca="false">-(M14/Hypotheses!$D$34*Hypotheses!$D$32+M20*Hypotheses!$D$35)</f>
        <v>-12953.4381745298</v>
      </c>
      <c r="N21" s="27" t="n">
        <f aca="false">-(N14/Hypotheses!$D$34*Hypotheses!$D$32+N20*Hypotheses!$D$35)</f>
        <v>-15684.0888066605</v>
      </c>
      <c r="O21" s="27" t="n">
        <f aca="false">-(O14/Hypotheses!$D$34*Hypotheses!$D$32+O20*Hypotheses!$D$35)</f>
        <v>-18661.7329633056</v>
      </c>
      <c r="P21" s="27" t="n">
        <f aca="false">-(P14/Hypotheses!$D$34*Hypotheses!$D$32+P20*Hypotheses!$D$35)</f>
        <v>-21886.370644465</v>
      </c>
      <c r="Q21" s="27" t="n">
        <f aca="false">-(Q14/Hypotheses!$D$34*Hypotheses!$D$32+Q20*Hypotheses!$D$35)</f>
        <v>-25358.0018501388</v>
      </c>
      <c r="R21" s="27" t="n">
        <f aca="false">-(R14/Hypotheses!$D$34*Hypotheses!$D$32+R20*Hypotheses!$D$35)</f>
        <v>-29076.6265803269</v>
      </c>
      <c r="S21" s="27" t="n">
        <f aca="false">-(S14/Hypotheses!$D$34*Hypotheses!$D$32+S20*Hypotheses!$D$35)</f>
        <v>-33042.2448350293</v>
      </c>
      <c r="T21" s="27" t="n">
        <f aca="false">-(T14/Hypotheses!$D$34*Hypotheses!$D$32+T20*Hypotheses!$D$35)</f>
        <v>-37254.8566142461</v>
      </c>
      <c r="U21" s="27" t="n">
        <f aca="false">-(U14/Hypotheses!$D$34*Hypotheses!$D$32+U20*Hypotheses!$D$35)</f>
        <v>-41714.4619179772</v>
      </c>
      <c r="V21" s="27" t="n">
        <f aca="false">-(V14/Hypotheses!$D$34*Hypotheses!$D$32+V20*Hypotheses!$D$35)</f>
        <v>-46421.0607462227</v>
      </c>
      <c r="W21" s="27" t="n">
        <f aca="false">-(W14/Hypotheses!$D$34*Hypotheses!$D$32+W20*Hypotheses!$D$35)</f>
        <v>-51374.6530989824</v>
      </c>
      <c r="X21" s="27" t="n">
        <f aca="false">-(X14/Hypotheses!$D$34*Hypotheses!$D$32+X20*Hypotheses!$D$35)</f>
        <v>-56575.2389762565</v>
      </c>
      <c r="Y21" s="27" t="n">
        <f aca="false">-(Y14/Hypotheses!$D$34*Hypotheses!$D$32+Y20*Hypotheses!$D$35)</f>
        <v>-62022.818378045</v>
      </c>
      <c r="Z21" s="27" t="n">
        <f aca="false">-(Z14/Hypotheses!$D$34*Hypotheses!$D$32+Z20*Hypotheses!$D$35)</f>
        <v>-67717.3913043478</v>
      </c>
      <c r="AA21" s="27" t="n">
        <f aca="false">-(AA14/Hypotheses!$D$34*Hypotheses!$D$32+AA20*Hypotheses!$D$35)</f>
        <v>-73658.957755165</v>
      </c>
      <c r="AB21" s="27" t="n">
        <f aca="false">-(AB14/Hypotheses!$D$34*Hypotheses!$D$32+AB20*Hypotheses!$D$35)</f>
        <v>-79847.5177304965</v>
      </c>
      <c r="AC21" s="27" t="n">
        <f aca="false">-(AC14/Hypotheses!$D$34*Hypotheses!$D$32+AC20*Hypotheses!$D$35)</f>
        <v>-83319.1489361702</v>
      </c>
      <c r="AD21" s="27" t="n">
        <f aca="false">-(AD14/Hypotheses!$D$34*Hypotheses!$D$32+AD20*Hypotheses!$D$35)</f>
        <v>-86790.780141844</v>
      </c>
      <c r="AE21" s="27" t="n">
        <f aca="false">-(AE14/Hypotheses!$D$34*Hypotheses!$D$32+AE20*Hypotheses!$D$35)</f>
        <v>-90262.4113475177</v>
      </c>
      <c r="AF21" s="27" t="n">
        <f aca="false">-(AF14/Hypotheses!$D$34*Hypotheses!$D$32+AF20*Hypotheses!$D$35)</f>
        <v>-93734.0425531915</v>
      </c>
      <c r="AG21" s="27" t="n">
        <f aca="false">-(AG14/Hypotheses!$D$34*Hypotheses!$D$32+AG20*Hypotheses!$D$35)</f>
        <v>-97205.6737588653</v>
      </c>
      <c r="AH21" s="27" t="n">
        <f aca="false">-(AH14/Hypotheses!$D$34*Hypotheses!$D$32+AH20*Hypotheses!$D$35)</f>
        <v>-100677.304964539</v>
      </c>
      <c r="AI21" s="27" t="n">
        <f aca="false">-(AI14/Hypotheses!$D$34*Hypotheses!$D$32+AI20*Hypotheses!$D$35)</f>
        <v>-104148.936170213</v>
      </c>
      <c r="AJ21" s="27" t="n">
        <f aca="false">-(AJ14/Hypotheses!$D$34*Hypotheses!$D$32+AJ20*Hypotheses!$D$35)</f>
        <v>-107620.567375887</v>
      </c>
      <c r="AK21" s="27" t="n">
        <f aca="false">-(AK14/Hypotheses!$D$34*Hypotheses!$D$32+AK20*Hypotheses!$D$35)</f>
        <v>-111092.19858156</v>
      </c>
      <c r="AL21" s="27" t="n">
        <f aca="false">-(AL14/Hypotheses!$D$34*Hypotheses!$D$32+AL20*Hypotheses!$D$35)</f>
        <v>-114563.829787234</v>
      </c>
      <c r="AM21" s="27" t="n">
        <f aca="false">-(AM14/Hypotheses!$D$34*Hypotheses!$D$32+AM20*Hypotheses!$D$35)</f>
        <v>-118035.460992908</v>
      </c>
      <c r="AN21" s="27" t="n">
        <f aca="false">-(AN14/Hypotheses!$D$34*Hypotheses!$D$32+AN20*Hypotheses!$D$35)</f>
        <v>-121507.092198582</v>
      </c>
      <c r="AO21" s="27" t="n">
        <f aca="false">-(AO14/Hypotheses!$D$34*Hypotheses!$D$32+AO20*Hypotheses!$D$35)</f>
        <v>-124978.723404255</v>
      </c>
      <c r="AP21" s="27" t="n">
        <f aca="false">-(AP14/Hypotheses!$D$34*Hypotheses!$D$32+AP20*Hypotheses!$D$35)</f>
        <v>-128450.354609929</v>
      </c>
      <c r="AQ21" s="27" t="n">
        <f aca="false">-(AQ14/Hypotheses!$D$34*Hypotheses!$D$32+AQ20*Hypotheses!$D$35)</f>
        <v>-131921.985815603</v>
      </c>
      <c r="AR21" s="27" t="n">
        <f aca="false">-(AR14/Hypotheses!$D$34*Hypotheses!$D$32+AR20*Hypotheses!$D$35)</f>
        <v>-135393.617021277</v>
      </c>
      <c r="AS21" s="27" t="n">
        <f aca="false">-(AS14/Hypotheses!$D$34*Hypotheses!$D$32+AS20*Hypotheses!$D$35)</f>
        <v>-138865.24822695</v>
      </c>
      <c r="AT21" s="27" t="n">
        <f aca="false">-(AT14/Hypotheses!$D$34*Hypotheses!$D$32+AT20*Hypotheses!$D$35)</f>
        <v>-142336.879432624</v>
      </c>
      <c r="AU21" s="27" t="n">
        <f aca="false">-(AU14/Hypotheses!$D$34*Hypotheses!$D$32+AU20*Hypotheses!$D$35)</f>
        <v>-145808.510638298</v>
      </c>
      <c r="AV21" s="27" t="n">
        <f aca="false">-(AV14/Hypotheses!$D$34*Hypotheses!$D$32+AV20*Hypotheses!$D$35)</f>
        <v>-149280.141843972</v>
      </c>
      <c r="AW21" s="27" t="n">
        <f aca="false">-(AW14/Hypotheses!$D$34*Hypotheses!$D$32+AW20*Hypotheses!$D$35)</f>
        <v>-152751.773049645</v>
      </c>
      <c r="AX21" s="27" t="n">
        <f aca="false">-(AX14/Hypotheses!$D$34*Hypotheses!$D$32+AX20*Hypotheses!$D$35)</f>
        <v>-156223.404255319</v>
      </c>
      <c r="AY21" s="27" t="n">
        <f aca="false">-(AY14/Hypotheses!$D$34*Hypotheses!$D$32+AY20*Hypotheses!$D$35)</f>
        <v>-159695.035460993</v>
      </c>
      <c r="AZ21" s="27" t="n">
        <f aca="false">-(AZ14/Hypotheses!$D$34*Hypotheses!$D$32+AZ20*Hypotheses!$D$35)</f>
        <v>-163166.666666667</v>
      </c>
      <c r="BA21" s="27" t="n">
        <f aca="false">-(BA14/Hypotheses!$D$34*Hypotheses!$D$32+BA20*Hypotheses!$D$35)</f>
        <v>-163166.666666667</v>
      </c>
      <c r="BB21" s="27" t="n">
        <f aca="false">-(BB14/Hypotheses!$D$34*Hypotheses!$D$32+BB20*Hypotheses!$D$35)</f>
        <v>-163166.666666667</v>
      </c>
      <c r="BC21" s="27" t="n">
        <f aca="false">-(BC14/Hypotheses!$D$34*Hypotheses!$D$32+BC20*Hypotheses!$D$35)</f>
        <v>-163166.666666667</v>
      </c>
      <c r="BD21" s="27" t="n">
        <f aca="false">-(BD14/Hypotheses!$D$34*Hypotheses!$D$32+BD20*Hypotheses!$D$35)</f>
        <v>-163166.666666667</v>
      </c>
      <c r="BE21" s="27" t="n">
        <f aca="false">-(BE14/Hypotheses!$D$34*Hypotheses!$D$32+BE20*Hypotheses!$D$35)</f>
        <v>-163166.666666667</v>
      </c>
      <c r="BF21" s="27" t="n">
        <f aca="false">-(BF14/Hypotheses!$D$34*Hypotheses!$D$32+BF20*Hypotheses!$D$35)</f>
        <v>-163166.666666667</v>
      </c>
      <c r="BG21" s="27" t="n">
        <f aca="false">-(BG14/Hypotheses!$D$34*Hypotheses!$D$32+BG20*Hypotheses!$D$35)</f>
        <v>-163166.666666667</v>
      </c>
      <c r="BH21" s="27" t="n">
        <f aca="false">-(BH14/Hypotheses!$D$34*Hypotheses!$D$32+BH20*Hypotheses!$D$35)</f>
        <v>-163166.666666667</v>
      </c>
      <c r="BI21" s="27" t="n">
        <f aca="false">-(BI14/Hypotheses!$D$34*Hypotheses!$D$32+BI20*Hypotheses!$D$35)</f>
        <v>-163166.666666667</v>
      </c>
      <c r="BJ21" s="27" t="n">
        <f aca="false">-(BJ14/Hypotheses!$D$34*Hypotheses!$D$32+BJ20*Hypotheses!$D$35)</f>
        <v>-163166.666666667</v>
      </c>
      <c r="BK21" s="27" t="n">
        <f aca="false">-(BK14/Hypotheses!$D$34*Hypotheses!$D$32+BK20*Hypotheses!$D$35)</f>
        <v>-163166.666666667</v>
      </c>
      <c r="BL21" s="27" t="n">
        <f aca="false">-(BL14/Hypotheses!$D$34*Hypotheses!$D$32+BL20*Hypotheses!$D$35)</f>
        <v>-163166.666666667</v>
      </c>
    </row>
    <row r="22" customFormat="false" ht="15" hidden="false" customHeight="false" outlineLevel="0" collapsed="false">
      <c r="B22" s="3" t="s">
        <v>278</v>
      </c>
      <c r="C22" s="2" t="s">
        <v>141</v>
      </c>
      <c r="E22" s="28" t="n">
        <f aca="false">E18+E19+E21</f>
        <v>288537.6</v>
      </c>
      <c r="F22" s="28" t="n">
        <f aca="false">F18+F19+F21</f>
        <v>346881.604687018</v>
      </c>
      <c r="G22" s="28" t="n">
        <f aca="false">G18+G19+G21</f>
        <v>405844.480789393</v>
      </c>
      <c r="H22" s="28" t="n">
        <f aca="false">H18+H19+H21</f>
        <v>465426.228307123</v>
      </c>
      <c r="I22" s="28" t="n">
        <f aca="false">I18+I19+I21</f>
        <v>525626.84724021</v>
      </c>
      <c r="J22" s="28" t="n">
        <f aca="false">J18+J19+J21</f>
        <v>586446.337588653</v>
      </c>
      <c r="K22" s="28" t="n">
        <f aca="false">K18+K19+K21</f>
        <v>647884.699352451</v>
      </c>
      <c r="L22" s="28" t="n">
        <f aca="false">L18+L19+L21</f>
        <v>709941.932531607</v>
      </c>
      <c r="M22" s="28" t="n">
        <f aca="false">M18+M19+M21</f>
        <v>772618.037126118</v>
      </c>
      <c r="N22" s="28" t="n">
        <f aca="false">N18+N19+N21</f>
        <v>835913.013135985</v>
      </c>
      <c r="O22" s="28" t="n">
        <f aca="false">O18+O19+O21</f>
        <v>899826.860561209</v>
      </c>
      <c r="P22" s="28" t="n">
        <f aca="false">P18+P19+P21</f>
        <v>964359.579401789</v>
      </c>
      <c r="Q22" s="28" t="n">
        <f aca="false">Q18+Q19+Q21</f>
        <v>1029511.16965772</v>
      </c>
      <c r="R22" s="28" t="n">
        <f aca="false">R18+R19+R21</f>
        <v>1095281.63132902</v>
      </c>
      <c r="S22" s="28" t="n">
        <f aca="false">S18+S19+S21</f>
        <v>1161670.96441566</v>
      </c>
      <c r="T22" s="28" t="n">
        <f aca="false">T18+T19+T21</f>
        <v>1228679.16891767</v>
      </c>
      <c r="U22" s="28" t="n">
        <f aca="false">U18+U19+U21</f>
        <v>1296306.24483503</v>
      </c>
      <c r="V22" s="28" t="n">
        <f aca="false">V18+V19+V21</f>
        <v>1364552.19216775</v>
      </c>
      <c r="W22" s="28" t="n">
        <f aca="false">W18+W19+W21</f>
        <v>1433417.01091582</v>
      </c>
      <c r="X22" s="28" t="n">
        <f aca="false">X18+X19+X21</f>
        <v>1502900.70107925</v>
      </c>
      <c r="Y22" s="28" t="n">
        <f aca="false">Y18+Y19+Y21</f>
        <v>1573003.26265803</v>
      </c>
      <c r="Z22" s="28" t="n">
        <f aca="false">Z18+Z19+Z21</f>
        <v>1643724.69565217</v>
      </c>
      <c r="AA22" s="28" t="n">
        <f aca="false">AA18+AA19+AA21</f>
        <v>1715065.00006167</v>
      </c>
      <c r="AB22" s="28" t="n">
        <f aca="false">AB18+AB19+AB21</f>
        <v>1787024.17588652</v>
      </c>
      <c r="AC22" s="28" t="n">
        <f aca="false">AC18+AC19+AC21</f>
        <v>1795722.75744681</v>
      </c>
      <c r="AD22" s="28" t="n">
        <f aca="false">AD18+AD19+AD21</f>
        <v>1804421.33900709</v>
      </c>
      <c r="AE22" s="28" t="n">
        <f aca="false">AE18+AE19+AE21</f>
        <v>1813119.92056738</v>
      </c>
      <c r="AF22" s="28" t="n">
        <f aca="false">AF18+AF19+AF21</f>
        <v>1821818.50212766</v>
      </c>
      <c r="AG22" s="28" t="n">
        <f aca="false">AG18+AG19+AG21</f>
        <v>1830517.08368794</v>
      </c>
      <c r="AH22" s="28" t="n">
        <f aca="false">AH18+AH19+AH21</f>
        <v>1839215.66524823</v>
      </c>
      <c r="AI22" s="28" t="n">
        <f aca="false">AI18+AI19+AI21</f>
        <v>1847914.24680851</v>
      </c>
      <c r="AJ22" s="28" t="n">
        <f aca="false">AJ18+AJ19+AJ21</f>
        <v>1856612.82836879</v>
      </c>
      <c r="AK22" s="28" t="n">
        <f aca="false">AK18+AK19+AK21</f>
        <v>1865311.40992908</v>
      </c>
      <c r="AL22" s="28" t="n">
        <f aca="false">AL18+AL19+AL21</f>
        <v>1874009.99148936</v>
      </c>
      <c r="AM22" s="28" t="n">
        <f aca="false">AM18+AM19+AM21</f>
        <v>1882708.57304965</v>
      </c>
      <c r="AN22" s="28" t="n">
        <f aca="false">AN18+AN19+AN21</f>
        <v>1891407.15460993</v>
      </c>
      <c r="AO22" s="28" t="n">
        <f aca="false">AO18+AO19+AO21</f>
        <v>1900105.73617021</v>
      </c>
      <c r="AP22" s="28" t="n">
        <f aca="false">AP18+AP19+AP21</f>
        <v>1908804.3177305</v>
      </c>
      <c r="AQ22" s="28" t="n">
        <f aca="false">AQ18+AQ19+AQ21</f>
        <v>1917502.89929078</v>
      </c>
      <c r="AR22" s="28" t="n">
        <f aca="false">AR18+AR19+AR21</f>
        <v>1926201.48085106</v>
      </c>
      <c r="AS22" s="28" t="n">
        <f aca="false">AS18+AS19+AS21</f>
        <v>1934900.06241135</v>
      </c>
      <c r="AT22" s="28" t="n">
        <f aca="false">AT18+AT19+AT21</f>
        <v>1943598.64397163</v>
      </c>
      <c r="AU22" s="28" t="n">
        <f aca="false">AU18+AU19+AU21</f>
        <v>1952297.22553191</v>
      </c>
      <c r="AV22" s="28" t="n">
        <f aca="false">AV18+AV19+AV21</f>
        <v>1960995.8070922</v>
      </c>
      <c r="AW22" s="28" t="n">
        <f aca="false">AW18+AW19+AW21</f>
        <v>1969694.38865248</v>
      </c>
      <c r="AX22" s="28" t="n">
        <f aca="false">AX18+AX19+AX21</f>
        <v>1978392.97021277</v>
      </c>
      <c r="AY22" s="28" t="n">
        <f aca="false">AY18+AY19+AY21</f>
        <v>1987091.55177305</v>
      </c>
      <c r="AZ22" s="28" t="n">
        <f aca="false">AZ18+AZ19+AZ21</f>
        <v>1995790.13333333</v>
      </c>
      <c r="BA22" s="28" t="n">
        <f aca="false">BA18+BA19+BA21</f>
        <v>1995790.13333333</v>
      </c>
      <c r="BB22" s="28" t="n">
        <f aca="false">BB18+BB19+BB21</f>
        <v>1995790.13333333</v>
      </c>
      <c r="BC22" s="28" t="n">
        <f aca="false">BC18+BC19+BC21</f>
        <v>1995790.13333333</v>
      </c>
      <c r="BD22" s="28" t="n">
        <f aca="false">BD18+BD19+BD21</f>
        <v>1995790.13333333</v>
      </c>
      <c r="BE22" s="28" t="n">
        <f aca="false">BE18+BE19+BE21</f>
        <v>1995790.13333333</v>
      </c>
      <c r="BF22" s="28" t="n">
        <f aca="false">BF18+BF19+BF21</f>
        <v>1995790.13333333</v>
      </c>
      <c r="BG22" s="28" t="n">
        <f aca="false">BG18+BG19+BG21</f>
        <v>1995790.13333333</v>
      </c>
      <c r="BH22" s="28" t="n">
        <f aca="false">BH18+BH19+BH21</f>
        <v>1995790.13333333</v>
      </c>
      <c r="BI22" s="28" t="n">
        <f aca="false">BI18+BI19+BI21</f>
        <v>1995790.13333333</v>
      </c>
      <c r="BJ22" s="28" t="n">
        <f aca="false">BJ18+BJ19+BJ21</f>
        <v>1995790.13333333</v>
      </c>
      <c r="BK22" s="28" t="n">
        <f aca="false">BK18+BK19+BK21</f>
        <v>1995790.13333333</v>
      </c>
      <c r="BL22" s="28" t="n">
        <f aca="false">BL18+BL19+BL21</f>
        <v>1995790.13333333</v>
      </c>
    </row>
    <row r="23" customFormat="false" ht="15" hidden="false" customHeight="false" outlineLevel="0" collapsed="false">
      <c r="B23" s="2" t="s">
        <v>279</v>
      </c>
      <c r="C23" s="2" t="s">
        <v>133</v>
      </c>
      <c r="E23" s="34" t="n">
        <f aca="false">IF(E9&gt;=Hypotheses!$D$43,Hypotheses!$D$42,Hypotheses!$D$41)+IF(E3&gt;=Hypotheses!$D$16,Hypotheses!$D$46,0)</f>
        <v>2</v>
      </c>
      <c r="F23" s="34" t="n">
        <f aca="false">IF(F9&gt;=Hypotheses!$D$43,Hypotheses!$D$42,Hypotheses!$D$41)+IF(F3&gt;=Hypotheses!$D$16,Hypotheses!$D$46,0)</f>
        <v>2</v>
      </c>
      <c r="G23" s="34" t="n">
        <f aca="false">IF(G9&gt;=Hypotheses!$D$43,Hypotheses!$D$42,Hypotheses!$D$41)+IF(G3&gt;=Hypotheses!$D$16,Hypotheses!$D$46,0)</f>
        <v>2</v>
      </c>
      <c r="H23" s="34" t="n">
        <f aca="false">IF(H9&gt;=Hypotheses!$D$43,Hypotheses!$D$42,Hypotheses!$D$41)+IF(H3&gt;=Hypotheses!$D$16,Hypotheses!$D$46,0)</f>
        <v>2</v>
      </c>
      <c r="I23" s="34" t="n">
        <f aca="false">IF(I9&gt;=Hypotheses!$D$43,Hypotheses!$D$42,Hypotheses!$D$41)+IF(I3&gt;=Hypotheses!$D$16,Hypotheses!$D$46,0)</f>
        <v>2</v>
      </c>
      <c r="J23" s="34" t="n">
        <f aca="false">IF(J9&gt;=Hypotheses!$D$43,Hypotheses!$D$42,Hypotheses!$D$41)+IF(J3&gt;=Hypotheses!$D$16,Hypotheses!$D$46,0)</f>
        <v>2</v>
      </c>
      <c r="K23" s="34" t="n">
        <f aca="false">IF(K9&gt;=Hypotheses!$D$43,Hypotheses!$D$42,Hypotheses!$D$41)+IF(K3&gt;=Hypotheses!$D$16,Hypotheses!$D$46,0)</f>
        <v>2</v>
      </c>
      <c r="L23" s="34" t="n">
        <f aca="false">IF(L9&gt;=Hypotheses!$D$43,Hypotheses!$D$42,Hypotheses!$D$41)+IF(L3&gt;=Hypotheses!$D$16,Hypotheses!$D$46,0)</f>
        <v>2</v>
      </c>
      <c r="M23" s="34" t="n">
        <f aca="false">IF(M9&gt;=Hypotheses!$D$43,Hypotheses!$D$42,Hypotheses!$D$41)+IF(M3&gt;=Hypotheses!$D$16,Hypotheses!$D$46,0)</f>
        <v>2</v>
      </c>
      <c r="N23" s="34" t="n">
        <f aca="false">IF(N9&gt;=Hypotheses!$D$43,Hypotheses!$D$42,Hypotheses!$D$41)+IF(N3&gt;=Hypotheses!$D$16,Hypotheses!$D$46,0)</f>
        <v>2</v>
      </c>
      <c r="O23" s="34" t="n">
        <f aca="false">IF(O9&gt;=Hypotheses!$D$43,Hypotheses!$D$42,Hypotheses!$D$41)+IF(O3&gt;=Hypotheses!$D$16,Hypotheses!$D$46,0)</f>
        <v>2</v>
      </c>
      <c r="P23" s="34" t="n">
        <f aca="false">IF(P9&gt;=Hypotheses!$D$43,Hypotheses!$D$42,Hypotheses!$D$41)+IF(P3&gt;=Hypotheses!$D$16,Hypotheses!$D$46,0)</f>
        <v>2</v>
      </c>
      <c r="Q23" s="34" t="n">
        <f aca="false">IF(Q9&gt;=Hypotheses!$D$43,Hypotheses!$D$42,Hypotheses!$D$41)+IF(Q3&gt;=Hypotheses!$D$16,Hypotheses!$D$46,0)</f>
        <v>2</v>
      </c>
      <c r="R23" s="34" t="n">
        <f aca="false">IF(R9&gt;=Hypotheses!$D$43,Hypotheses!$D$42,Hypotheses!$D$41)+IF(R3&gt;=Hypotheses!$D$16,Hypotheses!$D$46,0)</f>
        <v>2</v>
      </c>
      <c r="S23" s="34" t="n">
        <f aca="false">IF(S9&gt;=Hypotheses!$D$43,Hypotheses!$D$42,Hypotheses!$D$41)+IF(S3&gt;=Hypotheses!$D$16,Hypotheses!$D$46,0)</f>
        <v>2</v>
      </c>
      <c r="T23" s="34" t="n">
        <f aca="false">IF(T9&gt;=Hypotheses!$D$43,Hypotheses!$D$42,Hypotheses!$D$41)+IF(T3&gt;=Hypotheses!$D$16,Hypotheses!$D$46,0)</f>
        <v>2</v>
      </c>
      <c r="U23" s="34" t="n">
        <f aca="false">IF(U9&gt;=Hypotheses!$D$43,Hypotheses!$D$42,Hypotheses!$D$41)+IF(U3&gt;=Hypotheses!$D$16,Hypotheses!$D$46,0)</f>
        <v>2</v>
      </c>
      <c r="V23" s="34" t="n">
        <f aca="false">IF(V9&gt;=Hypotheses!$D$43,Hypotheses!$D$42,Hypotheses!$D$41)+IF(V3&gt;=Hypotheses!$D$16,Hypotheses!$D$46,0)</f>
        <v>2</v>
      </c>
      <c r="W23" s="34" t="n">
        <f aca="false">IF(W9&gt;=Hypotheses!$D$43,Hypotheses!$D$42,Hypotheses!$D$41)+IF(W3&gt;=Hypotheses!$D$16,Hypotheses!$D$46,0)</f>
        <v>4</v>
      </c>
      <c r="X23" s="34" t="n">
        <f aca="false">IF(X9&gt;=Hypotheses!$D$43,Hypotheses!$D$42,Hypotheses!$D$41)+IF(X3&gt;=Hypotheses!$D$16,Hypotheses!$D$46,0)</f>
        <v>4</v>
      </c>
      <c r="Y23" s="34" t="n">
        <f aca="false">IF(Y9&gt;=Hypotheses!$D$43,Hypotheses!$D$42,Hypotheses!$D$41)+IF(Y3&gt;=Hypotheses!$D$16,Hypotheses!$D$46,0)</f>
        <v>4</v>
      </c>
      <c r="Z23" s="34" t="n">
        <f aca="false">IF(Z9&gt;=Hypotheses!$D$43,Hypotheses!$D$42,Hypotheses!$D$41)+IF(Z3&gt;=Hypotheses!$D$16,Hypotheses!$D$46,0)</f>
        <v>4</v>
      </c>
      <c r="AA23" s="34" t="n">
        <f aca="false">IF(AA9&gt;=Hypotheses!$D$43,Hypotheses!$D$42,Hypotheses!$D$41)+IF(AA3&gt;=Hypotheses!$D$16,Hypotheses!$D$46,0)</f>
        <v>4</v>
      </c>
      <c r="AB23" s="34" t="n">
        <f aca="false">IF(AB9&gt;=Hypotheses!$D$43,Hypotheses!$D$42,Hypotheses!$D$41)+IF(AB3&gt;=Hypotheses!$D$16,Hypotheses!$D$46,0)</f>
        <v>4</v>
      </c>
      <c r="AC23" s="34" t="n">
        <f aca="false">IF(AC9&gt;=Hypotheses!$D$43,Hypotheses!$D$42,Hypotheses!$D$41)+IF(AC3&gt;=Hypotheses!$D$16,Hypotheses!$D$46,0)</f>
        <v>4</v>
      </c>
      <c r="AD23" s="34" t="n">
        <f aca="false">IF(AD9&gt;=Hypotheses!$D$43,Hypotheses!$D$42,Hypotheses!$D$41)+IF(AD3&gt;=Hypotheses!$D$16,Hypotheses!$D$46,0)</f>
        <v>4</v>
      </c>
      <c r="AE23" s="34" t="n">
        <f aca="false">IF(AE9&gt;=Hypotheses!$D$43,Hypotheses!$D$42,Hypotheses!$D$41)+IF(AE3&gt;=Hypotheses!$D$16,Hypotheses!$D$46,0)</f>
        <v>4</v>
      </c>
      <c r="AF23" s="34" t="n">
        <f aca="false">IF(AF9&gt;=Hypotheses!$D$43,Hypotheses!$D$42,Hypotheses!$D$41)+IF(AF3&gt;=Hypotheses!$D$16,Hypotheses!$D$46,0)</f>
        <v>4</v>
      </c>
      <c r="AG23" s="34" t="n">
        <f aca="false">IF(AG9&gt;=Hypotheses!$D$43,Hypotheses!$D$42,Hypotheses!$D$41)+IF(AG3&gt;=Hypotheses!$D$16,Hypotheses!$D$46,0)</f>
        <v>4</v>
      </c>
      <c r="AH23" s="34" t="n">
        <f aca="false">IF(AH9&gt;=Hypotheses!$D$43,Hypotheses!$D$42,Hypotheses!$D$41)+IF(AH3&gt;=Hypotheses!$D$16,Hypotheses!$D$46,0)</f>
        <v>4</v>
      </c>
      <c r="AI23" s="34" t="n">
        <f aca="false">IF(AI9&gt;=Hypotheses!$D$43,Hypotheses!$D$42,Hypotheses!$D$41)+IF(AI3&gt;=Hypotheses!$D$16,Hypotheses!$D$46,0)</f>
        <v>4</v>
      </c>
      <c r="AJ23" s="34" t="n">
        <f aca="false">IF(AJ9&gt;=Hypotheses!$D$43,Hypotheses!$D$42,Hypotheses!$D$41)+IF(AJ3&gt;=Hypotheses!$D$16,Hypotheses!$D$46,0)</f>
        <v>4</v>
      </c>
      <c r="AK23" s="34" t="n">
        <f aca="false">IF(AK9&gt;=Hypotheses!$D$43,Hypotheses!$D$42,Hypotheses!$D$41)+IF(AK3&gt;=Hypotheses!$D$16,Hypotheses!$D$46,0)</f>
        <v>4</v>
      </c>
      <c r="AL23" s="34" t="n">
        <f aca="false">IF(AL9&gt;=Hypotheses!$D$43,Hypotheses!$D$42,Hypotheses!$D$41)+IF(AL3&gt;=Hypotheses!$D$16,Hypotheses!$D$46,0)</f>
        <v>4</v>
      </c>
      <c r="AM23" s="34" t="n">
        <f aca="false">IF(AM9&gt;=Hypotheses!$D$43,Hypotheses!$D$42,Hypotheses!$D$41)+IF(AM3&gt;=Hypotheses!$D$16,Hypotheses!$D$46,0)</f>
        <v>4</v>
      </c>
      <c r="AN23" s="34" t="n">
        <f aca="false">IF(AN9&gt;=Hypotheses!$D$43,Hypotheses!$D$42,Hypotheses!$D$41)+IF(AN3&gt;=Hypotheses!$D$16,Hypotheses!$D$46,0)</f>
        <v>4</v>
      </c>
      <c r="AO23" s="34" t="n">
        <f aca="false">IF(AO9&gt;=Hypotheses!$D$43,Hypotheses!$D$42,Hypotheses!$D$41)+IF(AO3&gt;=Hypotheses!$D$16,Hypotheses!$D$46,0)</f>
        <v>4</v>
      </c>
      <c r="AP23" s="34" t="n">
        <f aca="false">IF(AP9&gt;=Hypotheses!$D$43,Hypotheses!$D$42,Hypotheses!$D$41)+IF(AP3&gt;=Hypotheses!$D$16,Hypotheses!$D$46,0)</f>
        <v>4</v>
      </c>
      <c r="AQ23" s="34" t="n">
        <f aca="false">IF(AQ9&gt;=Hypotheses!$D$43,Hypotheses!$D$42,Hypotheses!$D$41)+IF(AQ3&gt;=Hypotheses!$D$16,Hypotheses!$D$46,0)</f>
        <v>4</v>
      </c>
      <c r="AR23" s="34" t="n">
        <f aca="false">IF(AR9&gt;=Hypotheses!$D$43,Hypotheses!$D$42,Hypotheses!$D$41)+IF(AR3&gt;=Hypotheses!$D$16,Hypotheses!$D$46,0)</f>
        <v>4</v>
      </c>
      <c r="AS23" s="34" t="n">
        <f aca="false">IF(AS9&gt;=Hypotheses!$D$43,Hypotheses!$D$42,Hypotheses!$D$41)+IF(AS3&gt;=Hypotheses!$D$16,Hypotheses!$D$46,0)</f>
        <v>4</v>
      </c>
      <c r="AT23" s="34" t="n">
        <f aca="false">IF(AT9&gt;=Hypotheses!$D$43,Hypotheses!$D$42,Hypotheses!$D$41)+IF(AT3&gt;=Hypotheses!$D$16,Hypotheses!$D$46,0)</f>
        <v>4</v>
      </c>
      <c r="AU23" s="34" t="n">
        <f aca="false">IF(AU9&gt;=Hypotheses!$D$43,Hypotheses!$D$42,Hypotheses!$D$41)+IF(AU3&gt;=Hypotheses!$D$16,Hypotheses!$D$46,0)</f>
        <v>4</v>
      </c>
      <c r="AV23" s="34" t="n">
        <f aca="false">IF(AV9&gt;=Hypotheses!$D$43,Hypotheses!$D$42,Hypotheses!$D$41)+IF(AV3&gt;=Hypotheses!$D$16,Hypotheses!$D$46,0)</f>
        <v>4</v>
      </c>
      <c r="AW23" s="34" t="n">
        <f aca="false">IF(AW9&gt;=Hypotheses!$D$43,Hypotheses!$D$42,Hypotheses!$D$41)+IF(AW3&gt;=Hypotheses!$D$16,Hypotheses!$D$46,0)</f>
        <v>4</v>
      </c>
      <c r="AX23" s="34" t="n">
        <f aca="false">IF(AX9&gt;=Hypotheses!$D$43,Hypotheses!$D$42,Hypotheses!$D$41)+IF(AX3&gt;=Hypotheses!$D$16,Hypotheses!$D$46,0)</f>
        <v>4</v>
      </c>
      <c r="AY23" s="34" t="n">
        <f aca="false">IF(AY9&gt;=Hypotheses!$D$43,Hypotheses!$D$42,Hypotheses!$D$41)+IF(AY3&gt;=Hypotheses!$D$16,Hypotheses!$D$46,0)</f>
        <v>4</v>
      </c>
      <c r="AZ23" s="34" t="n">
        <f aca="false">IF(AZ9&gt;=Hypotheses!$D$43,Hypotheses!$D$42,Hypotheses!$D$41)+IF(AZ3&gt;=Hypotheses!$D$16,Hypotheses!$D$46,0)</f>
        <v>4</v>
      </c>
      <c r="BA23" s="34" t="n">
        <f aca="false">IF(BA9&gt;=Hypotheses!$D$43,Hypotheses!$D$42,Hypotheses!$D$41)+IF(BA3&gt;=Hypotheses!$D$16,Hypotheses!$D$46,0)</f>
        <v>4</v>
      </c>
      <c r="BB23" s="34" t="n">
        <f aca="false">IF(BB9&gt;=Hypotheses!$D$43,Hypotheses!$D$42,Hypotheses!$D$41)+IF(BB3&gt;=Hypotheses!$D$16,Hypotheses!$D$46,0)</f>
        <v>4</v>
      </c>
      <c r="BC23" s="34" t="n">
        <f aca="false">IF(BC9&gt;=Hypotheses!$D$43,Hypotheses!$D$42,Hypotheses!$D$41)+IF(BC3&gt;=Hypotheses!$D$16,Hypotheses!$D$46,0)</f>
        <v>4</v>
      </c>
      <c r="BD23" s="34" t="n">
        <f aca="false">IF(BD9&gt;=Hypotheses!$D$43,Hypotheses!$D$42,Hypotheses!$D$41)+IF(BD3&gt;=Hypotheses!$D$16,Hypotheses!$D$46,0)</f>
        <v>4</v>
      </c>
      <c r="BE23" s="34" t="n">
        <f aca="false">IF(BE9&gt;=Hypotheses!$D$43,Hypotheses!$D$42,Hypotheses!$D$41)+IF(BE3&gt;=Hypotheses!$D$16,Hypotheses!$D$46,0)</f>
        <v>4</v>
      </c>
      <c r="BF23" s="34" t="n">
        <f aca="false">IF(BF9&gt;=Hypotheses!$D$43,Hypotheses!$D$42,Hypotheses!$D$41)+IF(BF3&gt;=Hypotheses!$D$16,Hypotheses!$D$46,0)</f>
        <v>4</v>
      </c>
      <c r="BG23" s="34" t="n">
        <f aca="false">IF(BG9&gt;=Hypotheses!$D$43,Hypotheses!$D$42,Hypotheses!$D$41)+IF(BG3&gt;=Hypotheses!$D$16,Hypotheses!$D$46,0)</f>
        <v>4</v>
      </c>
      <c r="BH23" s="34" t="n">
        <f aca="false">IF(BH9&gt;=Hypotheses!$D$43,Hypotheses!$D$42,Hypotheses!$D$41)+IF(BH3&gt;=Hypotheses!$D$16,Hypotheses!$D$46,0)</f>
        <v>4</v>
      </c>
      <c r="BI23" s="34" t="n">
        <f aca="false">IF(BI9&gt;=Hypotheses!$D$43,Hypotheses!$D$42,Hypotheses!$D$41)+IF(BI3&gt;=Hypotheses!$D$16,Hypotheses!$D$46,0)</f>
        <v>4</v>
      </c>
      <c r="BJ23" s="34" t="n">
        <f aca="false">IF(BJ9&gt;=Hypotheses!$D$43,Hypotheses!$D$42,Hypotheses!$D$41)+IF(BJ3&gt;=Hypotheses!$D$16,Hypotheses!$D$46,0)</f>
        <v>4</v>
      </c>
      <c r="BK23" s="34" t="n">
        <f aca="false">IF(BK9&gt;=Hypotheses!$D$43,Hypotheses!$D$42,Hypotheses!$D$41)+IF(BK3&gt;=Hypotheses!$D$16,Hypotheses!$D$46,0)</f>
        <v>4</v>
      </c>
      <c r="BL23" s="34" t="n">
        <f aca="false">IF(BL9&gt;=Hypotheses!$D$43,Hypotheses!$D$42,Hypotheses!$D$41)+IF(BL3&gt;=Hypotheses!$D$16,Hypotheses!$D$46,0)</f>
        <v>4</v>
      </c>
    </row>
    <row r="24" customFormat="false" ht="15" hidden="false" customHeight="false" outlineLevel="0" collapsed="false">
      <c r="B24" s="2" t="s">
        <v>280</v>
      </c>
      <c r="C24" s="2"/>
      <c r="D24" s="34" t="n">
        <f aca="false">0</f>
        <v>0</v>
      </c>
      <c r="E24" s="34" t="n">
        <f aca="false">IF(OR(E9&gt;=Hypotheses!$D$44,D24=1),1,0)</f>
        <v>0</v>
      </c>
      <c r="F24" s="34" t="n">
        <f aca="false">IF(OR(F9&gt;=Hypotheses!$D$44,E24=1),1,0)</f>
        <v>0</v>
      </c>
      <c r="G24" s="34" t="n">
        <f aca="false">IF(OR(G9&gt;=Hypotheses!$D$44,F24=1),1,0)</f>
        <v>0</v>
      </c>
      <c r="H24" s="34" t="n">
        <f aca="false">IF(OR(H9&gt;=Hypotheses!$D$44,G24=1),1,0)</f>
        <v>0</v>
      </c>
      <c r="I24" s="34" t="n">
        <f aca="false">IF(OR(I9&gt;=Hypotheses!$D$44,H24=1),1,0)</f>
        <v>0</v>
      </c>
      <c r="J24" s="34" t="n">
        <f aca="false">IF(OR(J9&gt;=Hypotheses!$D$44,I24=1),1,0)</f>
        <v>0</v>
      </c>
      <c r="K24" s="34" t="n">
        <f aca="false">IF(OR(K9&gt;=Hypotheses!$D$44,J24=1),1,0)</f>
        <v>0</v>
      </c>
      <c r="L24" s="34" t="n">
        <f aca="false">IF(OR(L9&gt;=Hypotheses!$D$44,K24=1),1,0)</f>
        <v>0</v>
      </c>
      <c r="M24" s="34" t="n">
        <f aca="false">IF(OR(M9&gt;=Hypotheses!$D$44,L24=1),1,0)</f>
        <v>0</v>
      </c>
      <c r="N24" s="34" t="n">
        <f aca="false">IF(OR(N9&gt;=Hypotheses!$D$44,M24=1),1,0)</f>
        <v>0</v>
      </c>
      <c r="O24" s="34" t="n">
        <f aca="false">IF(OR(O9&gt;=Hypotheses!$D$44,N24=1),1,0)</f>
        <v>0</v>
      </c>
      <c r="P24" s="34" t="n">
        <f aca="false">IF(OR(P9&gt;=Hypotheses!$D$44,O24=1),1,0)</f>
        <v>0</v>
      </c>
      <c r="Q24" s="34" t="n">
        <f aca="false">IF(OR(Q9&gt;=Hypotheses!$D$44,P24=1),1,0)</f>
        <v>0</v>
      </c>
      <c r="R24" s="34" t="n">
        <f aca="false">IF(OR(R9&gt;=Hypotheses!$D$44,Q24=1),1,0)</f>
        <v>0</v>
      </c>
      <c r="S24" s="34" t="n">
        <f aca="false">IF(OR(S9&gt;=Hypotheses!$D$44,R24=1),1,0)</f>
        <v>0</v>
      </c>
      <c r="T24" s="34" t="n">
        <f aca="false">IF(OR(T9&gt;=Hypotheses!$D$44,S24=1),1,0)</f>
        <v>0</v>
      </c>
      <c r="U24" s="34" t="n">
        <f aca="false">IF(OR(U9&gt;=Hypotheses!$D$44,T24=1),1,0)</f>
        <v>0</v>
      </c>
      <c r="V24" s="34" t="n">
        <f aca="false">IF(OR(V9&gt;=Hypotheses!$D$44,U24=1),1,0)</f>
        <v>0</v>
      </c>
      <c r="W24" s="34" t="n">
        <f aca="false">IF(OR(W9&gt;=Hypotheses!$D$44,V24=1),1,0)</f>
        <v>0</v>
      </c>
      <c r="X24" s="34" t="n">
        <f aca="false">IF(OR(X9&gt;=Hypotheses!$D$44,W24=1),1,0)</f>
        <v>0</v>
      </c>
      <c r="Y24" s="34" t="n">
        <f aca="false">IF(OR(Y9&gt;=Hypotheses!$D$44,X24=1),1,0)</f>
        <v>0</v>
      </c>
      <c r="Z24" s="34" t="n">
        <f aca="false">IF(OR(Z9&gt;=Hypotheses!$D$44,Y24=1),1,0)</f>
        <v>0</v>
      </c>
      <c r="AA24" s="34" t="n">
        <f aca="false">IF(OR(AA9&gt;=Hypotheses!$D$44,Z24=1),1,0)</f>
        <v>0</v>
      </c>
      <c r="AB24" s="34" t="n">
        <f aca="false">IF(OR(AB9&gt;=Hypotheses!$D$44,AA24=1),1,0)</f>
        <v>0</v>
      </c>
      <c r="AC24" s="34" t="n">
        <f aca="false">IF(OR(AC9&gt;=Hypotheses!$D$44,AB24=1),1,0)</f>
        <v>0</v>
      </c>
      <c r="AD24" s="34" t="n">
        <f aca="false">IF(OR(AD9&gt;=Hypotheses!$D$44,AC24=1),1,0)</f>
        <v>0</v>
      </c>
      <c r="AE24" s="34" t="n">
        <f aca="false">IF(OR(AE9&gt;=Hypotheses!$D$44,AD24=1),1,0)</f>
        <v>0</v>
      </c>
      <c r="AF24" s="34" t="n">
        <f aca="false">IF(OR(AF9&gt;=Hypotheses!$D$44,AE24=1),1,0)</f>
        <v>0</v>
      </c>
      <c r="AG24" s="34" t="n">
        <f aca="false">IF(OR(AG9&gt;=Hypotheses!$D$44,AF24=1),1,0)</f>
        <v>0</v>
      </c>
      <c r="AH24" s="34" t="n">
        <f aca="false">IF(OR(AH9&gt;=Hypotheses!$D$44,AG24=1),1,0)</f>
        <v>0</v>
      </c>
      <c r="AI24" s="34" t="n">
        <f aca="false">IF(OR(AI9&gt;=Hypotheses!$D$44,AH24=1),1,0)</f>
        <v>0</v>
      </c>
      <c r="AJ24" s="34" t="n">
        <f aca="false">IF(OR(AJ9&gt;=Hypotheses!$D$44,AI24=1),1,0)</f>
        <v>0</v>
      </c>
      <c r="AK24" s="34" t="n">
        <f aca="false">IF(OR(AK9&gt;=Hypotheses!$D$44,AJ24=1),1,0)</f>
        <v>0</v>
      </c>
      <c r="AL24" s="34" t="n">
        <f aca="false">IF(OR(AL9&gt;=Hypotheses!$D$44,AK24=1),1,0)</f>
        <v>0</v>
      </c>
      <c r="AM24" s="34" t="n">
        <f aca="false">IF(OR(AM9&gt;=Hypotheses!$D$44,AL24=1),1,0)</f>
        <v>0</v>
      </c>
      <c r="AN24" s="34" t="n">
        <f aca="false">IF(OR(AN9&gt;=Hypotheses!$D$44,AM24=1),1,0)</f>
        <v>0</v>
      </c>
      <c r="AO24" s="34" t="n">
        <f aca="false">IF(OR(AO9&gt;=Hypotheses!$D$44,AN24=1),1,0)</f>
        <v>0</v>
      </c>
      <c r="AP24" s="34" t="n">
        <f aca="false">IF(OR(AP9&gt;=Hypotheses!$D$44,AO24=1),1,0)</f>
        <v>0</v>
      </c>
      <c r="AQ24" s="34" t="n">
        <f aca="false">IF(OR(AQ9&gt;=Hypotheses!$D$44,AP24=1),1,0)</f>
        <v>0</v>
      </c>
      <c r="AR24" s="34" t="n">
        <f aca="false">IF(OR(AR9&gt;=Hypotheses!$D$44,AQ24=1),1,0)</f>
        <v>0</v>
      </c>
      <c r="AS24" s="34" t="n">
        <f aca="false">IF(OR(AS9&gt;=Hypotheses!$D$44,AR24=1),1,0)</f>
        <v>0</v>
      </c>
      <c r="AT24" s="34" t="n">
        <f aca="false">IF(OR(AT9&gt;=Hypotheses!$D$44,AS24=1),1,0)</f>
        <v>0</v>
      </c>
      <c r="AU24" s="34" t="n">
        <f aca="false">IF(OR(AU9&gt;=Hypotheses!$D$44,AT24=1),1,0)</f>
        <v>0</v>
      </c>
      <c r="AV24" s="34" t="n">
        <f aca="false">IF(OR(AV9&gt;=Hypotheses!$D$44,AU24=1),1,0)</f>
        <v>0</v>
      </c>
      <c r="AW24" s="34" t="n">
        <f aca="false">IF(OR(AW9&gt;=Hypotheses!$D$44,AV24=1),1,0)</f>
        <v>0</v>
      </c>
      <c r="AX24" s="34" t="n">
        <f aca="false">IF(OR(AX9&gt;=Hypotheses!$D$44,AW24=1),1,0)</f>
        <v>0</v>
      </c>
      <c r="AY24" s="34" t="n">
        <f aca="false">IF(OR(AY9&gt;=Hypotheses!$D$44,AX24=1),1,0)</f>
        <v>0</v>
      </c>
      <c r="AZ24" s="34" t="n">
        <f aca="false">IF(OR(AZ9&gt;=Hypotheses!$D$44,AY24=1),1,0)</f>
        <v>0</v>
      </c>
      <c r="BA24" s="34" t="n">
        <f aca="false">IF(OR(BA9&gt;=Hypotheses!$D$44,AZ24=1),1,0)</f>
        <v>0</v>
      </c>
      <c r="BB24" s="34" t="n">
        <f aca="false">IF(OR(BB9&gt;=Hypotheses!$D$44,BA24=1),1,0)</f>
        <v>0</v>
      </c>
      <c r="BC24" s="34" t="n">
        <f aca="false">IF(OR(BC9&gt;=Hypotheses!$D$44,BB24=1),1,0)</f>
        <v>0</v>
      </c>
      <c r="BD24" s="34" t="n">
        <f aca="false">IF(OR(BD9&gt;=Hypotheses!$D$44,BC24=1),1,0)</f>
        <v>0</v>
      </c>
      <c r="BE24" s="34" t="n">
        <f aca="false">IF(OR(BE9&gt;=Hypotheses!$D$44,BD24=1),1,0)</f>
        <v>0</v>
      </c>
      <c r="BF24" s="34" t="n">
        <f aca="false">IF(OR(BF9&gt;=Hypotheses!$D$44,BE24=1),1,0)</f>
        <v>0</v>
      </c>
      <c r="BG24" s="34" t="n">
        <f aca="false">IF(OR(BG9&gt;=Hypotheses!$D$44,BF24=1),1,0)</f>
        <v>0</v>
      </c>
      <c r="BH24" s="34" t="n">
        <f aca="false">IF(OR(BH9&gt;=Hypotheses!$D$44,BG24=1),1,0)</f>
        <v>0</v>
      </c>
      <c r="BI24" s="34" t="n">
        <f aca="false">IF(OR(BI9&gt;=Hypotheses!$D$44,BH24=1),1,0)</f>
        <v>0</v>
      </c>
      <c r="BJ24" s="34" t="n">
        <f aca="false">IF(OR(BJ9&gt;=Hypotheses!$D$44,BI24=1),1,0)</f>
        <v>0</v>
      </c>
      <c r="BK24" s="34" t="n">
        <f aca="false">IF(OR(BK9&gt;=Hypotheses!$D$44,BJ24=1),1,0)</f>
        <v>0</v>
      </c>
      <c r="BL24" s="34" t="n">
        <f aca="false">IF(OR(BL9&gt;=Hypotheses!$D$44,BK24=1),1,0)</f>
        <v>0</v>
      </c>
    </row>
    <row r="25" customFormat="false" ht="15" hidden="false" customHeight="false" outlineLevel="0" collapsed="false">
      <c r="B25" s="2" t="s">
        <v>281</v>
      </c>
      <c r="C25" s="2" t="s">
        <v>141</v>
      </c>
      <c r="E25" s="27" t="n">
        <f aca="false">-(Hypotheses!$D$37+Hypotheses!$D$39*(1+E24)+E23*Hypotheses!$D$38)*(1+Hypotheses!$D$40)*Hypotheses!$D$47/12</f>
        <v>-744791.666666667</v>
      </c>
      <c r="F25" s="27" t="n">
        <f aca="false">-(Hypotheses!$D$37+Hypotheses!$D$39*(1+F24)+F23*Hypotheses!$D$38)*(1+Hypotheses!$D$40)*Hypotheses!$D$47/12</f>
        <v>-744791.666666667</v>
      </c>
      <c r="G25" s="27" t="n">
        <f aca="false">-(Hypotheses!$D$37+Hypotheses!$D$39*(1+G24)+G23*Hypotheses!$D$38)*(1+Hypotheses!$D$40)*Hypotheses!$D$47/12</f>
        <v>-744791.666666667</v>
      </c>
      <c r="H25" s="27" t="n">
        <f aca="false">-(Hypotheses!$D$37+Hypotheses!$D$39*(1+H24)+H23*Hypotheses!$D$38)*(1+Hypotheses!$D$40)*Hypotheses!$D$47/12</f>
        <v>-744791.666666667</v>
      </c>
      <c r="I25" s="27" t="n">
        <f aca="false">-(Hypotheses!$D$37+Hypotheses!$D$39*(1+I24)+I23*Hypotheses!$D$38)*(1+Hypotheses!$D$40)*Hypotheses!$D$47/12</f>
        <v>-744791.666666667</v>
      </c>
      <c r="J25" s="27" t="n">
        <f aca="false">-(Hypotheses!$D$37+Hypotheses!$D$39*(1+J24)+J23*Hypotheses!$D$38)*(1+Hypotheses!$D$40)*Hypotheses!$D$47/12</f>
        <v>-744791.666666667</v>
      </c>
      <c r="K25" s="27" t="n">
        <f aca="false">-(Hypotheses!$D$37+Hypotheses!$D$39*(1+K24)+K23*Hypotheses!$D$38)*(1+Hypotheses!$D$40)*Hypotheses!$D$47/12</f>
        <v>-744791.666666667</v>
      </c>
      <c r="L25" s="27" t="n">
        <f aca="false">-(Hypotheses!$D$37+Hypotheses!$D$39*(1+L24)+L23*Hypotheses!$D$38)*(1+Hypotheses!$D$40)*Hypotheses!$D$47/12</f>
        <v>-744791.666666667</v>
      </c>
      <c r="M25" s="27" t="n">
        <f aca="false">-(Hypotheses!$D$37+Hypotheses!$D$39*(1+M24)+M23*Hypotheses!$D$38)*(1+Hypotheses!$D$40)*Hypotheses!$D$47/12</f>
        <v>-744791.666666667</v>
      </c>
      <c r="N25" s="27" t="n">
        <f aca="false">-(Hypotheses!$D$37+Hypotheses!$D$39*(1+N24)+N23*Hypotheses!$D$38)*(1+Hypotheses!$D$40)*Hypotheses!$D$47/12</f>
        <v>-744791.666666667</v>
      </c>
      <c r="O25" s="27" t="n">
        <f aca="false">-(Hypotheses!$D$37+Hypotheses!$D$39*(1+O24)+O23*Hypotheses!$D$38)*(1+Hypotheses!$D$40)*Hypotheses!$D$47/12</f>
        <v>-744791.666666667</v>
      </c>
      <c r="P25" s="27" t="n">
        <f aca="false">-(Hypotheses!$D$37+Hypotheses!$D$39*(1+P24)+P23*Hypotheses!$D$38)*(1+Hypotheses!$D$40)*Hypotheses!$D$47/12</f>
        <v>-744791.666666667</v>
      </c>
      <c r="Q25" s="27" t="n">
        <f aca="false">-(Hypotheses!$D$37+Hypotheses!$D$39*(1+Q24)+Q23*Hypotheses!$D$38)*(1+Hypotheses!$D$40)*Hypotheses!$D$47/12</f>
        <v>-744791.666666667</v>
      </c>
      <c r="R25" s="27" t="n">
        <f aca="false">-(Hypotheses!$D$37+Hypotheses!$D$39*(1+R24)+R23*Hypotheses!$D$38)*(1+Hypotheses!$D$40)*Hypotheses!$D$47/12</f>
        <v>-744791.666666667</v>
      </c>
      <c r="S25" s="27" t="n">
        <f aca="false">-(Hypotheses!$D$37+Hypotheses!$D$39*(1+S24)+S23*Hypotheses!$D$38)*(1+Hypotheses!$D$40)*Hypotheses!$D$47/12</f>
        <v>-744791.666666667</v>
      </c>
      <c r="T25" s="27" t="n">
        <f aca="false">-(Hypotheses!$D$37+Hypotheses!$D$39*(1+T24)+T23*Hypotheses!$D$38)*(1+Hypotheses!$D$40)*Hypotheses!$D$47/12</f>
        <v>-744791.666666667</v>
      </c>
      <c r="U25" s="27" t="n">
        <f aca="false">-(Hypotheses!$D$37+Hypotheses!$D$39*(1+U24)+U23*Hypotheses!$D$38)*(1+Hypotheses!$D$40)*Hypotheses!$D$47/12</f>
        <v>-744791.666666667</v>
      </c>
      <c r="V25" s="27" t="n">
        <f aca="false">-(Hypotheses!$D$37+Hypotheses!$D$39*(1+V24)+V23*Hypotheses!$D$38)*(1+Hypotheses!$D$40)*Hypotheses!$D$47/12</f>
        <v>-744791.666666667</v>
      </c>
      <c r="W25" s="27" t="n">
        <f aca="false">-(Hypotheses!$D$37+Hypotheses!$D$39*(1+W24)+W23*Hypotheses!$D$38)*(1+Hypotheses!$D$40)*Hypotheses!$D$47/12</f>
        <v>-1042708.33333333</v>
      </c>
      <c r="X25" s="27" t="n">
        <f aca="false">-(Hypotheses!$D$37+Hypotheses!$D$39*(1+X24)+X23*Hypotheses!$D$38)*(1+Hypotheses!$D$40)*Hypotheses!$D$47/12</f>
        <v>-1042708.33333333</v>
      </c>
      <c r="Y25" s="27" t="n">
        <f aca="false">-(Hypotheses!$D$37+Hypotheses!$D$39*(1+Y24)+Y23*Hypotheses!$D$38)*(1+Hypotheses!$D$40)*Hypotheses!$D$47/12</f>
        <v>-1042708.33333333</v>
      </c>
      <c r="Z25" s="27" t="n">
        <f aca="false">-(Hypotheses!$D$37+Hypotheses!$D$39*(1+Z24)+Z23*Hypotheses!$D$38)*(1+Hypotheses!$D$40)*Hypotheses!$D$47/12</f>
        <v>-1042708.33333333</v>
      </c>
      <c r="AA25" s="27" t="n">
        <f aca="false">-(Hypotheses!$D$37+Hypotheses!$D$39*(1+AA24)+AA23*Hypotheses!$D$38)*(1+Hypotheses!$D$40)*Hypotheses!$D$47/12</f>
        <v>-1042708.33333333</v>
      </c>
      <c r="AB25" s="27" t="n">
        <f aca="false">-(Hypotheses!$D$37+Hypotheses!$D$39*(1+AB24)+AB23*Hypotheses!$D$38)*(1+Hypotheses!$D$40)*Hypotheses!$D$47/12</f>
        <v>-1042708.33333333</v>
      </c>
      <c r="AC25" s="27" t="n">
        <f aca="false">-(Hypotheses!$D$37+Hypotheses!$D$39*(1+AC24)+AC23*Hypotheses!$D$38)*(1+Hypotheses!$D$40)*Hypotheses!$D$47/12</f>
        <v>-1042708.33333333</v>
      </c>
      <c r="AD25" s="27" t="n">
        <f aca="false">-(Hypotheses!$D$37+Hypotheses!$D$39*(1+AD24)+AD23*Hypotheses!$D$38)*(1+Hypotheses!$D$40)*Hypotheses!$D$47/12</f>
        <v>-1042708.33333333</v>
      </c>
      <c r="AE25" s="27" t="n">
        <f aca="false">-(Hypotheses!$D$37+Hypotheses!$D$39*(1+AE24)+AE23*Hypotheses!$D$38)*(1+Hypotheses!$D$40)*Hypotheses!$D$47/12</f>
        <v>-1042708.33333333</v>
      </c>
      <c r="AF25" s="27" t="n">
        <f aca="false">-(Hypotheses!$D$37+Hypotheses!$D$39*(1+AF24)+AF23*Hypotheses!$D$38)*(1+Hypotheses!$D$40)*Hypotheses!$D$47/12</f>
        <v>-1042708.33333333</v>
      </c>
      <c r="AG25" s="27" t="n">
        <f aca="false">-(Hypotheses!$D$37+Hypotheses!$D$39*(1+AG24)+AG23*Hypotheses!$D$38)*(1+Hypotheses!$D$40)*Hypotheses!$D$47/12</f>
        <v>-1042708.33333333</v>
      </c>
      <c r="AH25" s="27" t="n">
        <f aca="false">-(Hypotheses!$D$37+Hypotheses!$D$39*(1+AH24)+AH23*Hypotheses!$D$38)*(1+Hypotheses!$D$40)*Hypotheses!$D$47/12</f>
        <v>-1042708.33333333</v>
      </c>
      <c r="AI25" s="27" t="n">
        <f aca="false">-(Hypotheses!$D$37+Hypotheses!$D$39*(1+AI24)+AI23*Hypotheses!$D$38)*(1+Hypotheses!$D$40)*Hypotheses!$D$47/12</f>
        <v>-1042708.33333333</v>
      </c>
      <c r="AJ25" s="27" t="n">
        <f aca="false">-(Hypotheses!$D$37+Hypotheses!$D$39*(1+AJ24)+AJ23*Hypotheses!$D$38)*(1+Hypotheses!$D$40)*Hypotheses!$D$47/12</f>
        <v>-1042708.33333333</v>
      </c>
      <c r="AK25" s="27" t="n">
        <f aca="false">-(Hypotheses!$D$37+Hypotheses!$D$39*(1+AK24)+AK23*Hypotheses!$D$38)*(1+Hypotheses!$D$40)*Hypotheses!$D$47/12</f>
        <v>-1042708.33333333</v>
      </c>
      <c r="AL25" s="27" t="n">
        <f aca="false">-(Hypotheses!$D$37+Hypotheses!$D$39*(1+AL24)+AL23*Hypotheses!$D$38)*(1+Hypotheses!$D$40)*Hypotheses!$D$47/12</f>
        <v>-1042708.33333333</v>
      </c>
      <c r="AM25" s="27" t="n">
        <f aca="false">-(Hypotheses!$D$37+Hypotheses!$D$39*(1+AM24)+AM23*Hypotheses!$D$38)*(1+Hypotheses!$D$40)*Hypotheses!$D$47/12</f>
        <v>-1042708.33333333</v>
      </c>
      <c r="AN25" s="27" t="n">
        <f aca="false">-(Hypotheses!$D$37+Hypotheses!$D$39*(1+AN24)+AN23*Hypotheses!$D$38)*(1+Hypotheses!$D$40)*Hypotheses!$D$47/12</f>
        <v>-1042708.33333333</v>
      </c>
      <c r="AO25" s="27" t="n">
        <f aca="false">-(Hypotheses!$D$37+Hypotheses!$D$39*(1+AO24)+AO23*Hypotheses!$D$38)*(1+Hypotheses!$D$40)*Hypotheses!$D$47/12</f>
        <v>-1042708.33333333</v>
      </c>
      <c r="AP25" s="27" t="n">
        <f aca="false">-(Hypotheses!$D$37+Hypotheses!$D$39*(1+AP24)+AP23*Hypotheses!$D$38)*(1+Hypotheses!$D$40)*Hypotheses!$D$47/12</f>
        <v>-1042708.33333333</v>
      </c>
      <c r="AQ25" s="27" t="n">
        <f aca="false">-(Hypotheses!$D$37+Hypotheses!$D$39*(1+AQ24)+AQ23*Hypotheses!$D$38)*(1+Hypotheses!$D$40)*Hypotheses!$D$47/12</f>
        <v>-1042708.33333333</v>
      </c>
      <c r="AR25" s="27" t="n">
        <f aca="false">-(Hypotheses!$D$37+Hypotheses!$D$39*(1+AR24)+AR23*Hypotheses!$D$38)*(1+Hypotheses!$D$40)*Hypotheses!$D$47/12</f>
        <v>-1042708.33333333</v>
      </c>
      <c r="AS25" s="27" t="n">
        <f aca="false">-(Hypotheses!$D$37+Hypotheses!$D$39*(1+AS24)+AS23*Hypotheses!$D$38)*(1+Hypotheses!$D$40)*Hypotheses!$D$47/12</f>
        <v>-1042708.33333333</v>
      </c>
      <c r="AT25" s="27" t="n">
        <f aca="false">-(Hypotheses!$D$37+Hypotheses!$D$39*(1+AT24)+AT23*Hypotheses!$D$38)*(1+Hypotheses!$D$40)*Hypotheses!$D$47/12</f>
        <v>-1042708.33333333</v>
      </c>
      <c r="AU25" s="27" t="n">
        <f aca="false">-(Hypotheses!$D$37+Hypotheses!$D$39*(1+AU24)+AU23*Hypotheses!$D$38)*(1+Hypotheses!$D$40)*Hypotheses!$D$47/12</f>
        <v>-1042708.33333333</v>
      </c>
      <c r="AV25" s="27" t="n">
        <f aca="false">-(Hypotheses!$D$37+Hypotheses!$D$39*(1+AV24)+AV23*Hypotheses!$D$38)*(1+Hypotheses!$D$40)*Hypotheses!$D$47/12</f>
        <v>-1042708.33333333</v>
      </c>
      <c r="AW25" s="27" t="n">
        <f aca="false">-(Hypotheses!$D$37+Hypotheses!$D$39*(1+AW24)+AW23*Hypotheses!$D$38)*(1+Hypotheses!$D$40)*Hypotheses!$D$47/12</f>
        <v>-1042708.33333333</v>
      </c>
      <c r="AX25" s="27" t="n">
        <f aca="false">-(Hypotheses!$D$37+Hypotheses!$D$39*(1+AX24)+AX23*Hypotheses!$D$38)*(1+Hypotheses!$D$40)*Hypotheses!$D$47/12</f>
        <v>-1042708.33333333</v>
      </c>
      <c r="AY25" s="27" t="n">
        <f aca="false">-(Hypotheses!$D$37+Hypotheses!$D$39*(1+AY24)+AY23*Hypotheses!$D$38)*(1+Hypotheses!$D$40)*Hypotheses!$D$47/12</f>
        <v>-1042708.33333333</v>
      </c>
      <c r="AZ25" s="27" t="n">
        <f aca="false">-(Hypotheses!$D$37+Hypotheses!$D$39*(1+AZ24)+AZ23*Hypotheses!$D$38)*(1+Hypotheses!$D$40)*Hypotheses!$D$47/12</f>
        <v>-1042708.33333333</v>
      </c>
      <c r="BA25" s="27" t="n">
        <f aca="false">-(Hypotheses!$D$37+Hypotheses!$D$39*(1+BA24)+BA23*Hypotheses!$D$38)*(1+Hypotheses!$D$40)*Hypotheses!$D$47/12</f>
        <v>-1042708.33333333</v>
      </c>
      <c r="BB25" s="27" t="n">
        <f aca="false">-(Hypotheses!$D$37+Hypotheses!$D$39*(1+BB24)+BB23*Hypotheses!$D$38)*(1+Hypotheses!$D$40)*Hypotheses!$D$47/12</f>
        <v>-1042708.33333333</v>
      </c>
      <c r="BC25" s="27" t="n">
        <f aca="false">-(Hypotheses!$D$37+Hypotheses!$D$39*(1+BC24)+BC23*Hypotheses!$D$38)*(1+Hypotheses!$D$40)*Hypotheses!$D$47/12</f>
        <v>-1042708.33333333</v>
      </c>
      <c r="BD25" s="27" t="n">
        <f aca="false">-(Hypotheses!$D$37+Hypotheses!$D$39*(1+BD24)+BD23*Hypotheses!$D$38)*(1+Hypotheses!$D$40)*Hypotheses!$D$47/12</f>
        <v>-1042708.33333333</v>
      </c>
      <c r="BE25" s="27" t="n">
        <f aca="false">-(Hypotheses!$D$37+Hypotheses!$D$39*(1+BE24)+BE23*Hypotheses!$D$38)*(1+Hypotheses!$D$40)*Hypotheses!$D$47/12</f>
        <v>-1042708.33333333</v>
      </c>
      <c r="BF25" s="27" t="n">
        <f aca="false">-(Hypotheses!$D$37+Hypotheses!$D$39*(1+BF24)+BF23*Hypotheses!$D$38)*(1+Hypotheses!$D$40)*Hypotheses!$D$47/12</f>
        <v>-1042708.33333333</v>
      </c>
      <c r="BG25" s="27" t="n">
        <f aca="false">-(Hypotheses!$D$37+Hypotheses!$D$39*(1+BG24)+BG23*Hypotheses!$D$38)*(1+Hypotheses!$D$40)*Hypotheses!$D$47/12</f>
        <v>-1042708.33333333</v>
      </c>
      <c r="BH25" s="27" t="n">
        <f aca="false">-(Hypotheses!$D$37+Hypotheses!$D$39*(1+BH24)+BH23*Hypotheses!$D$38)*(1+Hypotheses!$D$40)*Hypotheses!$D$47/12</f>
        <v>-1042708.33333333</v>
      </c>
      <c r="BI25" s="27" t="n">
        <f aca="false">-(Hypotheses!$D$37+Hypotheses!$D$39*(1+BI24)+BI23*Hypotheses!$D$38)*(1+Hypotheses!$D$40)*Hypotheses!$D$47/12</f>
        <v>-1042708.33333333</v>
      </c>
      <c r="BJ25" s="27" t="n">
        <f aca="false">-(Hypotheses!$D$37+Hypotheses!$D$39*(1+BJ24)+BJ23*Hypotheses!$D$38)*(1+Hypotheses!$D$40)*Hypotheses!$D$47/12</f>
        <v>-1042708.33333333</v>
      </c>
      <c r="BK25" s="27" t="n">
        <f aca="false">-(Hypotheses!$D$37+Hypotheses!$D$39*(1+BK24)+BK23*Hypotheses!$D$38)*(1+Hypotheses!$D$40)*Hypotheses!$D$47/12</f>
        <v>-1042708.33333333</v>
      </c>
      <c r="BL25" s="27" t="n">
        <f aca="false">-(Hypotheses!$D$37+Hypotheses!$D$39*(1+BL24)+BL23*Hypotheses!$D$38)*(1+Hypotheses!$D$40)*Hypotheses!$D$47/12</f>
        <v>-1042708.33333333</v>
      </c>
    </row>
    <row r="26" customFormat="false" ht="15" hidden="false" customHeight="false" outlineLevel="0" collapsed="false">
      <c r="B26" s="2" t="s">
        <v>150</v>
      </c>
      <c r="C26" s="2" t="s">
        <v>141</v>
      </c>
      <c r="E26" s="27" t="n">
        <f aca="false">-Hypotheses!$D$49*Hypotheses!$D$50</f>
        <v>-600000</v>
      </c>
      <c r="F26" s="27" t="n">
        <f aca="false">-Hypotheses!$D$49*Hypotheses!$D$50</f>
        <v>-600000</v>
      </c>
      <c r="G26" s="27" t="n">
        <f aca="false">-Hypotheses!$D$49*Hypotheses!$D$50</f>
        <v>-600000</v>
      </c>
      <c r="H26" s="27" t="n">
        <f aca="false">-Hypotheses!$D$49*Hypotheses!$D$50</f>
        <v>-600000</v>
      </c>
      <c r="I26" s="27" t="n">
        <f aca="false">-Hypotheses!$D$49*Hypotheses!$D$50</f>
        <v>-600000</v>
      </c>
      <c r="J26" s="27" t="n">
        <f aca="false">-Hypotheses!$D$49*Hypotheses!$D$50</f>
        <v>-600000</v>
      </c>
      <c r="K26" s="27" t="n">
        <f aca="false">-Hypotheses!$D$49*Hypotheses!$D$50</f>
        <v>-600000</v>
      </c>
      <c r="L26" s="27" t="n">
        <f aca="false">-Hypotheses!$D$49*Hypotheses!$D$50</f>
        <v>-600000</v>
      </c>
      <c r="M26" s="27" t="n">
        <f aca="false">-Hypotheses!$D$49*Hypotheses!$D$50</f>
        <v>-600000</v>
      </c>
      <c r="N26" s="27" t="n">
        <f aca="false">-Hypotheses!$D$49*Hypotheses!$D$50</f>
        <v>-600000</v>
      </c>
      <c r="O26" s="27" t="n">
        <f aca="false">-Hypotheses!$D$49*Hypotheses!$D$50</f>
        <v>-600000</v>
      </c>
      <c r="P26" s="27" t="n">
        <f aca="false">-Hypotheses!$D$49*Hypotheses!$D$50</f>
        <v>-600000</v>
      </c>
      <c r="Q26" s="27" t="n">
        <f aca="false">-Hypotheses!$D$49*Hypotheses!$D$50</f>
        <v>-600000</v>
      </c>
      <c r="R26" s="27" t="n">
        <f aca="false">-Hypotheses!$D$49*Hypotheses!$D$50</f>
        <v>-600000</v>
      </c>
      <c r="S26" s="27" t="n">
        <f aca="false">-Hypotheses!$D$49*Hypotheses!$D$50</f>
        <v>-600000</v>
      </c>
      <c r="T26" s="27" t="n">
        <f aca="false">-Hypotheses!$D$49*Hypotheses!$D$50</f>
        <v>-600000</v>
      </c>
      <c r="U26" s="27" t="n">
        <f aca="false">-Hypotheses!$D$49*Hypotheses!$D$50</f>
        <v>-600000</v>
      </c>
      <c r="V26" s="27" t="n">
        <f aca="false">-Hypotheses!$D$49*Hypotheses!$D$50</f>
        <v>-600000</v>
      </c>
      <c r="W26" s="27" t="n">
        <f aca="false">-Hypotheses!$D$49*Hypotheses!$D$50</f>
        <v>-600000</v>
      </c>
      <c r="X26" s="27" t="n">
        <f aca="false">-Hypotheses!$D$49*Hypotheses!$D$50</f>
        <v>-600000</v>
      </c>
      <c r="Y26" s="27" t="n">
        <f aca="false">-Hypotheses!$D$49*Hypotheses!$D$50</f>
        <v>-600000</v>
      </c>
      <c r="Z26" s="27" t="n">
        <f aca="false">-Hypotheses!$D$49*Hypotheses!$D$50</f>
        <v>-600000</v>
      </c>
      <c r="AA26" s="27" t="n">
        <f aca="false">-Hypotheses!$D$49*Hypotheses!$D$50</f>
        <v>-600000</v>
      </c>
      <c r="AB26" s="27" t="n">
        <f aca="false">-Hypotheses!$D$49*Hypotheses!$D$50</f>
        <v>-600000</v>
      </c>
      <c r="AC26" s="27" t="n">
        <f aca="false">-Hypotheses!$D$49*Hypotheses!$D$50</f>
        <v>-600000</v>
      </c>
      <c r="AD26" s="27" t="n">
        <f aca="false">-Hypotheses!$D$49*Hypotheses!$D$50</f>
        <v>-600000</v>
      </c>
      <c r="AE26" s="27" t="n">
        <f aca="false">-Hypotheses!$D$49*Hypotheses!$D$50</f>
        <v>-600000</v>
      </c>
      <c r="AF26" s="27" t="n">
        <f aca="false">-Hypotheses!$D$49*Hypotheses!$D$50</f>
        <v>-600000</v>
      </c>
      <c r="AG26" s="27" t="n">
        <f aca="false">-Hypotheses!$D$49*Hypotheses!$D$50</f>
        <v>-600000</v>
      </c>
      <c r="AH26" s="27" t="n">
        <f aca="false">-Hypotheses!$D$49*Hypotheses!$D$50</f>
        <v>-600000</v>
      </c>
      <c r="AI26" s="27" t="n">
        <f aca="false">-Hypotheses!$D$49*Hypotheses!$D$50</f>
        <v>-600000</v>
      </c>
      <c r="AJ26" s="27" t="n">
        <f aca="false">-Hypotheses!$D$49*Hypotheses!$D$50</f>
        <v>-600000</v>
      </c>
      <c r="AK26" s="27" t="n">
        <f aca="false">-Hypotheses!$D$49*Hypotheses!$D$50</f>
        <v>-600000</v>
      </c>
      <c r="AL26" s="27" t="n">
        <f aca="false">-Hypotheses!$D$49*Hypotheses!$D$50</f>
        <v>-600000</v>
      </c>
      <c r="AM26" s="27" t="n">
        <f aca="false">-Hypotheses!$D$49*Hypotheses!$D$50</f>
        <v>-600000</v>
      </c>
      <c r="AN26" s="27" t="n">
        <f aca="false">-Hypotheses!$D$49*Hypotheses!$D$50</f>
        <v>-600000</v>
      </c>
      <c r="AO26" s="27" t="n">
        <f aca="false">-Hypotheses!$D$49*Hypotheses!$D$50</f>
        <v>-600000</v>
      </c>
      <c r="AP26" s="27" t="n">
        <f aca="false">-Hypotheses!$D$49*Hypotheses!$D$50</f>
        <v>-600000</v>
      </c>
      <c r="AQ26" s="27" t="n">
        <f aca="false">-Hypotheses!$D$49*Hypotheses!$D$50</f>
        <v>-600000</v>
      </c>
      <c r="AR26" s="27" t="n">
        <f aca="false">-Hypotheses!$D$49*Hypotheses!$D$50</f>
        <v>-600000</v>
      </c>
      <c r="AS26" s="27" t="n">
        <f aca="false">-Hypotheses!$D$49*Hypotheses!$D$50</f>
        <v>-600000</v>
      </c>
      <c r="AT26" s="27" t="n">
        <f aca="false">-Hypotheses!$D$49*Hypotheses!$D$50</f>
        <v>-600000</v>
      </c>
      <c r="AU26" s="27" t="n">
        <f aca="false">-Hypotheses!$D$49*Hypotheses!$D$50</f>
        <v>-600000</v>
      </c>
      <c r="AV26" s="27" t="n">
        <f aca="false">-Hypotheses!$D$49*Hypotheses!$D$50</f>
        <v>-600000</v>
      </c>
      <c r="AW26" s="27" t="n">
        <f aca="false">-Hypotheses!$D$49*Hypotheses!$D$50</f>
        <v>-600000</v>
      </c>
      <c r="AX26" s="27" t="n">
        <f aca="false">-Hypotheses!$D$49*Hypotheses!$D$50</f>
        <v>-600000</v>
      </c>
      <c r="AY26" s="27" t="n">
        <f aca="false">-Hypotheses!$D$49*Hypotheses!$D$50</f>
        <v>-600000</v>
      </c>
      <c r="AZ26" s="27" t="n">
        <f aca="false">-Hypotheses!$D$49*Hypotheses!$D$50</f>
        <v>-600000</v>
      </c>
      <c r="BA26" s="27" t="n">
        <f aca="false">-Hypotheses!$D$49*Hypotheses!$D$50</f>
        <v>-600000</v>
      </c>
      <c r="BB26" s="27" t="n">
        <f aca="false">-Hypotheses!$D$49*Hypotheses!$D$50</f>
        <v>-600000</v>
      </c>
      <c r="BC26" s="27" t="n">
        <f aca="false">-Hypotheses!$D$49*Hypotheses!$D$50</f>
        <v>-600000</v>
      </c>
      <c r="BD26" s="27" t="n">
        <f aca="false">-Hypotheses!$D$49*Hypotheses!$D$50</f>
        <v>-600000</v>
      </c>
      <c r="BE26" s="27" t="n">
        <f aca="false">-Hypotheses!$D$49*Hypotheses!$D$50</f>
        <v>-600000</v>
      </c>
      <c r="BF26" s="27" t="n">
        <f aca="false">-Hypotheses!$D$49*Hypotheses!$D$50</f>
        <v>-600000</v>
      </c>
      <c r="BG26" s="27" t="n">
        <f aca="false">-Hypotheses!$D$49*Hypotheses!$D$50</f>
        <v>-600000</v>
      </c>
      <c r="BH26" s="27" t="n">
        <f aca="false">-Hypotheses!$D$49*Hypotheses!$D$50</f>
        <v>-600000</v>
      </c>
      <c r="BI26" s="27" t="n">
        <f aca="false">-Hypotheses!$D$49*Hypotheses!$D$50</f>
        <v>-600000</v>
      </c>
      <c r="BJ26" s="27" t="n">
        <f aca="false">-Hypotheses!$D$49*Hypotheses!$D$50</f>
        <v>-600000</v>
      </c>
      <c r="BK26" s="27" t="n">
        <f aca="false">-Hypotheses!$D$49*Hypotheses!$D$50</f>
        <v>-600000</v>
      </c>
      <c r="BL26" s="27" t="n">
        <f aca="false">-Hypotheses!$D$49*Hypotheses!$D$50</f>
        <v>-600000</v>
      </c>
    </row>
    <row r="27" customFormat="false" ht="15" hidden="false" customHeight="false" outlineLevel="0" collapsed="false">
      <c r="B27" s="2" t="s">
        <v>282</v>
      </c>
      <c r="C27" s="2" t="s">
        <v>141</v>
      </c>
      <c r="E27" s="27" t="n">
        <f aca="false">-(Hypotheses!$D$51*(1+E24)+Investissements!$E$18*(1+Hypotheses!$D$60)*(Hypotheses!$D$52+Hypotheses!$D$53)/12+Hypotheses!$D$54+Hypotheses!$D$55+Hypotheses!$D$56+Hypotheses!$D$57+Hypotheses!$D$58)</f>
        <v>-1252250</v>
      </c>
      <c r="F27" s="27" t="n">
        <f aca="false">-(Hypotheses!$D$51*(1+F24)+Investissements!$E$18*(1+Hypotheses!$D$60)*(Hypotheses!$D$52+Hypotheses!$D$53)/12+Hypotheses!$D$54+Hypotheses!$D$55+Hypotheses!$D$56+Hypotheses!$D$57+Hypotheses!$D$58)</f>
        <v>-1252250</v>
      </c>
      <c r="G27" s="27" t="n">
        <f aca="false">-(Hypotheses!$D$51*(1+G24)+Investissements!$E$18*(1+Hypotheses!$D$60)*(Hypotheses!$D$52+Hypotheses!$D$53)/12+Hypotheses!$D$54+Hypotheses!$D$55+Hypotheses!$D$56+Hypotheses!$D$57+Hypotheses!$D$58)</f>
        <v>-1252250</v>
      </c>
      <c r="H27" s="27" t="n">
        <f aca="false">-(Hypotheses!$D$51*(1+H24)+Investissements!$E$18*(1+Hypotheses!$D$60)*(Hypotheses!$D$52+Hypotheses!$D$53)/12+Hypotheses!$D$54+Hypotheses!$D$55+Hypotheses!$D$56+Hypotheses!$D$57+Hypotheses!$D$58)</f>
        <v>-1252250</v>
      </c>
      <c r="I27" s="27" t="n">
        <f aca="false">-(Hypotheses!$D$51*(1+I24)+Investissements!$E$18*(1+Hypotheses!$D$60)*(Hypotheses!$D$52+Hypotheses!$D$53)/12+Hypotheses!$D$54+Hypotheses!$D$55+Hypotheses!$D$56+Hypotheses!$D$57+Hypotheses!$D$58)</f>
        <v>-1252250</v>
      </c>
      <c r="J27" s="27" t="n">
        <f aca="false">-(Hypotheses!$D$51*(1+J24)+Investissements!$E$18*(1+Hypotheses!$D$60)*(Hypotheses!$D$52+Hypotheses!$D$53)/12+Hypotheses!$D$54+Hypotheses!$D$55+Hypotheses!$D$56+Hypotheses!$D$57+Hypotheses!$D$58)</f>
        <v>-1252250</v>
      </c>
      <c r="K27" s="27" t="n">
        <f aca="false">-(Hypotheses!$D$51*(1+K24)+Investissements!$E$18*(1+Hypotheses!$D$60)*(Hypotheses!$D$52+Hypotheses!$D$53)/12+Hypotheses!$D$54+Hypotheses!$D$55+Hypotheses!$D$56+Hypotheses!$D$57+Hypotheses!$D$58)</f>
        <v>-1252250</v>
      </c>
      <c r="L27" s="27" t="n">
        <f aca="false">-(Hypotheses!$D$51*(1+L24)+Investissements!$E$18*(1+Hypotheses!$D$60)*(Hypotheses!$D$52+Hypotheses!$D$53)/12+Hypotheses!$D$54+Hypotheses!$D$55+Hypotheses!$D$56+Hypotheses!$D$57+Hypotheses!$D$58)</f>
        <v>-1252250</v>
      </c>
      <c r="M27" s="27" t="n">
        <f aca="false">-(Hypotheses!$D$51*(1+M24)+Investissements!$E$18*(1+Hypotheses!$D$60)*(Hypotheses!$D$52+Hypotheses!$D$53)/12+Hypotheses!$D$54+Hypotheses!$D$55+Hypotheses!$D$56+Hypotheses!$D$57+Hypotheses!$D$58)</f>
        <v>-1252250</v>
      </c>
      <c r="N27" s="27" t="n">
        <f aca="false">-(Hypotheses!$D$51*(1+N24)+Investissements!$E$18*(1+Hypotheses!$D$60)*(Hypotheses!$D$52+Hypotheses!$D$53)/12+Hypotheses!$D$54+Hypotheses!$D$55+Hypotheses!$D$56+Hypotheses!$D$57+Hypotheses!$D$58)</f>
        <v>-1252250</v>
      </c>
      <c r="O27" s="27" t="n">
        <f aca="false">-(Hypotheses!$D$51*(1+O24)+Investissements!$E$18*(1+Hypotheses!$D$60)*(Hypotheses!$D$52+Hypotheses!$D$53)/12+Hypotheses!$D$54+Hypotheses!$D$55+Hypotheses!$D$56+Hypotheses!$D$57+Hypotheses!$D$58)</f>
        <v>-1252250</v>
      </c>
      <c r="P27" s="27" t="n">
        <f aca="false">-(Hypotheses!$D$51*(1+P24)+Investissements!$E$18*(1+Hypotheses!$D$60)*(Hypotheses!$D$52+Hypotheses!$D$53)/12+Hypotheses!$D$54+Hypotheses!$D$55+Hypotheses!$D$56+Hypotheses!$D$57+Hypotheses!$D$58)</f>
        <v>-1252250</v>
      </c>
      <c r="Q27" s="27" t="n">
        <f aca="false">-(Hypotheses!$D$51*(1+Q24)+Investissements!$E$18*(1+Hypotheses!$D$60)*(Hypotheses!$D$52+Hypotheses!$D$53)/12+Hypotheses!$D$54+Hypotheses!$D$55+Hypotheses!$D$56+Hypotheses!$D$57+Hypotheses!$D$58)</f>
        <v>-1252250</v>
      </c>
      <c r="R27" s="27" t="n">
        <f aca="false">-(Hypotheses!$D$51*(1+R24)+Investissements!$E$18*(1+Hypotheses!$D$60)*(Hypotheses!$D$52+Hypotheses!$D$53)/12+Hypotheses!$D$54+Hypotheses!$D$55+Hypotheses!$D$56+Hypotheses!$D$57+Hypotheses!$D$58)</f>
        <v>-1252250</v>
      </c>
      <c r="S27" s="27" t="n">
        <f aca="false">-(Hypotheses!$D$51*(1+S24)+Investissements!$E$18*(1+Hypotheses!$D$60)*(Hypotheses!$D$52+Hypotheses!$D$53)/12+Hypotheses!$D$54+Hypotheses!$D$55+Hypotheses!$D$56+Hypotheses!$D$57+Hypotheses!$D$58)</f>
        <v>-1252250</v>
      </c>
      <c r="T27" s="27" t="n">
        <f aca="false">-(Hypotheses!$D$51*(1+T24)+Investissements!$E$18*(1+Hypotheses!$D$60)*(Hypotheses!$D$52+Hypotheses!$D$53)/12+Hypotheses!$D$54+Hypotheses!$D$55+Hypotheses!$D$56+Hypotheses!$D$57+Hypotheses!$D$58)</f>
        <v>-1252250</v>
      </c>
      <c r="U27" s="27" t="n">
        <f aca="false">-(Hypotheses!$D$51*(1+U24)+Investissements!$E$18*(1+Hypotheses!$D$60)*(Hypotheses!$D$52+Hypotheses!$D$53)/12+Hypotheses!$D$54+Hypotheses!$D$55+Hypotheses!$D$56+Hypotheses!$D$57+Hypotheses!$D$58)</f>
        <v>-1252250</v>
      </c>
      <c r="V27" s="27" t="n">
        <f aca="false">-(Hypotheses!$D$51*(1+V24)+Investissements!$E$18*(1+Hypotheses!$D$60)*(Hypotheses!$D$52+Hypotheses!$D$53)/12+Hypotheses!$D$54+Hypotheses!$D$55+Hypotheses!$D$56+Hypotheses!$D$57+Hypotheses!$D$58)</f>
        <v>-1252250</v>
      </c>
      <c r="W27" s="27" t="n">
        <f aca="false">-(Hypotheses!$D$51*(1+W24)+Investissements!$E$18*(1+Hypotheses!$D$60)*(Hypotheses!$D$52+Hypotheses!$D$53)/12+Hypotheses!$D$54+Hypotheses!$D$55+Hypotheses!$D$56+Hypotheses!$D$57+Hypotheses!$D$58)</f>
        <v>-1252250</v>
      </c>
      <c r="X27" s="27" t="n">
        <f aca="false">-(Hypotheses!$D$51*(1+X24)+Investissements!$E$18*(1+Hypotheses!$D$60)*(Hypotheses!$D$52+Hypotheses!$D$53)/12+Hypotheses!$D$54+Hypotheses!$D$55+Hypotheses!$D$56+Hypotheses!$D$57+Hypotheses!$D$58)</f>
        <v>-1252250</v>
      </c>
      <c r="Y27" s="27" t="n">
        <f aca="false">-(Hypotheses!$D$51*(1+Y24)+Investissements!$E$18*(1+Hypotheses!$D$60)*(Hypotheses!$D$52+Hypotheses!$D$53)/12+Hypotheses!$D$54+Hypotheses!$D$55+Hypotheses!$D$56+Hypotheses!$D$57+Hypotheses!$D$58)</f>
        <v>-1252250</v>
      </c>
      <c r="Z27" s="27" t="n">
        <f aca="false">-(Hypotheses!$D$51*(1+Z24)+Investissements!$E$18*(1+Hypotheses!$D$60)*(Hypotheses!$D$52+Hypotheses!$D$53)/12+Hypotheses!$D$54+Hypotheses!$D$55+Hypotheses!$D$56+Hypotheses!$D$57+Hypotheses!$D$58)</f>
        <v>-1252250</v>
      </c>
      <c r="AA27" s="27" t="n">
        <f aca="false">-(Hypotheses!$D$51*(1+AA24)+Investissements!$E$18*(1+Hypotheses!$D$60)*(Hypotheses!$D$52+Hypotheses!$D$53)/12+Hypotheses!$D$54+Hypotheses!$D$55+Hypotheses!$D$56+Hypotheses!$D$57+Hypotheses!$D$58)</f>
        <v>-1252250</v>
      </c>
      <c r="AB27" s="27" t="n">
        <f aca="false">-(Hypotheses!$D$51*(1+AB24)+Investissements!$E$18*(1+Hypotheses!$D$60)*(Hypotheses!$D$52+Hypotheses!$D$53)/12+Hypotheses!$D$54+Hypotheses!$D$55+Hypotheses!$D$56+Hypotheses!$D$57+Hypotheses!$D$58)</f>
        <v>-1252250</v>
      </c>
      <c r="AC27" s="27" t="n">
        <f aca="false">-(Hypotheses!$D$51*(1+AC24)+Investissements!$E$18*(1+Hypotheses!$D$60)*(Hypotheses!$D$52+Hypotheses!$D$53)/12+Hypotheses!$D$54+Hypotheses!$D$55+Hypotheses!$D$56+Hypotheses!$D$57+Hypotheses!$D$58)</f>
        <v>-1252250</v>
      </c>
      <c r="AD27" s="27" t="n">
        <f aca="false">-(Hypotheses!$D$51*(1+AD24)+Investissements!$E$18*(1+Hypotheses!$D$60)*(Hypotheses!$D$52+Hypotheses!$D$53)/12+Hypotheses!$D$54+Hypotheses!$D$55+Hypotheses!$D$56+Hypotheses!$D$57+Hypotheses!$D$58)</f>
        <v>-1252250</v>
      </c>
      <c r="AE27" s="27" t="n">
        <f aca="false">-(Hypotheses!$D$51*(1+AE24)+Investissements!$E$18*(1+Hypotheses!$D$60)*(Hypotheses!$D$52+Hypotheses!$D$53)/12+Hypotheses!$D$54+Hypotheses!$D$55+Hypotheses!$D$56+Hypotheses!$D$57+Hypotheses!$D$58)</f>
        <v>-1252250</v>
      </c>
      <c r="AF27" s="27" t="n">
        <f aca="false">-(Hypotheses!$D$51*(1+AF24)+Investissements!$E$18*(1+Hypotheses!$D$60)*(Hypotheses!$D$52+Hypotheses!$D$53)/12+Hypotheses!$D$54+Hypotheses!$D$55+Hypotheses!$D$56+Hypotheses!$D$57+Hypotheses!$D$58)</f>
        <v>-1252250</v>
      </c>
      <c r="AG27" s="27" t="n">
        <f aca="false">-(Hypotheses!$D$51*(1+AG24)+Investissements!$E$18*(1+Hypotheses!$D$60)*(Hypotheses!$D$52+Hypotheses!$D$53)/12+Hypotheses!$D$54+Hypotheses!$D$55+Hypotheses!$D$56+Hypotheses!$D$57+Hypotheses!$D$58)</f>
        <v>-1252250</v>
      </c>
      <c r="AH27" s="27" t="n">
        <f aca="false">-(Hypotheses!$D$51*(1+AH24)+Investissements!$E$18*(1+Hypotheses!$D$60)*(Hypotheses!$D$52+Hypotheses!$D$53)/12+Hypotheses!$D$54+Hypotheses!$D$55+Hypotheses!$D$56+Hypotheses!$D$57+Hypotheses!$D$58)</f>
        <v>-1252250</v>
      </c>
      <c r="AI27" s="27" t="n">
        <f aca="false">-(Hypotheses!$D$51*(1+AI24)+Investissements!$E$18*(1+Hypotheses!$D$60)*(Hypotheses!$D$52+Hypotheses!$D$53)/12+Hypotheses!$D$54+Hypotheses!$D$55+Hypotheses!$D$56+Hypotheses!$D$57+Hypotheses!$D$58)</f>
        <v>-1252250</v>
      </c>
      <c r="AJ27" s="27" t="n">
        <f aca="false">-(Hypotheses!$D$51*(1+AJ24)+Investissements!$E$18*(1+Hypotheses!$D$60)*(Hypotheses!$D$52+Hypotheses!$D$53)/12+Hypotheses!$D$54+Hypotheses!$D$55+Hypotheses!$D$56+Hypotheses!$D$57+Hypotheses!$D$58)</f>
        <v>-1252250</v>
      </c>
      <c r="AK27" s="27" t="n">
        <f aca="false">-(Hypotheses!$D$51*(1+AK24)+Investissements!$E$18*(1+Hypotheses!$D$60)*(Hypotheses!$D$52+Hypotheses!$D$53)/12+Hypotheses!$D$54+Hypotheses!$D$55+Hypotheses!$D$56+Hypotheses!$D$57+Hypotheses!$D$58)</f>
        <v>-1252250</v>
      </c>
      <c r="AL27" s="27" t="n">
        <f aca="false">-(Hypotheses!$D$51*(1+AL24)+Investissements!$E$18*(1+Hypotheses!$D$60)*(Hypotheses!$D$52+Hypotheses!$D$53)/12+Hypotheses!$D$54+Hypotheses!$D$55+Hypotheses!$D$56+Hypotheses!$D$57+Hypotheses!$D$58)</f>
        <v>-1252250</v>
      </c>
      <c r="AM27" s="27" t="n">
        <f aca="false">-(Hypotheses!$D$51*(1+AM24)+Investissements!$E$18*(1+Hypotheses!$D$60)*(Hypotheses!$D$52+Hypotheses!$D$53)/12+Hypotheses!$D$54+Hypotheses!$D$55+Hypotheses!$D$56+Hypotheses!$D$57+Hypotheses!$D$58)</f>
        <v>-1252250</v>
      </c>
      <c r="AN27" s="27" t="n">
        <f aca="false">-(Hypotheses!$D$51*(1+AN24)+Investissements!$E$18*(1+Hypotheses!$D$60)*(Hypotheses!$D$52+Hypotheses!$D$53)/12+Hypotheses!$D$54+Hypotheses!$D$55+Hypotheses!$D$56+Hypotheses!$D$57+Hypotheses!$D$58)</f>
        <v>-1252250</v>
      </c>
      <c r="AO27" s="27" t="n">
        <f aca="false">-(Hypotheses!$D$51*(1+AO24)+Investissements!$E$18*(1+Hypotheses!$D$60)*(Hypotheses!$D$52+Hypotheses!$D$53)/12+Hypotheses!$D$54+Hypotheses!$D$55+Hypotheses!$D$56+Hypotheses!$D$57+Hypotheses!$D$58)</f>
        <v>-1252250</v>
      </c>
      <c r="AP27" s="27" t="n">
        <f aca="false">-(Hypotheses!$D$51*(1+AP24)+Investissements!$E$18*(1+Hypotheses!$D$60)*(Hypotheses!$D$52+Hypotheses!$D$53)/12+Hypotheses!$D$54+Hypotheses!$D$55+Hypotheses!$D$56+Hypotheses!$D$57+Hypotheses!$D$58)</f>
        <v>-1252250</v>
      </c>
      <c r="AQ27" s="27" t="n">
        <f aca="false">-(Hypotheses!$D$51*(1+AQ24)+Investissements!$E$18*(1+Hypotheses!$D$60)*(Hypotheses!$D$52+Hypotheses!$D$53)/12+Hypotheses!$D$54+Hypotheses!$D$55+Hypotheses!$D$56+Hypotheses!$D$57+Hypotheses!$D$58)</f>
        <v>-1252250</v>
      </c>
      <c r="AR27" s="27" t="n">
        <f aca="false">-(Hypotheses!$D$51*(1+AR24)+Investissements!$E$18*(1+Hypotheses!$D$60)*(Hypotheses!$D$52+Hypotheses!$D$53)/12+Hypotheses!$D$54+Hypotheses!$D$55+Hypotheses!$D$56+Hypotheses!$D$57+Hypotheses!$D$58)</f>
        <v>-1252250</v>
      </c>
      <c r="AS27" s="27" t="n">
        <f aca="false">-(Hypotheses!$D$51*(1+AS24)+Investissements!$E$18*(1+Hypotheses!$D$60)*(Hypotheses!$D$52+Hypotheses!$D$53)/12+Hypotheses!$D$54+Hypotheses!$D$55+Hypotheses!$D$56+Hypotheses!$D$57+Hypotheses!$D$58)</f>
        <v>-1252250</v>
      </c>
      <c r="AT27" s="27" t="n">
        <f aca="false">-(Hypotheses!$D$51*(1+AT24)+Investissements!$E$18*(1+Hypotheses!$D$60)*(Hypotheses!$D$52+Hypotheses!$D$53)/12+Hypotheses!$D$54+Hypotheses!$D$55+Hypotheses!$D$56+Hypotheses!$D$57+Hypotheses!$D$58)</f>
        <v>-1252250</v>
      </c>
      <c r="AU27" s="27" t="n">
        <f aca="false">-(Hypotheses!$D$51*(1+AU24)+Investissements!$E$18*(1+Hypotheses!$D$60)*(Hypotheses!$D$52+Hypotheses!$D$53)/12+Hypotheses!$D$54+Hypotheses!$D$55+Hypotheses!$D$56+Hypotheses!$D$57+Hypotheses!$D$58)</f>
        <v>-1252250</v>
      </c>
      <c r="AV27" s="27" t="n">
        <f aca="false">-(Hypotheses!$D$51*(1+AV24)+Investissements!$E$18*(1+Hypotheses!$D$60)*(Hypotheses!$D$52+Hypotheses!$D$53)/12+Hypotheses!$D$54+Hypotheses!$D$55+Hypotheses!$D$56+Hypotheses!$D$57+Hypotheses!$D$58)</f>
        <v>-1252250</v>
      </c>
      <c r="AW27" s="27" t="n">
        <f aca="false">-(Hypotheses!$D$51*(1+AW24)+Investissements!$E$18*(1+Hypotheses!$D$60)*(Hypotheses!$D$52+Hypotheses!$D$53)/12+Hypotheses!$D$54+Hypotheses!$D$55+Hypotheses!$D$56+Hypotheses!$D$57+Hypotheses!$D$58)</f>
        <v>-1252250</v>
      </c>
      <c r="AX27" s="27" t="n">
        <f aca="false">-(Hypotheses!$D$51*(1+AX24)+Investissements!$E$18*(1+Hypotheses!$D$60)*(Hypotheses!$D$52+Hypotheses!$D$53)/12+Hypotheses!$D$54+Hypotheses!$D$55+Hypotheses!$D$56+Hypotheses!$D$57+Hypotheses!$D$58)</f>
        <v>-1252250</v>
      </c>
      <c r="AY27" s="27" t="n">
        <f aca="false">-(Hypotheses!$D$51*(1+AY24)+Investissements!$E$18*(1+Hypotheses!$D$60)*(Hypotheses!$D$52+Hypotheses!$D$53)/12+Hypotheses!$D$54+Hypotheses!$D$55+Hypotheses!$D$56+Hypotheses!$D$57+Hypotheses!$D$58)</f>
        <v>-1252250</v>
      </c>
      <c r="AZ27" s="27" t="n">
        <f aca="false">-(Hypotheses!$D$51*(1+AZ24)+Investissements!$E$18*(1+Hypotheses!$D$60)*(Hypotheses!$D$52+Hypotheses!$D$53)/12+Hypotheses!$D$54+Hypotheses!$D$55+Hypotheses!$D$56+Hypotheses!$D$57+Hypotheses!$D$58)</f>
        <v>-1252250</v>
      </c>
      <c r="BA27" s="27" t="n">
        <f aca="false">-(Hypotheses!$D$51*(1+BA24)+Investissements!$E$18*(1+Hypotheses!$D$60)*(Hypotheses!$D$52+Hypotheses!$D$53)/12+Hypotheses!$D$54+Hypotheses!$D$55+Hypotheses!$D$56+Hypotheses!$D$57+Hypotheses!$D$58)</f>
        <v>-1252250</v>
      </c>
      <c r="BB27" s="27" t="n">
        <f aca="false">-(Hypotheses!$D$51*(1+BB24)+Investissements!$E$18*(1+Hypotheses!$D$60)*(Hypotheses!$D$52+Hypotheses!$D$53)/12+Hypotheses!$D$54+Hypotheses!$D$55+Hypotheses!$D$56+Hypotheses!$D$57+Hypotheses!$D$58)</f>
        <v>-1252250</v>
      </c>
      <c r="BC27" s="27" t="n">
        <f aca="false">-(Hypotheses!$D$51*(1+BC24)+Investissements!$E$18*(1+Hypotheses!$D$60)*(Hypotheses!$D$52+Hypotheses!$D$53)/12+Hypotheses!$D$54+Hypotheses!$D$55+Hypotheses!$D$56+Hypotheses!$D$57+Hypotheses!$D$58)</f>
        <v>-1252250</v>
      </c>
      <c r="BD27" s="27" t="n">
        <f aca="false">-(Hypotheses!$D$51*(1+BD24)+Investissements!$E$18*(1+Hypotheses!$D$60)*(Hypotheses!$D$52+Hypotheses!$D$53)/12+Hypotheses!$D$54+Hypotheses!$D$55+Hypotheses!$D$56+Hypotheses!$D$57+Hypotheses!$D$58)</f>
        <v>-1252250</v>
      </c>
      <c r="BE27" s="27" t="n">
        <f aca="false">-(Hypotheses!$D$51*(1+BE24)+Investissements!$E$18*(1+Hypotheses!$D$60)*(Hypotheses!$D$52+Hypotheses!$D$53)/12+Hypotheses!$D$54+Hypotheses!$D$55+Hypotheses!$D$56+Hypotheses!$D$57+Hypotheses!$D$58)</f>
        <v>-1252250</v>
      </c>
      <c r="BF27" s="27" t="n">
        <f aca="false">-(Hypotheses!$D$51*(1+BF24)+Investissements!$E$18*(1+Hypotheses!$D$60)*(Hypotheses!$D$52+Hypotheses!$D$53)/12+Hypotheses!$D$54+Hypotheses!$D$55+Hypotheses!$D$56+Hypotheses!$D$57+Hypotheses!$D$58)</f>
        <v>-1252250</v>
      </c>
      <c r="BG27" s="27" t="n">
        <f aca="false">-(Hypotheses!$D$51*(1+BG24)+Investissements!$E$18*(1+Hypotheses!$D$60)*(Hypotheses!$D$52+Hypotheses!$D$53)/12+Hypotheses!$D$54+Hypotheses!$D$55+Hypotheses!$D$56+Hypotheses!$D$57+Hypotheses!$D$58)</f>
        <v>-1252250</v>
      </c>
      <c r="BH27" s="27" t="n">
        <f aca="false">-(Hypotheses!$D$51*(1+BH24)+Investissements!$E$18*(1+Hypotheses!$D$60)*(Hypotheses!$D$52+Hypotheses!$D$53)/12+Hypotheses!$D$54+Hypotheses!$D$55+Hypotheses!$D$56+Hypotheses!$D$57+Hypotheses!$D$58)</f>
        <v>-1252250</v>
      </c>
      <c r="BI27" s="27" t="n">
        <f aca="false">-(Hypotheses!$D$51*(1+BI24)+Investissements!$E$18*(1+Hypotheses!$D$60)*(Hypotheses!$D$52+Hypotheses!$D$53)/12+Hypotheses!$D$54+Hypotheses!$D$55+Hypotheses!$D$56+Hypotheses!$D$57+Hypotheses!$D$58)</f>
        <v>-1252250</v>
      </c>
      <c r="BJ27" s="27" t="n">
        <f aca="false">-(Hypotheses!$D$51*(1+BJ24)+Investissements!$E$18*(1+Hypotheses!$D$60)*(Hypotheses!$D$52+Hypotheses!$D$53)/12+Hypotheses!$D$54+Hypotheses!$D$55+Hypotheses!$D$56+Hypotheses!$D$57+Hypotheses!$D$58)</f>
        <v>-1252250</v>
      </c>
      <c r="BK27" s="27" t="n">
        <f aca="false">-(Hypotheses!$D$51*(1+BK24)+Investissements!$E$18*(1+Hypotheses!$D$60)*(Hypotheses!$D$52+Hypotheses!$D$53)/12+Hypotheses!$D$54+Hypotheses!$D$55+Hypotheses!$D$56+Hypotheses!$D$57+Hypotheses!$D$58)</f>
        <v>-1252250</v>
      </c>
      <c r="BL27" s="27" t="n">
        <f aca="false">-(Hypotheses!$D$51*(1+BL24)+Investissements!$E$18*(1+Hypotheses!$D$60)*(Hypotheses!$D$52+Hypotheses!$D$53)/12+Hypotheses!$D$54+Hypotheses!$D$55+Hypotheses!$D$56+Hypotheses!$D$57+Hypotheses!$D$58)</f>
        <v>-1252250</v>
      </c>
    </row>
    <row r="28" customFormat="false" ht="15" hidden="false" customHeight="false" outlineLevel="0" collapsed="false">
      <c r="B28" s="2" t="s">
        <v>283</v>
      </c>
      <c r="C28" s="2" t="s">
        <v>141</v>
      </c>
      <c r="D28" s="27" t="n">
        <f aca="false">-Hypotheses!$D$61</f>
        <v>-4000000</v>
      </c>
      <c r="E28" s="27" t="n">
        <f aca="false">0</f>
        <v>0</v>
      </c>
      <c r="F28" s="27" t="n">
        <f aca="false">0</f>
        <v>0</v>
      </c>
      <c r="G28" s="27" t="n">
        <f aca="false">0</f>
        <v>0</v>
      </c>
      <c r="H28" s="27" t="n">
        <f aca="false">0</f>
        <v>0</v>
      </c>
      <c r="I28" s="27" t="n">
        <f aca="false">0</f>
        <v>0</v>
      </c>
      <c r="J28" s="27" t="n">
        <f aca="false">0</f>
        <v>0</v>
      </c>
      <c r="K28" s="27" t="n">
        <f aca="false">0</f>
        <v>0</v>
      </c>
      <c r="L28" s="27" t="n">
        <f aca="false">0</f>
        <v>0</v>
      </c>
      <c r="M28" s="27" t="n">
        <f aca="false">0</f>
        <v>0</v>
      </c>
      <c r="N28" s="27" t="n">
        <f aca="false">0</f>
        <v>0</v>
      </c>
      <c r="O28" s="27" t="n">
        <f aca="false">0</f>
        <v>0</v>
      </c>
      <c r="P28" s="27" t="n">
        <f aca="false">0</f>
        <v>0</v>
      </c>
      <c r="Q28" s="27" t="n">
        <f aca="false">0</f>
        <v>0</v>
      </c>
      <c r="R28" s="27" t="n">
        <f aca="false">0</f>
        <v>0</v>
      </c>
      <c r="S28" s="27" t="n">
        <f aca="false">0</f>
        <v>0</v>
      </c>
      <c r="T28" s="27" t="n">
        <f aca="false">0</f>
        <v>0</v>
      </c>
      <c r="U28" s="27" t="n">
        <f aca="false">0</f>
        <v>0</v>
      </c>
      <c r="V28" s="27" t="n">
        <f aca="false">0</f>
        <v>0</v>
      </c>
      <c r="W28" s="27" t="n">
        <f aca="false">0</f>
        <v>0</v>
      </c>
      <c r="X28" s="27" t="n">
        <f aca="false">0</f>
        <v>0</v>
      </c>
      <c r="Y28" s="27" t="n">
        <f aca="false">0</f>
        <v>0</v>
      </c>
      <c r="Z28" s="27" t="n">
        <f aca="false">0</f>
        <v>0</v>
      </c>
      <c r="AA28" s="27" t="n">
        <f aca="false">0</f>
        <v>0</v>
      </c>
      <c r="AB28" s="27" t="n">
        <f aca="false">0</f>
        <v>0</v>
      </c>
      <c r="AC28" s="27" t="n">
        <f aca="false">0</f>
        <v>0</v>
      </c>
      <c r="AD28" s="27" t="n">
        <f aca="false">0</f>
        <v>0</v>
      </c>
      <c r="AE28" s="27" t="n">
        <f aca="false">0</f>
        <v>0</v>
      </c>
      <c r="AF28" s="27" t="n">
        <f aca="false">0</f>
        <v>0</v>
      </c>
      <c r="AG28" s="27" t="n">
        <f aca="false">0</f>
        <v>0</v>
      </c>
      <c r="AH28" s="27" t="n">
        <f aca="false">0</f>
        <v>0</v>
      </c>
      <c r="AI28" s="27" t="n">
        <f aca="false">0</f>
        <v>0</v>
      </c>
      <c r="AJ28" s="27" t="n">
        <f aca="false">0</f>
        <v>0</v>
      </c>
      <c r="AK28" s="27" t="n">
        <f aca="false">0</f>
        <v>0</v>
      </c>
      <c r="AL28" s="27" t="n">
        <f aca="false">0</f>
        <v>0</v>
      </c>
      <c r="AM28" s="27" t="n">
        <f aca="false">0</f>
        <v>0</v>
      </c>
      <c r="AN28" s="27" t="n">
        <f aca="false">0</f>
        <v>0</v>
      </c>
      <c r="AO28" s="27" t="n">
        <f aca="false">0</f>
        <v>0</v>
      </c>
      <c r="AP28" s="27" t="n">
        <f aca="false">0</f>
        <v>0</v>
      </c>
      <c r="AQ28" s="27" t="n">
        <f aca="false">0</f>
        <v>0</v>
      </c>
      <c r="AR28" s="27" t="n">
        <f aca="false">0</f>
        <v>0</v>
      </c>
      <c r="AS28" s="27" t="n">
        <f aca="false">0</f>
        <v>0</v>
      </c>
      <c r="AT28" s="27" t="n">
        <f aca="false">0</f>
        <v>0</v>
      </c>
      <c r="AU28" s="27" t="n">
        <f aca="false">0</f>
        <v>0</v>
      </c>
      <c r="AV28" s="27" t="n">
        <f aca="false">0</f>
        <v>0</v>
      </c>
      <c r="AW28" s="27" t="n">
        <f aca="false">0</f>
        <v>0</v>
      </c>
      <c r="AX28" s="27" t="n">
        <f aca="false">0</f>
        <v>0</v>
      </c>
      <c r="AY28" s="27" t="n">
        <f aca="false">0</f>
        <v>0</v>
      </c>
      <c r="AZ28" s="27" t="n">
        <f aca="false">0</f>
        <v>0</v>
      </c>
      <c r="BA28" s="27" t="n">
        <f aca="false">0</f>
        <v>0</v>
      </c>
      <c r="BB28" s="27" t="n">
        <f aca="false">0</f>
        <v>0</v>
      </c>
      <c r="BC28" s="27" t="n">
        <f aca="false">0</f>
        <v>0</v>
      </c>
      <c r="BD28" s="27" t="n">
        <f aca="false">0</f>
        <v>0</v>
      </c>
      <c r="BE28" s="27" t="n">
        <f aca="false">0</f>
        <v>0</v>
      </c>
      <c r="BF28" s="27" t="n">
        <f aca="false">0</f>
        <v>0</v>
      </c>
      <c r="BG28" s="27" t="n">
        <f aca="false">0</f>
        <v>0</v>
      </c>
      <c r="BH28" s="27" t="n">
        <f aca="false">0</f>
        <v>0</v>
      </c>
      <c r="BI28" s="27" t="n">
        <f aca="false">0</f>
        <v>0</v>
      </c>
      <c r="BJ28" s="27" t="n">
        <f aca="false">0</f>
        <v>0</v>
      </c>
      <c r="BK28" s="27" t="n">
        <f aca="false">0</f>
        <v>0</v>
      </c>
      <c r="BL28" s="27" t="n">
        <f aca="false">0</f>
        <v>0</v>
      </c>
    </row>
    <row r="29" customFormat="false" ht="15" hidden="false" customHeight="false" outlineLevel="0" collapsed="false">
      <c r="B29" s="3" t="s">
        <v>37</v>
      </c>
      <c r="C29" s="2" t="s">
        <v>141</v>
      </c>
      <c r="D29" s="28" t="n">
        <f aca="false">D28</f>
        <v>-4000000</v>
      </c>
      <c r="E29" s="28" t="n">
        <f aca="false">E22+E25+E26+E27+E28</f>
        <v>-2308504.06666667</v>
      </c>
      <c r="F29" s="28" t="n">
        <f aca="false">F22+F25+F26+F27+F28</f>
        <v>-2250160.06197965</v>
      </c>
      <c r="G29" s="28" t="n">
        <f aca="false">G22+G25+G26+G27+G28</f>
        <v>-2191197.18587727</v>
      </c>
      <c r="H29" s="28" t="n">
        <f aca="false">H22+H25+H26+H27+H28</f>
        <v>-2131615.43835954</v>
      </c>
      <c r="I29" s="28" t="n">
        <f aca="false">I22+I25+I26+I27+I28</f>
        <v>-2071414.81942646</v>
      </c>
      <c r="J29" s="28" t="n">
        <f aca="false">J22+J25+J26+J27+J28</f>
        <v>-2010595.32907801</v>
      </c>
      <c r="K29" s="28" t="n">
        <f aca="false">K22+K25+K26+K27+K28</f>
        <v>-1949156.96731422</v>
      </c>
      <c r="L29" s="28" t="n">
        <f aca="false">L22+L25+L26+L27+L28</f>
        <v>-1887099.73413506</v>
      </c>
      <c r="M29" s="28" t="n">
        <f aca="false">M22+M25+M26+M27+M28</f>
        <v>-1824423.62954055</v>
      </c>
      <c r="N29" s="28" t="n">
        <f aca="false">N22+N25+N26+N27+N28</f>
        <v>-1761128.65353068</v>
      </c>
      <c r="O29" s="28" t="n">
        <f aca="false">O22+O25+O26+O27+O28</f>
        <v>-1697214.80610546</v>
      </c>
      <c r="P29" s="28" t="n">
        <f aca="false">P22+P25+P26+P27+P28</f>
        <v>-1632682.08726488</v>
      </c>
      <c r="Q29" s="28" t="n">
        <f aca="false">Q22+Q25+Q26+Q27+Q28</f>
        <v>-1567530.49700894</v>
      </c>
      <c r="R29" s="28" t="n">
        <f aca="false">R22+R25+R26+R27+R28</f>
        <v>-1501760.03533765</v>
      </c>
      <c r="S29" s="28" t="n">
        <f aca="false">S22+S25+S26+S27+S28</f>
        <v>-1435370.702251</v>
      </c>
      <c r="T29" s="28" t="n">
        <f aca="false">T22+T25+T26+T27+T28</f>
        <v>-1368362.497749</v>
      </c>
      <c r="U29" s="28" t="n">
        <f aca="false">U22+U25+U26+U27+U28</f>
        <v>-1300735.42183164</v>
      </c>
      <c r="V29" s="28" t="n">
        <f aca="false">V22+V25+V26+V27+V28</f>
        <v>-1232489.47449892</v>
      </c>
      <c r="W29" s="28" t="n">
        <f aca="false">W22+W25+W26+W27+W28</f>
        <v>-1461541.32241751</v>
      </c>
      <c r="X29" s="28" t="n">
        <f aca="false">X22+X25+X26+X27+X28</f>
        <v>-1392057.63225409</v>
      </c>
      <c r="Y29" s="28" t="n">
        <f aca="false">Y22+Y25+Y26+Y27+Y28</f>
        <v>-1321955.0706753</v>
      </c>
      <c r="Z29" s="28" t="n">
        <f aca="false">Z22+Z25+Z26+Z27+Z28</f>
        <v>-1251233.63768116</v>
      </c>
      <c r="AA29" s="28" t="n">
        <f aca="false">AA22+AA25+AA26+AA27+AA28</f>
        <v>-1179893.33327166</v>
      </c>
      <c r="AB29" s="28" t="n">
        <f aca="false">AB22+AB25+AB26+AB27+AB28</f>
        <v>-1107934.15744681</v>
      </c>
      <c r="AC29" s="28" t="n">
        <f aca="false">AC22+AC25+AC26+AC27+AC28</f>
        <v>-1099235.57588652</v>
      </c>
      <c r="AD29" s="28" t="n">
        <f aca="false">AD22+AD25+AD26+AD27+AD28</f>
        <v>-1090536.99432624</v>
      </c>
      <c r="AE29" s="28" t="n">
        <f aca="false">AE22+AE25+AE26+AE27+AE28</f>
        <v>-1081838.41276596</v>
      </c>
      <c r="AF29" s="28" t="n">
        <f aca="false">AF22+AF25+AF26+AF27+AF28</f>
        <v>-1073139.83120567</v>
      </c>
      <c r="AG29" s="28" t="n">
        <f aca="false">AG22+AG25+AG26+AG27+AG28</f>
        <v>-1064441.24964539</v>
      </c>
      <c r="AH29" s="28" t="n">
        <f aca="false">AH22+AH25+AH26+AH27+AH28</f>
        <v>-1055742.66808511</v>
      </c>
      <c r="AI29" s="28" t="n">
        <f aca="false">AI22+AI25+AI26+AI27+AI28</f>
        <v>-1047044.08652482</v>
      </c>
      <c r="AJ29" s="28" t="n">
        <f aca="false">AJ22+AJ25+AJ26+AJ27+AJ28</f>
        <v>-1038345.50496454</v>
      </c>
      <c r="AK29" s="28" t="n">
        <f aca="false">AK22+AK25+AK26+AK27+AK28</f>
        <v>-1029646.92340425</v>
      </c>
      <c r="AL29" s="28" t="n">
        <f aca="false">AL22+AL25+AL26+AL27+AL28</f>
        <v>-1020948.34184397</v>
      </c>
      <c r="AM29" s="28" t="n">
        <f aca="false">AM22+AM25+AM26+AM27+AM28</f>
        <v>-1012249.76028369</v>
      </c>
      <c r="AN29" s="28" t="n">
        <f aca="false">AN22+AN25+AN26+AN27+AN28</f>
        <v>-1003551.1787234</v>
      </c>
      <c r="AO29" s="28" t="n">
        <f aca="false">AO22+AO25+AO26+AO27+AO28</f>
        <v>-994852.59716312</v>
      </c>
      <c r="AP29" s="28" t="n">
        <f aca="false">AP22+AP25+AP26+AP27+AP28</f>
        <v>-986154.015602837</v>
      </c>
      <c r="AQ29" s="28" t="n">
        <f aca="false">AQ22+AQ25+AQ26+AQ27+AQ28</f>
        <v>-977455.434042553</v>
      </c>
      <c r="AR29" s="28" t="n">
        <f aca="false">AR22+AR25+AR26+AR27+AR28</f>
        <v>-968756.852482269</v>
      </c>
      <c r="AS29" s="28" t="n">
        <f aca="false">AS22+AS25+AS26+AS27+AS28</f>
        <v>-960058.270921986</v>
      </c>
      <c r="AT29" s="28" t="n">
        <f aca="false">AT22+AT25+AT26+AT27+AT28</f>
        <v>-951359.689361702</v>
      </c>
      <c r="AU29" s="28" t="n">
        <f aca="false">AU22+AU25+AU26+AU27+AU28</f>
        <v>-942661.107801419</v>
      </c>
      <c r="AV29" s="28" t="n">
        <f aca="false">AV22+AV25+AV26+AV27+AV28</f>
        <v>-933962.526241135</v>
      </c>
      <c r="AW29" s="28" t="n">
        <f aca="false">AW22+AW25+AW26+AW27+AW28</f>
        <v>-925263.944680851</v>
      </c>
      <c r="AX29" s="28" t="n">
        <f aca="false">AX22+AX25+AX26+AX27+AX28</f>
        <v>-916565.363120568</v>
      </c>
      <c r="AY29" s="28" t="n">
        <f aca="false">AY22+AY25+AY26+AY27+AY28</f>
        <v>-907866.781560283</v>
      </c>
      <c r="AZ29" s="28" t="n">
        <f aca="false">AZ22+AZ25+AZ26+AZ27+AZ28</f>
        <v>-899168.2</v>
      </c>
      <c r="BA29" s="28" t="n">
        <f aca="false">BA22+BA25+BA26+BA27+BA28</f>
        <v>-899168.2</v>
      </c>
      <c r="BB29" s="28" t="n">
        <f aca="false">BB22+BB25+BB26+BB27+BB28</f>
        <v>-899168.2</v>
      </c>
      <c r="BC29" s="28" t="n">
        <f aca="false">BC22+BC25+BC26+BC27+BC28</f>
        <v>-899168.2</v>
      </c>
      <c r="BD29" s="28" t="n">
        <f aca="false">BD22+BD25+BD26+BD27+BD28</f>
        <v>-899168.2</v>
      </c>
      <c r="BE29" s="28" t="n">
        <f aca="false">BE22+BE25+BE26+BE27+BE28</f>
        <v>-899168.2</v>
      </c>
      <c r="BF29" s="28" t="n">
        <f aca="false">BF22+BF25+BF26+BF27+BF28</f>
        <v>-899168.2</v>
      </c>
      <c r="BG29" s="28" t="n">
        <f aca="false">BG22+BG25+BG26+BG27+BG28</f>
        <v>-899168.2</v>
      </c>
      <c r="BH29" s="28" t="n">
        <f aca="false">BH22+BH25+BH26+BH27+BH28</f>
        <v>-899168.2</v>
      </c>
      <c r="BI29" s="28" t="n">
        <f aca="false">BI22+BI25+BI26+BI27+BI28</f>
        <v>-899168.2</v>
      </c>
      <c r="BJ29" s="28" t="n">
        <f aca="false">BJ22+BJ25+BJ26+BJ27+BJ28</f>
        <v>-899168.2</v>
      </c>
      <c r="BK29" s="28" t="n">
        <f aca="false">BK22+BK25+BK26+BK27+BK28</f>
        <v>-899168.2</v>
      </c>
      <c r="BL29" s="28" t="n">
        <f aca="false">BL22+BL25+BL26+BL27+BL28</f>
        <v>-899168.2</v>
      </c>
    </row>
    <row r="30" customFormat="false" ht="15" hidden="false" customHeight="false" outlineLevel="0" collapsed="false">
      <c r="B30" s="2" t="s">
        <v>284</v>
      </c>
      <c r="C30" s="2" t="s">
        <v>141</v>
      </c>
      <c r="E30" s="27" t="n">
        <f aca="false">-SUMPRODUCT((Investissements!$F$5:$F$17*12&gt;=E3)*Investissements!$G$5:$G$17)*(1+Hypotheses!$D$60)-E24*Hypotheses!$D$45/60</f>
        <v>-713035.714285714</v>
      </c>
      <c r="F30" s="27" t="n">
        <f aca="false">-SUMPRODUCT((Investissements!$F$5:$F$17*12&gt;=F3)*Investissements!$G$5:$G$17)*(1+Hypotheses!$D$60)-F24*Hypotheses!$D$45/60</f>
        <v>-713035.714285714</v>
      </c>
      <c r="G30" s="27" t="n">
        <f aca="false">-SUMPRODUCT((Investissements!$F$5:$F$17*12&gt;=G3)*Investissements!$G$5:$G$17)*(1+Hypotheses!$D$60)-G24*Hypotheses!$D$45/60</f>
        <v>-713035.714285714</v>
      </c>
      <c r="H30" s="27" t="n">
        <f aca="false">-SUMPRODUCT((Investissements!$F$5:$F$17*12&gt;=H3)*Investissements!$G$5:$G$17)*(1+Hypotheses!$D$60)-H24*Hypotheses!$D$45/60</f>
        <v>-713035.714285714</v>
      </c>
      <c r="I30" s="27" t="n">
        <f aca="false">-SUMPRODUCT((Investissements!$F$5:$F$17*12&gt;=I3)*Investissements!$G$5:$G$17)*(1+Hypotheses!$D$60)-I24*Hypotheses!$D$45/60</f>
        <v>-713035.714285714</v>
      </c>
      <c r="J30" s="27" t="n">
        <f aca="false">-SUMPRODUCT((Investissements!$F$5:$F$17*12&gt;=J3)*Investissements!$G$5:$G$17)*(1+Hypotheses!$D$60)-J24*Hypotheses!$D$45/60</f>
        <v>-713035.714285714</v>
      </c>
      <c r="K30" s="27" t="n">
        <f aca="false">-SUMPRODUCT((Investissements!$F$5:$F$17*12&gt;=K3)*Investissements!$G$5:$G$17)*(1+Hypotheses!$D$60)-K24*Hypotheses!$D$45/60</f>
        <v>-713035.714285714</v>
      </c>
      <c r="L30" s="27" t="n">
        <f aca="false">-SUMPRODUCT((Investissements!$F$5:$F$17*12&gt;=L3)*Investissements!$G$5:$G$17)*(1+Hypotheses!$D$60)-L24*Hypotheses!$D$45/60</f>
        <v>-713035.714285714</v>
      </c>
      <c r="M30" s="27" t="n">
        <f aca="false">-SUMPRODUCT((Investissements!$F$5:$F$17*12&gt;=M3)*Investissements!$G$5:$G$17)*(1+Hypotheses!$D$60)-M24*Hypotheses!$D$45/60</f>
        <v>-713035.714285714</v>
      </c>
      <c r="N30" s="27" t="n">
        <f aca="false">-SUMPRODUCT((Investissements!$F$5:$F$17*12&gt;=N3)*Investissements!$G$5:$G$17)*(1+Hypotheses!$D$60)-N24*Hypotheses!$D$45/60</f>
        <v>-713035.714285714</v>
      </c>
      <c r="O30" s="27" t="n">
        <f aca="false">-SUMPRODUCT((Investissements!$F$5:$F$17*12&gt;=O3)*Investissements!$G$5:$G$17)*(1+Hypotheses!$D$60)-O24*Hypotheses!$D$45/60</f>
        <v>-713035.714285714</v>
      </c>
      <c r="P30" s="27" t="n">
        <f aca="false">-SUMPRODUCT((Investissements!$F$5:$F$17*12&gt;=P3)*Investissements!$G$5:$G$17)*(1+Hypotheses!$D$60)-P24*Hypotheses!$D$45/60</f>
        <v>-713035.714285714</v>
      </c>
      <c r="Q30" s="27" t="n">
        <f aca="false">-SUMPRODUCT((Investissements!$F$5:$F$17*12&gt;=Q3)*Investissements!$G$5:$G$17)*(1+Hypotheses!$D$60)-Q24*Hypotheses!$D$45/60</f>
        <v>-713035.714285714</v>
      </c>
      <c r="R30" s="27" t="n">
        <f aca="false">-SUMPRODUCT((Investissements!$F$5:$F$17*12&gt;=R3)*Investissements!$G$5:$G$17)*(1+Hypotheses!$D$60)-R24*Hypotheses!$D$45/60</f>
        <v>-713035.714285714</v>
      </c>
      <c r="S30" s="27" t="n">
        <f aca="false">-SUMPRODUCT((Investissements!$F$5:$F$17*12&gt;=S3)*Investissements!$G$5:$G$17)*(1+Hypotheses!$D$60)-S24*Hypotheses!$D$45/60</f>
        <v>-713035.714285714</v>
      </c>
      <c r="T30" s="27" t="n">
        <f aca="false">-SUMPRODUCT((Investissements!$F$5:$F$17*12&gt;=T3)*Investissements!$G$5:$G$17)*(1+Hypotheses!$D$60)-T24*Hypotheses!$D$45/60</f>
        <v>-713035.714285714</v>
      </c>
      <c r="U30" s="27" t="n">
        <f aca="false">-SUMPRODUCT((Investissements!$F$5:$F$17*12&gt;=U3)*Investissements!$G$5:$G$17)*(1+Hypotheses!$D$60)-U24*Hypotheses!$D$45/60</f>
        <v>-713035.714285714</v>
      </c>
      <c r="V30" s="27" t="n">
        <f aca="false">-SUMPRODUCT((Investissements!$F$5:$F$17*12&gt;=V3)*Investissements!$G$5:$G$17)*(1+Hypotheses!$D$60)-V24*Hypotheses!$D$45/60</f>
        <v>-713035.714285714</v>
      </c>
      <c r="W30" s="27" t="n">
        <f aca="false">-SUMPRODUCT((Investissements!$F$5:$F$17*12&gt;=W3)*Investissements!$G$5:$G$17)*(1+Hypotheses!$D$60)-W24*Hypotheses!$D$45/60</f>
        <v>-713035.714285714</v>
      </c>
      <c r="X30" s="27" t="n">
        <f aca="false">-SUMPRODUCT((Investissements!$F$5:$F$17*12&gt;=X3)*Investissements!$G$5:$G$17)*(1+Hypotheses!$D$60)-X24*Hypotheses!$D$45/60</f>
        <v>-713035.714285714</v>
      </c>
      <c r="Y30" s="27" t="n">
        <f aca="false">-SUMPRODUCT((Investissements!$F$5:$F$17*12&gt;=Y3)*Investissements!$G$5:$G$17)*(1+Hypotheses!$D$60)-Y24*Hypotheses!$D$45/60</f>
        <v>-713035.714285714</v>
      </c>
      <c r="Z30" s="27" t="n">
        <f aca="false">-SUMPRODUCT((Investissements!$F$5:$F$17*12&gt;=Z3)*Investissements!$G$5:$G$17)*(1+Hypotheses!$D$60)-Z24*Hypotheses!$D$45/60</f>
        <v>-713035.714285714</v>
      </c>
      <c r="AA30" s="27" t="n">
        <f aca="false">-SUMPRODUCT((Investissements!$F$5:$F$17*12&gt;=AA3)*Investissements!$G$5:$G$17)*(1+Hypotheses!$D$60)-AA24*Hypotheses!$D$45/60</f>
        <v>-713035.714285714</v>
      </c>
      <c r="AB30" s="27" t="n">
        <f aca="false">-SUMPRODUCT((Investissements!$F$5:$F$17*12&gt;=AB3)*Investissements!$G$5:$G$17)*(1+Hypotheses!$D$60)-AB24*Hypotheses!$D$45/60</f>
        <v>-713035.714285714</v>
      </c>
      <c r="AC30" s="27" t="n">
        <f aca="false">-SUMPRODUCT((Investissements!$F$5:$F$17*12&gt;=AC3)*Investissements!$G$5:$G$17)*(1+Hypotheses!$D$60)-AC24*Hypotheses!$D$45/60</f>
        <v>-713035.714285714</v>
      </c>
      <c r="AD30" s="27" t="n">
        <f aca="false">-SUMPRODUCT((Investissements!$F$5:$F$17*12&gt;=AD3)*Investissements!$G$5:$G$17)*(1+Hypotheses!$D$60)-AD24*Hypotheses!$D$45/60</f>
        <v>-713035.714285714</v>
      </c>
      <c r="AE30" s="27" t="n">
        <f aca="false">-SUMPRODUCT((Investissements!$F$5:$F$17*12&gt;=AE3)*Investissements!$G$5:$G$17)*(1+Hypotheses!$D$60)-AE24*Hypotheses!$D$45/60</f>
        <v>-713035.714285714</v>
      </c>
      <c r="AF30" s="27" t="n">
        <f aca="false">-SUMPRODUCT((Investissements!$F$5:$F$17*12&gt;=AF3)*Investissements!$G$5:$G$17)*(1+Hypotheses!$D$60)-AF24*Hypotheses!$D$45/60</f>
        <v>-713035.714285714</v>
      </c>
      <c r="AG30" s="27" t="n">
        <f aca="false">-SUMPRODUCT((Investissements!$F$5:$F$17*12&gt;=AG3)*Investissements!$G$5:$G$17)*(1+Hypotheses!$D$60)-AG24*Hypotheses!$D$45/60</f>
        <v>-713035.714285714</v>
      </c>
      <c r="AH30" s="27" t="n">
        <f aca="false">-SUMPRODUCT((Investissements!$F$5:$F$17*12&gt;=AH3)*Investissements!$G$5:$G$17)*(1+Hypotheses!$D$60)-AH24*Hypotheses!$D$45/60</f>
        <v>-713035.714285714</v>
      </c>
      <c r="AI30" s="27" t="n">
        <f aca="false">-SUMPRODUCT((Investissements!$F$5:$F$17*12&gt;=AI3)*Investissements!$G$5:$G$17)*(1+Hypotheses!$D$60)-AI24*Hypotheses!$D$45/60</f>
        <v>-713035.714285714</v>
      </c>
      <c r="AJ30" s="27" t="n">
        <f aca="false">-SUMPRODUCT((Investissements!$F$5:$F$17*12&gt;=AJ3)*Investissements!$G$5:$G$17)*(1+Hypotheses!$D$60)-AJ24*Hypotheses!$D$45/60</f>
        <v>-713035.714285714</v>
      </c>
      <c r="AK30" s="27" t="n">
        <f aca="false">-SUMPRODUCT((Investissements!$F$5:$F$17*12&gt;=AK3)*Investissements!$G$5:$G$17)*(1+Hypotheses!$D$60)-AK24*Hypotheses!$D$45/60</f>
        <v>-713035.714285714</v>
      </c>
      <c r="AL30" s="27" t="n">
        <f aca="false">-SUMPRODUCT((Investissements!$F$5:$F$17*12&gt;=AL3)*Investissements!$G$5:$G$17)*(1+Hypotheses!$D$60)-AL24*Hypotheses!$D$45/60</f>
        <v>-713035.714285714</v>
      </c>
      <c r="AM30" s="27" t="n">
        <f aca="false">-SUMPRODUCT((Investissements!$F$5:$F$17*12&gt;=AM3)*Investissements!$G$5:$G$17)*(1+Hypotheses!$D$60)-AM24*Hypotheses!$D$45/60</f>
        <v>-713035.714285714</v>
      </c>
      <c r="AN30" s="27" t="n">
        <f aca="false">-SUMPRODUCT((Investissements!$F$5:$F$17*12&gt;=AN3)*Investissements!$G$5:$G$17)*(1+Hypotheses!$D$60)-AN24*Hypotheses!$D$45/60</f>
        <v>-713035.714285714</v>
      </c>
      <c r="AO30" s="27" t="n">
        <f aca="false">-SUMPRODUCT((Investissements!$F$5:$F$17*12&gt;=AO3)*Investissements!$G$5:$G$17)*(1+Hypotheses!$D$60)-AO24*Hypotheses!$D$45/60</f>
        <v>-626369.047619048</v>
      </c>
      <c r="AP30" s="27" t="n">
        <f aca="false">-SUMPRODUCT((Investissements!$F$5:$F$17*12&gt;=AP3)*Investissements!$G$5:$G$17)*(1+Hypotheses!$D$60)-AP24*Hypotheses!$D$45/60</f>
        <v>-626369.047619048</v>
      </c>
      <c r="AQ30" s="27" t="n">
        <f aca="false">-SUMPRODUCT((Investissements!$F$5:$F$17*12&gt;=AQ3)*Investissements!$G$5:$G$17)*(1+Hypotheses!$D$60)-AQ24*Hypotheses!$D$45/60</f>
        <v>-626369.047619048</v>
      </c>
      <c r="AR30" s="27" t="n">
        <f aca="false">-SUMPRODUCT((Investissements!$F$5:$F$17*12&gt;=AR3)*Investissements!$G$5:$G$17)*(1+Hypotheses!$D$60)-AR24*Hypotheses!$D$45/60</f>
        <v>-626369.047619048</v>
      </c>
      <c r="AS30" s="27" t="n">
        <f aca="false">-SUMPRODUCT((Investissements!$F$5:$F$17*12&gt;=AS3)*Investissements!$G$5:$G$17)*(1+Hypotheses!$D$60)-AS24*Hypotheses!$D$45/60</f>
        <v>-626369.047619048</v>
      </c>
      <c r="AT30" s="27" t="n">
        <f aca="false">-SUMPRODUCT((Investissements!$F$5:$F$17*12&gt;=AT3)*Investissements!$G$5:$G$17)*(1+Hypotheses!$D$60)-AT24*Hypotheses!$D$45/60</f>
        <v>-626369.047619048</v>
      </c>
      <c r="AU30" s="27" t="n">
        <f aca="false">-SUMPRODUCT((Investissements!$F$5:$F$17*12&gt;=AU3)*Investissements!$G$5:$G$17)*(1+Hypotheses!$D$60)-AU24*Hypotheses!$D$45/60</f>
        <v>-626369.047619048</v>
      </c>
      <c r="AV30" s="27" t="n">
        <f aca="false">-SUMPRODUCT((Investissements!$F$5:$F$17*12&gt;=AV3)*Investissements!$G$5:$G$17)*(1+Hypotheses!$D$60)-AV24*Hypotheses!$D$45/60</f>
        <v>-626369.047619048</v>
      </c>
      <c r="AW30" s="27" t="n">
        <f aca="false">-SUMPRODUCT((Investissements!$F$5:$F$17*12&gt;=AW3)*Investissements!$G$5:$G$17)*(1+Hypotheses!$D$60)-AW24*Hypotheses!$D$45/60</f>
        <v>-626369.047619048</v>
      </c>
      <c r="AX30" s="27" t="n">
        <f aca="false">-SUMPRODUCT((Investissements!$F$5:$F$17*12&gt;=AX3)*Investissements!$G$5:$G$17)*(1+Hypotheses!$D$60)-AX24*Hypotheses!$D$45/60</f>
        <v>-626369.047619048</v>
      </c>
      <c r="AY30" s="27" t="n">
        <f aca="false">-SUMPRODUCT((Investissements!$F$5:$F$17*12&gt;=AY3)*Investissements!$G$5:$G$17)*(1+Hypotheses!$D$60)-AY24*Hypotheses!$D$45/60</f>
        <v>-626369.047619048</v>
      </c>
      <c r="AZ30" s="27" t="n">
        <f aca="false">-SUMPRODUCT((Investissements!$F$5:$F$17*12&gt;=AZ3)*Investissements!$G$5:$G$17)*(1+Hypotheses!$D$60)-AZ24*Hypotheses!$D$45/60</f>
        <v>-626369.047619048</v>
      </c>
      <c r="BA30" s="27" t="n">
        <f aca="false">-SUMPRODUCT((Investissements!$F$5:$F$17*12&gt;=BA3)*Investissements!$G$5:$G$17)*(1+Hypotheses!$D$60)-BA24*Hypotheses!$D$45/60</f>
        <v>-626369.047619048</v>
      </c>
      <c r="BB30" s="27" t="n">
        <f aca="false">-SUMPRODUCT((Investissements!$F$5:$F$17*12&gt;=BB3)*Investissements!$G$5:$G$17)*(1+Hypotheses!$D$60)-BB24*Hypotheses!$D$45/60</f>
        <v>-626369.047619048</v>
      </c>
      <c r="BC30" s="27" t="n">
        <f aca="false">-SUMPRODUCT((Investissements!$F$5:$F$17*12&gt;=BC3)*Investissements!$G$5:$G$17)*(1+Hypotheses!$D$60)-BC24*Hypotheses!$D$45/60</f>
        <v>-626369.047619048</v>
      </c>
      <c r="BD30" s="27" t="n">
        <f aca="false">-SUMPRODUCT((Investissements!$F$5:$F$17*12&gt;=BD3)*Investissements!$G$5:$G$17)*(1+Hypotheses!$D$60)-BD24*Hypotheses!$D$45/60</f>
        <v>-626369.047619048</v>
      </c>
      <c r="BE30" s="27" t="n">
        <f aca="false">-SUMPRODUCT((Investissements!$F$5:$F$17*12&gt;=BE3)*Investissements!$G$5:$G$17)*(1+Hypotheses!$D$60)-BE24*Hypotheses!$D$45/60</f>
        <v>-626369.047619048</v>
      </c>
      <c r="BF30" s="27" t="n">
        <f aca="false">-SUMPRODUCT((Investissements!$F$5:$F$17*12&gt;=BF3)*Investissements!$G$5:$G$17)*(1+Hypotheses!$D$60)-BF24*Hypotheses!$D$45/60</f>
        <v>-626369.047619048</v>
      </c>
      <c r="BG30" s="27" t="n">
        <f aca="false">-SUMPRODUCT((Investissements!$F$5:$F$17*12&gt;=BG3)*Investissements!$G$5:$G$17)*(1+Hypotheses!$D$60)-BG24*Hypotheses!$D$45/60</f>
        <v>-626369.047619048</v>
      </c>
      <c r="BH30" s="27" t="n">
        <f aca="false">-SUMPRODUCT((Investissements!$F$5:$F$17*12&gt;=BH3)*Investissements!$G$5:$G$17)*(1+Hypotheses!$D$60)-BH24*Hypotheses!$D$45/60</f>
        <v>-626369.047619048</v>
      </c>
      <c r="BI30" s="27" t="n">
        <f aca="false">-SUMPRODUCT((Investissements!$F$5:$F$17*12&gt;=BI3)*Investissements!$G$5:$G$17)*(1+Hypotheses!$D$60)-BI24*Hypotheses!$D$45/60</f>
        <v>-626369.047619048</v>
      </c>
      <c r="BJ30" s="27" t="n">
        <f aca="false">-SUMPRODUCT((Investissements!$F$5:$F$17*12&gt;=BJ3)*Investissements!$G$5:$G$17)*(1+Hypotheses!$D$60)-BJ24*Hypotheses!$D$45/60</f>
        <v>-626369.047619048</v>
      </c>
      <c r="BK30" s="27" t="n">
        <f aca="false">-SUMPRODUCT((Investissements!$F$5:$F$17*12&gt;=BK3)*Investissements!$G$5:$G$17)*(1+Hypotheses!$D$60)-BK24*Hypotheses!$D$45/60</f>
        <v>-626369.047619048</v>
      </c>
      <c r="BL30" s="27" t="n">
        <f aca="false">-SUMPRODUCT((Investissements!$F$5:$F$17*12&gt;=BL3)*Investissements!$G$5:$G$17)*(1+Hypotheses!$D$60)-BL24*Hypotheses!$D$45/60</f>
        <v>-626369.047619048</v>
      </c>
    </row>
    <row r="31" customFormat="false" ht="15" hidden="false" customHeight="false" outlineLevel="0" collapsed="false">
      <c r="B31" s="3" t="s">
        <v>285</v>
      </c>
      <c r="C31" s="2" t="s">
        <v>141</v>
      </c>
      <c r="D31" s="28" t="n">
        <f aca="false">D29</f>
        <v>-4000000</v>
      </c>
      <c r="E31" s="28" t="n">
        <f aca="false">E29+E30</f>
        <v>-3021539.78095238</v>
      </c>
      <c r="F31" s="28" t="n">
        <f aca="false">F29+F30</f>
        <v>-2963195.77626536</v>
      </c>
      <c r="G31" s="28" t="n">
        <f aca="false">G29+G30</f>
        <v>-2904232.90016299</v>
      </c>
      <c r="H31" s="28" t="n">
        <f aca="false">H29+H30</f>
        <v>-2844651.15264526</v>
      </c>
      <c r="I31" s="28" t="n">
        <f aca="false">I29+I30</f>
        <v>-2784450.53371217</v>
      </c>
      <c r="J31" s="28" t="n">
        <f aca="false">J29+J30</f>
        <v>-2723631.04336373</v>
      </c>
      <c r="K31" s="28" t="n">
        <f aca="false">K29+K30</f>
        <v>-2662192.68159993</v>
      </c>
      <c r="L31" s="28" t="n">
        <f aca="false">L29+L30</f>
        <v>-2600135.44842077</v>
      </c>
      <c r="M31" s="28" t="n">
        <f aca="false">M29+M30</f>
        <v>-2537459.34382626</v>
      </c>
      <c r="N31" s="28" t="n">
        <f aca="false">N29+N30</f>
        <v>-2474164.3678164</v>
      </c>
      <c r="O31" s="28" t="n">
        <f aca="false">O29+O30</f>
        <v>-2410250.52039117</v>
      </c>
      <c r="P31" s="28" t="n">
        <f aca="false">P29+P30</f>
        <v>-2345717.80155059</v>
      </c>
      <c r="Q31" s="28" t="n">
        <f aca="false">Q29+Q30</f>
        <v>-2280566.21129466</v>
      </c>
      <c r="R31" s="28" t="n">
        <f aca="false">R29+R30</f>
        <v>-2214795.74962337</v>
      </c>
      <c r="S31" s="28" t="n">
        <f aca="false">S29+S30</f>
        <v>-2148406.41653672</v>
      </c>
      <c r="T31" s="28" t="n">
        <f aca="false">T29+T30</f>
        <v>-2081398.21203471</v>
      </c>
      <c r="U31" s="28" t="n">
        <f aca="false">U29+U30</f>
        <v>-2013771.13611735</v>
      </c>
      <c r="V31" s="28" t="n">
        <f aca="false">V29+V30</f>
        <v>-1945525.18878464</v>
      </c>
      <c r="W31" s="28" t="n">
        <f aca="false">W29+W30</f>
        <v>-2174577.03670323</v>
      </c>
      <c r="X31" s="28" t="n">
        <f aca="false">X29+X30</f>
        <v>-2105093.3465398</v>
      </c>
      <c r="Y31" s="28" t="n">
        <f aca="false">Y29+Y30</f>
        <v>-2034990.78496102</v>
      </c>
      <c r="Z31" s="28" t="n">
        <f aca="false">Z29+Z30</f>
        <v>-1964269.35196687</v>
      </c>
      <c r="AA31" s="28" t="n">
        <f aca="false">AA29+AA30</f>
        <v>-1892929.04755738</v>
      </c>
      <c r="AB31" s="28" t="n">
        <f aca="false">AB29+AB30</f>
        <v>-1820969.87173252</v>
      </c>
      <c r="AC31" s="28" t="n">
        <f aca="false">AC29+AC30</f>
        <v>-1812271.29017224</v>
      </c>
      <c r="AD31" s="28" t="n">
        <f aca="false">AD29+AD30</f>
        <v>-1803572.70861196</v>
      </c>
      <c r="AE31" s="28" t="n">
        <f aca="false">AE29+AE30</f>
        <v>-1794874.12705167</v>
      </c>
      <c r="AF31" s="28" t="n">
        <f aca="false">AF29+AF30</f>
        <v>-1786175.54549139</v>
      </c>
      <c r="AG31" s="28" t="n">
        <f aca="false">AG29+AG30</f>
        <v>-1777476.9639311</v>
      </c>
      <c r="AH31" s="28" t="n">
        <f aca="false">AH29+AH30</f>
        <v>-1768778.38237082</v>
      </c>
      <c r="AI31" s="28" t="n">
        <f aca="false">AI29+AI30</f>
        <v>-1760079.80081054</v>
      </c>
      <c r="AJ31" s="28" t="n">
        <f aca="false">AJ29+AJ30</f>
        <v>-1751381.21925025</v>
      </c>
      <c r="AK31" s="28" t="n">
        <f aca="false">AK29+AK30</f>
        <v>-1742682.63768997</v>
      </c>
      <c r="AL31" s="28" t="n">
        <f aca="false">AL29+AL30</f>
        <v>-1733984.05612969</v>
      </c>
      <c r="AM31" s="28" t="n">
        <f aca="false">AM29+AM30</f>
        <v>-1725285.4745694</v>
      </c>
      <c r="AN31" s="28" t="n">
        <f aca="false">AN29+AN30</f>
        <v>-1716586.89300912</v>
      </c>
      <c r="AO31" s="28" t="n">
        <f aca="false">AO29+AO30</f>
        <v>-1621221.64478217</v>
      </c>
      <c r="AP31" s="28" t="n">
        <f aca="false">AP29+AP30</f>
        <v>-1612523.06322188</v>
      </c>
      <c r="AQ31" s="28" t="n">
        <f aca="false">AQ29+AQ30</f>
        <v>-1603824.4816616</v>
      </c>
      <c r="AR31" s="28" t="n">
        <f aca="false">AR29+AR30</f>
        <v>-1595125.90010132</v>
      </c>
      <c r="AS31" s="28" t="n">
        <f aca="false">AS29+AS30</f>
        <v>-1586427.31854103</v>
      </c>
      <c r="AT31" s="28" t="n">
        <f aca="false">AT29+AT30</f>
        <v>-1577728.73698075</v>
      </c>
      <c r="AU31" s="28" t="n">
        <f aca="false">AU29+AU30</f>
        <v>-1569030.15542047</v>
      </c>
      <c r="AV31" s="28" t="n">
        <f aca="false">AV29+AV30</f>
        <v>-1560331.57386018</v>
      </c>
      <c r="AW31" s="28" t="n">
        <f aca="false">AW29+AW30</f>
        <v>-1551632.9922999</v>
      </c>
      <c r="AX31" s="28" t="n">
        <f aca="false">AX29+AX30</f>
        <v>-1542934.41073962</v>
      </c>
      <c r="AY31" s="28" t="n">
        <f aca="false">AY29+AY30</f>
        <v>-1534235.82917933</v>
      </c>
      <c r="AZ31" s="28" t="n">
        <f aca="false">AZ29+AZ30</f>
        <v>-1525537.24761905</v>
      </c>
      <c r="BA31" s="28" t="n">
        <f aca="false">BA29+BA30</f>
        <v>-1525537.24761905</v>
      </c>
      <c r="BB31" s="28" t="n">
        <f aca="false">BB29+BB30</f>
        <v>-1525537.24761905</v>
      </c>
      <c r="BC31" s="28" t="n">
        <f aca="false">BC29+BC30</f>
        <v>-1525537.24761905</v>
      </c>
      <c r="BD31" s="28" t="n">
        <f aca="false">BD29+BD30</f>
        <v>-1525537.24761905</v>
      </c>
      <c r="BE31" s="28" t="n">
        <f aca="false">BE29+BE30</f>
        <v>-1525537.24761905</v>
      </c>
      <c r="BF31" s="28" t="n">
        <f aca="false">BF29+BF30</f>
        <v>-1525537.24761905</v>
      </c>
      <c r="BG31" s="28" t="n">
        <f aca="false">BG29+BG30</f>
        <v>-1525537.24761905</v>
      </c>
      <c r="BH31" s="28" t="n">
        <f aca="false">BH29+BH30</f>
        <v>-1525537.24761905</v>
      </c>
      <c r="BI31" s="28" t="n">
        <f aca="false">BI29+BI30</f>
        <v>-1525537.24761905</v>
      </c>
      <c r="BJ31" s="28" t="n">
        <f aca="false">BJ29+BJ30</f>
        <v>-1525537.24761905</v>
      </c>
      <c r="BK31" s="28" t="n">
        <f aca="false">BK29+BK30</f>
        <v>-1525537.24761905</v>
      </c>
      <c r="BL31" s="28" t="n">
        <f aca="false">BL29+BL30</f>
        <v>-1525537.24761905</v>
      </c>
    </row>
    <row r="32" customFormat="false" ht="15" hidden="false" customHeight="false" outlineLevel="0" collapsed="false">
      <c r="B32" s="9" t="s">
        <v>286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customFormat="false" ht="15" hidden="false" customHeight="false" outlineLevel="0" collapsed="false">
      <c r="B33" s="2" t="s">
        <v>287</v>
      </c>
      <c r="C33" s="2" t="s">
        <v>141</v>
      </c>
      <c r="D33" s="27" t="n">
        <f aca="false">0</f>
        <v>0</v>
      </c>
      <c r="E33" s="27" t="n">
        <f aca="false">E18*Hypotheses!$D$62/30</f>
        <v>1144000</v>
      </c>
      <c r="F33" s="27" t="n">
        <f aca="false">F18*Hypotheses!$D$62/30</f>
        <v>1373117.48381129</v>
      </c>
      <c r="G33" s="27" t="n">
        <f aca="false">G18*Hypotheses!$D$62/30</f>
        <v>1603966.69750231</v>
      </c>
      <c r="H33" s="27" t="n">
        <f aca="false">H18*Hypotheses!$D$62/30</f>
        <v>1836547.64107308</v>
      </c>
      <c r="I33" s="27" t="n">
        <f aca="false">I18*Hypotheses!$D$62/30</f>
        <v>2070860.31452359</v>
      </c>
      <c r="J33" s="27" t="n">
        <f aca="false">J18*Hypotheses!$D$62/30</f>
        <v>2306904.71785384</v>
      </c>
      <c r="K33" s="27" t="n">
        <f aca="false">K18*Hypotheses!$D$62/30</f>
        <v>2544680.85106383</v>
      </c>
      <c r="L33" s="27" t="n">
        <f aca="false">L18*Hypotheses!$D$62/30</f>
        <v>2784188.71415356</v>
      </c>
      <c r="M33" s="27" t="n">
        <f aca="false">M18*Hypotheses!$D$62/30</f>
        <v>3025428.30712303</v>
      </c>
      <c r="N33" s="27" t="n">
        <f aca="false">N18*Hypotheses!$D$62/30</f>
        <v>3268399.62997225</v>
      </c>
      <c r="O33" s="27" t="n">
        <f aca="false">O18*Hypotheses!$D$62/30</f>
        <v>3513102.6827012</v>
      </c>
      <c r="P33" s="27" t="n">
        <f aca="false">P18*Hypotheses!$D$62/30</f>
        <v>3759537.4653099</v>
      </c>
      <c r="Q33" s="27" t="n">
        <f aca="false">Q18*Hypotheses!$D$62/30</f>
        <v>4007703.97779834</v>
      </c>
      <c r="R33" s="27" t="n">
        <f aca="false">R18*Hypotheses!$D$62/30</f>
        <v>4257602.22016651</v>
      </c>
      <c r="S33" s="27" t="n">
        <f aca="false">S18*Hypotheses!$D$62/30</f>
        <v>4509232.19241443</v>
      </c>
      <c r="T33" s="27" t="n">
        <f aca="false">T18*Hypotheses!$D$62/30</f>
        <v>4762593.89454209</v>
      </c>
      <c r="U33" s="27" t="n">
        <f aca="false">U18*Hypotheses!$D$62/30</f>
        <v>5017687.32654949</v>
      </c>
      <c r="V33" s="27" t="n">
        <f aca="false">V18*Hypotheses!$D$62/30</f>
        <v>5274512.48843663</v>
      </c>
      <c r="W33" s="27" t="n">
        <f aca="false">W18*Hypotheses!$D$62/30</f>
        <v>5533069.38020352</v>
      </c>
      <c r="X33" s="27" t="n">
        <f aca="false">X18*Hypotheses!$D$62/30</f>
        <v>5793358.00185014</v>
      </c>
      <c r="Y33" s="27" t="n">
        <f aca="false">Y18*Hypotheses!$D$62/30</f>
        <v>6055378.3533765</v>
      </c>
      <c r="Z33" s="27" t="n">
        <f aca="false">Z18*Hypotheses!$D$62/30</f>
        <v>6319130.43478261</v>
      </c>
      <c r="AA33" s="27" t="n">
        <f aca="false">AA18*Hypotheses!$D$62/30</f>
        <v>6584614.24606846</v>
      </c>
      <c r="AB33" s="27" t="n">
        <f aca="false">AB18*Hypotheses!$D$62/30</f>
        <v>6851829.78723404</v>
      </c>
      <c r="AC33" s="27" t="n">
        <f aca="false">AC18*Hypotheses!$D$62/30</f>
        <v>6876170.21276596</v>
      </c>
      <c r="AD33" s="27" t="n">
        <f aca="false">AD18*Hypotheses!$D$62/30</f>
        <v>6900510.63829787</v>
      </c>
      <c r="AE33" s="27" t="n">
        <f aca="false">AE18*Hypotheses!$D$62/30</f>
        <v>6924851.06382979</v>
      </c>
      <c r="AF33" s="27" t="n">
        <f aca="false">AF18*Hypotheses!$D$62/30</f>
        <v>6949191.4893617</v>
      </c>
      <c r="AG33" s="27" t="n">
        <f aca="false">AG18*Hypotheses!$D$62/30</f>
        <v>6973531.91489362</v>
      </c>
      <c r="AH33" s="27" t="n">
        <f aca="false">AH18*Hypotheses!$D$62/30</f>
        <v>6997872.34042553</v>
      </c>
      <c r="AI33" s="27" t="n">
        <f aca="false">AI18*Hypotheses!$D$62/30</f>
        <v>7022212.76595745</v>
      </c>
      <c r="AJ33" s="27" t="n">
        <f aca="false">AJ18*Hypotheses!$D$62/30</f>
        <v>7046553.19148936</v>
      </c>
      <c r="AK33" s="27" t="n">
        <f aca="false">AK18*Hypotheses!$D$62/30</f>
        <v>7070893.61702128</v>
      </c>
      <c r="AL33" s="27" t="n">
        <f aca="false">AL18*Hypotheses!$D$62/30</f>
        <v>7095234.04255319</v>
      </c>
      <c r="AM33" s="27" t="n">
        <f aca="false">AM18*Hypotheses!$D$62/30</f>
        <v>7119574.46808511</v>
      </c>
      <c r="AN33" s="27" t="n">
        <f aca="false">AN18*Hypotheses!$D$62/30</f>
        <v>7143914.89361702</v>
      </c>
      <c r="AO33" s="27" t="n">
        <f aca="false">AO18*Hypotheses!$D$62/30</f>
        <v>7168255.31914894</v>
      </c>
      <c r="AP33" s="27" t="n">
        <f aca="false">AP18*Hypotheses!$D$62/30</f>
        <v>7192595.74468085</v>
      </c>
      <c r="AQ33" s="27" t="n">
        <f aca="false">AQ18*Hypotheses!$D$62/30</f>
        <v>7216936.17021277</v>
      </c>
      <c r="AR33" s="27" t="n">
        <f aca="false">AR18*Hypotheses!$D$62/30</f>
        <v>7241276.59574468</v>
      </c>
      <c r="AS33" s="27" t="n">
        <f aca="false">AS18*Hypotheses!$D$62/30</f>
        <v>7265617.0212766</v>
      </c>
      <c r="AT33" s="27" t="n">
        <f aca="false">AT18*Hypotheses!$D$62/30</f>
        <v>7289957.44680851</v>
      </c>
      <c r="AU33" s="27" t="n">
        <f aca="false">AU18*Hypotheses!$D$62/30</f>
        <v>7314297.87234043</v>
      </c>
      <c r="AV33" s="27" t="n">
        <f aca="false">AV18*Hypotheses!$D$62/30</f>
        <v>7338638.29787234</v>
      </c>
      <c r="AW33" s="27" t="n">
        <f aca="false">AW18*Hypotheses!$D$62/30</f>
        <v>7362978.72340426</v>
      </c>
      <c r="AX33" s="27" t="n">
        <f aca="false">AX18*Hypotheses!$D$62/30</f>
        <v>7387319.14893617</v>
      </c>
      <c r="AY33" s="27" t="n">
        <f aca="false">AY18*Hypotheses!$D$62/30</f>
        <v>7411659.57446809</v>
      </c>
      <c r="AZ33" s="27" t="n">
        <f aca="false">AZ18*Hypotheses!$D$62/30</f>
        <v>7436000</v>
      </c>
      <c r="BA33" s="27" t="n">
        <f aca="false">BA18*Hypotheses!$D$62/30</f>
        <v>7436000</v>
      </c>
      <c r="BB33" s="27" t="n">
        <f aca="false">BB18*Hypotheses!$D$62/30</f>
        <v>7436000</v>
      </c>
      <c r="BC33" s="27" t="n">
        <f aca="false">BC18*Hypotheses!$D$62/30</f>
        <v>7436000</v>
      </c>
      <c r="BD33" s="27" t="n">
        <f aca="false">BD18*Hypotheses!$D$62/30</f>
        <v>7436000</v>
      </c>
      <c r="BE33" s="27" t="n">
        <f aca="false">BE18*Hypotheses!$D$62/30</f>
        <v>7436000</v>
      </c>
      <c r="BF33" s="27" t="n">
        <f aca="false">BF18*Hypotheses!$D$62/30</f>
        <v>7436000</v>
      </c>
      <c r="BG33" s="27" t="n">
        <f aca="false">BG18*Hypotheses!$D$62/30</f>
        <v>7436000</v>
      </c>
      <c r="BH33" s="27" t="n">
        <f aca="false">BH18*Hypotheses!$D$62/30</f>
        <v>7436000</v>
      </c>
      <c r="BI33" s="27" t="n">
        <f aca="false">BI18*Hypotheses!$D$62/30</f>
        <v>7436000</v>
      </c>
      <c r="BJ33" s="27" t="n">
        <f aca="false">BJ18*Hypotheses!$D$62/30</f>
        <v>7436000</v>
      </c>
      <c r="BK33" s="27" t="n">
        <f aca="false">BK18*Hypotheses!$D$62/30</f>
        <v>7436000</v>
      </c>
      <c r="BL33" s="27" t="n">
        <f aca="false">BL18*Hypotheses!$D$62/30</f>
        <v>7436000</v>
      </c>
    </row>
    <row r="34" customFormat="false" ht="15" hidden="false" customHeight="false" outlineLevel="0" collapsed="false">
      <c r="B34" s="2" t="s">
        <v>288</v>
      </c>
      <c r="C34" s="2" t="s">
        <v>141</v>
      </c>
      <c r="D34" s="27" t="n">
        <f aca="false">0</f>
        <v>0</v>
      </c>
      <c r="E34" s="27" t="n">
        <f aca="false">-E19*Hypotheses!$D$63/30</f>
        <v>141731.2</v>
      </c>
      <c r="F34" s="27" t="n">
        <f aca="false">-F19*Hypotheses!$D$63/30</f>
        <v>169461.217391304</v>
      </c>
      <c r="G34" s="27" t="n">
        <f aca="false">-G19*Hypotheses!$D$63/30</f>
        <v>197191.234782609</v>
      </c>
      <c r="H34" s="27" t="n">
        <f aca="false">-H19*Hypotheses!$D$63/30</f>
        <v>224921.252173913</v>
      </c>
      <c r="I34" s="27" t="n">
        <f aca="false">-I19*Hypotheses!$D$63/30</f>
        <v>252651.269565217</v>
      </c>
      <c r="J34" s="27" t="n">
        <f aca="false">-J19*Hypotheses!$D$63/30</f>
        <v>280381.286956522</v>
      </c>
      <c r="K34" s="27" t="n">
        <f aca="false">-K19*Hypotheses!$D$63/30</f>
        <v>308111.304347826</v>
      </c>
      <c r="L34" s="27" t="n">
        <f aca="false">-L19*Hypotheses!$D$63/30</f>
        <v>335841.321739131</v>
      </c>
      <c r="M34" s="27" t="n">
        <f aca="false">-M19*Hypotheses!$D$63/30</f>
        <v>363571.339130435</v>
      </c>
      <c r="N34" s="27" t="n">
        <f aca="false">-N19*Hypotheses!$D$63/30</f>
        <v>391301.356521739</v>
      </c>
      <c r="O34" s="27" t="n">
        <f aca="false">-O19*Hypotheses!$D$63/30</f>
        <v>419031.373913043</v>
      </c>
      <c r="P34" s="27" t="n">
        <f aca="false">-P19*Hypotheses!$D$63/30</f>
        <v>446761.391304348</v>
      </c>
      <c r="Q34" s="27" t="n">
        <f aca="false">-Q19*Hypotheses!$D$63/30</f>
        <v>474491.408695652</v>
      </c>
      <c r="R34" s="27" t="n">
        <f aca="false">-R19*Hypotheses!$D$63/30</f>
        <v>502221.426086956</v>
      </c>
      <c r="S34" s="27" t="n">
        <f aca="false">-S19*Hypotheses!$D$63/30</f>
        <v>529951.443478261</v>
      </c>
      <c r="T34" s="27" t="n">
        <f aca="false">-T19*Hypotheses!$D$63/30</f>
        <v>557681.460869565</v>
      </c>
      <c r="U34" s="27" t="n">
        <f aca="false">-U19*Hypotheses!$D$63/30</f>
        <v>585411.47826087</v>
      </c>
      <c r="V34" s="27" t="n">
        <f aca="false">-V19*Hypotheses!$D$63/30</f>
        <v>613141.495652174</v>
      </c>
      <c r="W34" s="27" t="n">
        <f aca="false">-W19*Hypotheses!$D$63/30</f>
        <v>640871.513043478</v>
      </c>
      <c r="X34" s="27" t="n">
        <f aca="false">-X19*Hypotheses!$D$63/30</f>
        <v>668601.530434783</v>
      </c>
      <c r="Y34" s="27" t="n">
        <f aca="false">-Y19*Hypotheses!$D$63/30</f>
        <v>696331.547826087</v>
      </c>
      <c r="Z34" s="27" t="n">
        <f aca="false">-Z19*Hypotheses!$D$63/30</f>
        <v>724061.565217391</v>
      </c>
      <c r="AA34" s="27" t="n">
        <f aca="false">-AA19*Hypotheses!$D$63/30</f>
        <v>751791.582608696</v>
      </c>
      <c r="AB34" s="27" t="n">
        <f aca="false">-AB19*Hypotheses!$D$63/30</f>
        <v>779521.6</v>
      </c>
      <c r="AC34" s="27" t="n">
        <f aca="false">-AC19*Hypotheses!$D$63/30</f>
        <v>779521.6</v>
      </c>
      <c r="AD34" s="27" t="n">
        <f aca="false">-AD19*Hypotheses!$D$63/30</f>
        <v>779521.6</v>
      </c>
      <c r="AE34" s="27" t="n">
        <f aca="false">-AE19*Hypotheses!$D$63/30</f>
        <v>779521.6</v>
      </c>
      <c r="AF34" s="27" t="n">
        <f aca="false">-AF19*Hypotheses!$D$63/30</f>
        <v>779521.6</v>
      </c>
      <c r="AG34" s="27" t="n">
        <f aca="false">-AG19*Hypotheses!$D$63/30</f>
        <v>779521.6</v>
      </c>
      <c r="AH34" s="27" t="n">
        <f aca="false">-AH19*Hypotheses!$D$63/30</f>
        <v>779521.6</v>
      </c>
      <c r="AI34" s="27" t="n">
        <f aca="false">-AI19*Hypotheses!$D$63/30</f>
        <v>779521.6</v>
      </c>
      <c r="AJ34" s="27" t="n">
        <f aca="false">-AJ19*Hypotheses!$D$63/30</f>
        <v>779521.6</v>
      </c>
      <c r="AK34" s="27" t="n">
        <f aca="false">-AK19*Hypotheses!$D$63/30</f>
        <v>779521.6</v>
      </c>
      <c r="AL34" s="27" t="n">
        <f aca="false">-AL19*Hypotheses!$D$63/30</f>
        <v>779521.6</v>
      </c>
      <c r="AM34" s="27" t="n">
        <f aca="false">-AM19*Hypotheses!$D$63/30</f>
        <v>779521.6</v>
      </c>
      <c r="AN34" s="27" t="n">
        <f aca="false">-AN19*Hypotheses!$D$63/30</f>
        <v>779521.6</v>
      </c>
      <c r="AO34" s="27" t="n">
        <f aca="false">-AO19*Hypotheses!$D$63/30</f>
        <v>779521.6</v>
      </c>
      <c r="AP34" s="27" t="n">
        <f aca="false">-AP19*Hypotheses!$D$63/30</f>
        <v>779521.6</v>
      </c>
      <c r="AQ34" s="27" t="n">
        <f aca="false">-AQ19*Hypotheses!$D$63/30</f>
        <v>779521.6</v>
      </c>
      <c r="AR34" s="27" t="n">
        <f aca="false">-AR19*Hypotheses!$D$63/30</f>
        <v>779521.6</v>
      </c>
      <c r="AS34" s="27" t="n">
        <f aca="false">-AS19*Hypotheses!$D$63/30</f>
        <v>779521.6</v>
      </c>
      <c r="AT34" s="27" t="n">
        <f aca="false">-AT19*Hypotheses!$D$63/30</f>
        <v>779521.6</v>
      </c>
      <c r="AU34" s="27" t="n">
        <f aca="false">-AU19*Hypotheses!$D$63/30</f>
        <v>779521.6</v>
      </c>
      <c r="AV34" s="27" t="n">
        <f aca="false">-AV19*Hypotheses!$D$63/30</f>
        <v>779521.6</v>
      </c>
      <c r="AW34" s="27" t="n">
        <f aca="false">-AW19*Hypotheses!$D$63/30</f>
        <v>779521.6</v>
      </c>
      <c r="AX34" s="27" t="n">
        <f aca="false">-AX19*Hypotheses!$D$63/30</f>
        <v>779521.6</v>
      </c>
      <c r="AY34" s="27" t="n">
        <f aca="false">-AY19*Hypotheses!$D$63/30</f>
        <v>779521.6</v>
      </c>
      <c r="AZ34" s="27" t="n">
        <f aca="false">-AZ19*Hypotheses!$D$63/30</f>
        <v>779521.6</v>
      </c>
      <c r="BA34" s="27" t="n">
        <f aca="false">-BA19*Hypotheses!$D$63/30</f>
        <v>779521.6</v>
      </c>
      <c r="BB34" s="27" t="n">
        <f aca="false">-BB19*Hypotheses!$D$63/30</f>
        <v>779521.6</v>
      </c>
      <c r="BC34" s="27" t="n">
        <f aca="false">-BC19*Hypotheses!$D$63/30</f>
        <v>779521.6</v>
      </c>
      <c r="BD34" s="27" t="n">
        <f aca="false">-BD19*Hypotheses!$D$63/30</f>
        <v>779521.6</v>
      </c>
      <c r="BE34" s="27" t="n">
        <f aca="false">-BE19*Hypotheses!$D$63/30</f>
        <v>779521.6</v>
      </c>
      <c r="BF34" s="27" t="n">
        <f aca="false">-BF19*Hypotheses!$D$63/30</f>
        <v>779521.6</v>
      </c>
      <c r="BG34" s="27" t="n">
        <f aca="false">-BG19*Hypotheses!$D$63/30</f>
        <v>779521.6</v>
      </c>
      <c r="BH34" s="27" t="n">
        <f aca="false">-BH19*Hypotheses!$D$63/30</f>
        <v>779521.6</v>
      </c>
      <c r="BI34" s="27" t="n">
        <f aca="false">-BI19*Hypotheses!$D$63/30</f>
        <v>779521.6</v>
      </c>
      <c r="BJ34" s="27" t="n">
        <f aca="false">-BJ19*Hypotheses!$D$63/30</f>
        <v>779521.6</v>
      </c>
      <c r="BK34" s="27" t="n">
        <f aca="false">-BK19*Hypotheses!$D$63/30</f>
        <v>779521.6</v>
      </c>
      <c r="BL34" s="27" t="n">
        <f aca="false">-BL19*Hypotheses!$D$63/30</f>
        <v>779521.6</v>
      </c>
    </row>
    <row r="35" customFormat="false" ht="15" hidden="false" customHeight="false" outlineLevel="0" collapsed="false">
      <c r="B35" s="2" t="s">
        <v>289</v>
      </c>
      <c r="C35" s="2" t="s">
        <v>141</v>
      </c>
      <c r="D35" s="27" t="n">
        <f aca="false">D33-D34</f>
        <v>0</v>
      </c>
      <c r="E35" s="27" t="n">
        <f aca="false">E33-E34</f>
        <v>1002268.8</v>
      </c>
      <c r="F35" s="27" t="n">
        <f aca="false">F33-F34</f>
        <v>1203656.26641998</v>
      </c>
      <c r="G35" s="27" t="n">
        <f aca="false">G33-G34</f>
        <v>1406775.4627197</v>
      </c>
      <c r="H35" s="27" t="n">
        <f aca="false">H33-H34</f>
        <v>1611626.38889917</v>
      </c>
      <c r="I35" s="27" t="n">
        <f aca="false">I33-I34</f>
        <v>1818209.04495837</v>
      </c>
      <c r="J35" s="27" t="n">
        <f aca="false">J33-J34</f>
        <v>2026523.43089732</v>
      </c>
      <c r="K35" s="27" t="n">
        <f aca="false">K33-K34</f>
        <v>2236569.546716</v>
      </c>
      <c r="L35" s="27" t="n">
        <f aca="false">L33-L34</f>
        <v>2448347.39241443</v>
      </c>
      <c r="M35" s="27" t="n">
        <f aca="false">M33-M34</f>
        <v>2661856.9679926</v>
      </c>
      <c r="N35" s="27" t="n">
        <f aca="false">N33-N34</f>
        <v>2877098.27345051</v>
      </c>
      <c r="O35" s="27" t="n">
        <f aca="false">O33-O34</f>
        <v>3094071.30878816</v>
      </c>
      <c r="P35" s="27" t="n">
        <f aca="false">P33-P34</f>
        <v>3312776.07400555</v>
      </c>
      <c r="Q35" s="27" t="n">
        <f aca="false">Q33-Q34</f>
        <v>3533212.56910268</v>
      </c>
      <c r="R35" s="27" t="n">
        <f aca="false">R33-R34</f>
        <v>3755380.79407956</v>
      </c>
      <c r="S35" s="27" t="n">
        <f aca="false">S33-S34</f>
        <v>3979280.74893617</v>
      </c>
      <c r="T35" s="27" t="n">
        <f aca="false">T33-T34</f>
        <v>4204912.43367253</v>
      </c>
      <c r="U35" s="27" t="n">
        <f aca="false">U33-U34</f>
        <v>4432275.84828862</v>
      </c>
      <c r="V35" s="27" t="n">
        <f aca="false">V33-V34</f>
        <v>4661370.99278446</v>
      </c>
      <c r="W35" s="27" t="n">
        <f aca="false">W33-W34</f>
        <v>4892197.86716004</v>
      </c>
      <c r="X35" s="27" t="n">
        <f aca="false">X33-X34</f>
        <v>5124756.47141536</v>
      </c>
      <c r="Y35" s="27" t="n">
        <f aca="false">Y33-Y34</f>
        <v>5359046.80555042</v>
      </c>
      <c r="Z35" s="27" t="n">
        <f aca="false">Z33-Z34</f>
        <v>5595068.86956522</v>
      </c>
      <c r="AA35" s="27" t="n">
        <f aca="false">AA33-AA34</f>
        <v>5832822.66345976</v>
      </c>
      <c r="AB35" s="27" t="n">
        <f aca="false">AB33-AB34</f>
        <v>6072308.18723404</v>
      </c>
      <c r="AC35" s="27" t="n">
        <f aca="false">AC33-AC34</f>
        <v>6096648.61276596</v>
      </c>
      <c r="AD35" s="27" t="n">
        <f aca="false">AD33-AD34</f>
        <v>6120989.03829787</v>
      </c>
      <c r="AE35" s="27" t="n">
        <f aca="false">AE33-AE34</f>
        <v>6145329.46382979</v>
      </c>
      <c r="AF35" s="27" t="n">
        <f aca="false">AF33-AF34</f>
        <v>6169669.8893617</v>
      </c>
      <c r="AG35" s="27" t="n">
        <f aca="false">AG33-AG34</f>
        <v>6194010.31489362</v>
      </c>
      <c r="AH35" s="27" t="n">
        <f aca="false">AH33-AH34</f>
        <v>6218350.74042553</v>
      </c>
      <c r="AI35" s="27" t="n">
        <f aca="false">AI33-AI34</f>
        <v>6242691.16595745</v>
      </c>
      <c r="AJ35" s="27" t="n">
        <f aca="false">AJ33-AJ34</f>
        <v>6267031.59148936</v>
      </c>
      <c r="AK35" s="27" t="n">
        <f aca="false">AK33-AK34</f>
        <v>6291372.01702128</v>
      </c>
      <c r="AL35" s="27" t="n">
        <f aca="false">AL33-AL34</f>
        <v>6315712.44255319</v>
      </c>
      <c r="AM35" s="27" t="n">
        <f aca="false">AM33-AM34</f>
        <v>6340052.86808511</v>
      </c>
      <c r="AN35" s="27" t="n">
        <f aca="false">AN33-AN34</f>
        <v>6364393.29361702</v>
      </c>
      <c r="AO35" s="27" t="n">
        <f aca="false">AO33-AO34</f>
        <v>6388733.71914894</v>
      </c>
      <c r="AP35" s="27" t="n">
        <f aca="false">AP33-AP34</f>
        <v>6413074.14468085</v>
      </c>
      <c r="AQ35" s="27" t="n">
        <f aca="false">AQ33-AQ34</f>
        <v>6437414.57021277</v>
      </c>
      <c r="AR35" s="27" t="n">
        <f aca="false">AR33-AR34</f>
        <v>6461754.99574468</v>
      </c>
      <c r="AS35" s="27" t="n">
        <f aca="false">AS33-AS34</f>
        <v>6486095.4212766</v>
      </c>
      <c r="AT35" s="27" t="n">
        <f aca="false">AT33-AT34</f>
        <v>6510435.84680851</v>
      </c>
      <c r="AU35" s="27" t="n">
        <f aca="false">AU33-AU34</f>
        <v>6534776.27234043</v>
      </c>
      <c r="AV35" s="27" t="n">
        <f aca="false">AV33-AV34</f>
        <v>6559116.69787234</v>
      </c>
      <c r="AW35" s="27" t="n">
        <f aca="false">AW33-AW34</f>
        <v>6583457.12340426</v>
      </c>
      <c r="AX35" s="27" t="n">
        <f aca="false">AX33-AX34</f>
        <v>6607797.54893617</v>
      </c>
      <c r="AY35" s="27" t="n">
        <f aca="false">AY33-AY34</f>
        <v>6632137.97446809</v>
      </c>
      <c r="AZ35" s="27" t="n">
        <f aca="false">AZ33-AZ34</f>
        <v>6656478.4</v>
      </c>
      <c r="BA35" s="27" t="n">
        <f aca="false">BA33-BA34</f>
        <v>6656478.4</v>
      </c>
      <c r="BB35" s="27" t="n">
        <f aca="false">BB33-BB34</f>
        <v>6656478.4</v>
      </c>
      <c r="BC35" s="27" t="n">
        <f aca="false">BC33-BC34</f>
        <v>6656478.4</v>
      </c>
      <c r="BD35" s="27" t="n">
        <f aca="false">BD33-BD34</f>
        <v>6656478.4</v>
      </c>
      <c r="BE35" s="27" t="n">
        <f aca="false">BE33-BE34</f>
        <v>6656478.4</v>
      </c>
      <c r="BF35" s="27" t="n">
        <f aca="false">BF33-BF34</f>
        <v>6656478.4</v>
      </c>
      <c r="BG35" s="27" t="n">
        <f aca="false">BG33-BG34</f>
        <v>6656478.4</v>
      </c>
      <c r="BH35" s="27" t="n">
        <f aca="false">BH33-BH34</f>
        <v>6656478.4</v>
      </c>
      <c r="BI35" s="27" t="n">
        <f aca="false">BI33-BI34</f>
        <v>6656478.4</v>
      </c>
      <c r="BJ35" s="27" t="n">
        <f aca="false">BJ33-BJ34</f>
        <v>6656478.4</v>
      </c>
      <c r="BK35" s="27" t="n">
        <f aca="false">BK33-BK34</f>
        <v>6656478.4</v>
      </c>
      <c r="BL35" s="27" t="n">
        <f aca="false">BL33-BL34</f>
        <v>6656478.4</v>
      </c>
    </row>
    <row r="36" customFormat="false" ht="15" hidden="false" customHeight="false" outlineLevel="0" collapsed="false">
      <c r="B36" s="2" t="s">
        <v>290</v>
      </c>
      <c r="C36" s="2" t="s">
        <v>141</v>
      </c>
      <c r="E36" s="27" t="n">
        <f aca="false">-(E35-D35)</f>
        <v>-1002268.8</v>
      </c>
      <c r="F36" s="27" t="n">
        <f aca="false">-(F35-E35)</f>
        <v>-201387.466419981</v>
      </c>
      <c r="G36" s="27" t="n">
        <f aca="false">-(G35-F35)</f>
        <v>-203119.196299723</v>
      </c>
      <c r="H36" s="27" t="n">
        <f aca="false">-(H35-G35)</f>
        <v>-204850.926179463</v>
      </c>
      <c r="I36" s="27" t="n">
        <f aca="false">-(I35-H35)</f>
        <v>-206582.656059204</v>
      </c>
      <c r="J36" s="27" t="n">
        <f aca="false">-(J35-I35)</f>
        <v>-208314.385938946</v>
      </c>
      <c r="K36" s="27" t="n">
        <f aca="false">-(K35-J35)</f>
        <v>-210046.115818686</v>
      </c>
      <c r="L36" s="27" t="n">
        <f aca="false">-(L35-K35)</f>
        <v>-211777.845698428</v>
      </c>
      <c r="M36" s="27" t="n">
        <f aca="false">-(M35-L35)</f>
        <v>-213509.575578168</v>
      </c>
      <c r="N36" s="27" t="n">
        <f aca="false">-(N35-M35)</f>
        <v>-215241.305457909</v>
      </c>
      <c r="O36" s="27" t="n">
        <f aca="false">-(O35-N35)</f>
        <v>-216973.03533765</v>
      </c>
      <c r="P36" s="27" t="n">
        <f aca="false">-(P35-O35)</f>
        <v>-218704.765217392</v>
      </c>
      <c r="Q36" s="27" t="n">
        <f aca="false">-(Q35-P35)</f>
        <v>-220436.495097132</v>
      </c>
      <c r="R36" s="27" t="n">
        <f aca="false">-(R35-Q35)</f>
        <v>-222168.224976872</v>
      </c>
      <c r="S36" s="27" t="n">
        <f aca="false">-(S35-R35)</f>
        <v>-223899.954856616</v>
      </c>
      <c r="T36" s="27" t="n">
        <f aca="false">-(T35-S35)</f>
        <v>-225631.684736355</v>
      </c>
      <c r="U36" s="27" t="n">
        <f aca="false">-(U35-T35)</f>
        <v>-227363.414616096</v>
      </c>
      <c r="V36" s="27" t="n">
        <f aca="false">-(V35-U35)</f>
        <v>-229095.144495837</v>
      </c>
      <c r="W36" s="27" t="n">
        <f aca="false">-(W35-V35)</f>
        <v>-230826.874375578</v>
      </c>
      <c r="X36" s="27" t="n">
        <f aca="false">-(X35-W35)</f>
        <v>-232558.604255319</v>
      </c>
      <c r="Y36" s="27" t="n">
        <f aca="false">-(Y35-X35)</f>
        <v>-234290.334135059</v>
      </c>
      <c r="Z36" s="27" t="n">
        <f aca="false">-(Z35-Y35)</f>
        <v>-236022.064014802</v>
      </c>
      <c r="AA36" s="27" t="n">
        <f aca="false">-(AA35-Z35)</f>
        <v>-237753.793894543</v>
      </c>
      <c r="AB36" s="27" t="n">
        <f aca="false">-(AB35-AA35)</f>
        <v>-239485.523774282</v>
      </c>
      <c r="AC36" s="27" t="n">
        <f aca="false">-(AC35-AB35)</f>
        <v>-24340.4255319163</v>
      </c>
      <c r="AD36" s="27" t="n">
        <f aca="false">-(AD35-AC35)</f>
        <v>-24340.4255319145</v>
      </c>
      <c r="AE36" s="27" t="n">
        <f aca="false">-(AE35-AD35)</f>
        <v>-24340.4255319154</v>
      </c>
      <c r="AF36" s="27" t="n">
        <f aca="false">-(AF35-AE35)</f>
        <v>-24340.4255319154</v>
      </c>
      <c r="AG36" s="27" t="n">
        <f aca="false">-(AG35-AF35)</f>
        <v>-24340.4255319135</v>
      </c>
      <c r="AH36" s="27" t="n">
        <f aca="false">-(AH35-AG35)</f>
        <v>-24340.4255319154</v>
      </c>
      <c r="AI36" s="27" t="n">
        <f aca="false">-(AI35-AH35)</f>
        <v>-24340.4255319154</v>
      </c>
      <c r="AJ36" s="27" t="n">
        <f aca="false">-(AJ35-AI35)</f>
        <v>-24340.4255319126</v>
      </c>
      <c r="AK36" s="27" t="n">
        <f aca="false">-(AK35-AJ35)</f>
        <v>-24340.4255319173</v>
      </c>
      <c r="AL36" s="27" t="n">
        <f aca="false">-(AL35-AK35)</f>
        <v>-24340.4255319145</v>
      </c>
      <c r="AM36" s="27" t="n">
        <f aca="false">-(AM35-AL35)</f>
        <v>-24340.4255319145</v>
      </c>
      <c r="AN36" s="27" t="n">
        <f aca="false">-(AN35-AM35)</f>
        <v>-24340.4255319145</v>
      </c>
      <c r="AO36" s="27" t="n">
        <f aca="false">-(AO35-AN35)</f>
        <v>-24340.4255319154</v>
      </c>
      <c r="AP36" s="27" t="n">
        <f aca="false">-(AP35-AO35)</f>
        <v>-24340.4255319154</v>
      </c>
      <c r="AQ36" s="27" t="n">
        <f aca="false">-(AQ35-AP35)</f>
        <v>-24340.4255319145</v>
      </c>
      <c r="AR36" s="27" t="n">
        <f aca="false">-(AR35-AQ35)</f>
        <v>-24340.4255319154</v>
      </c>
      <c r="AS36" s="27" t="n">
        <f aca="false">-(AS35-AR35)</f>
        <v>-24340.4255319135</v>
      </c>
      <c r="AT36" s="27" t="n">
        <f aca="false">-(AT35-AS35)</f>
        <v>-24340.4255319154</v>
      </c>
      <c r="AU36" s="27" t="n">
        <f aca="false">-(AU35-AT35)</f>
        <v>-24340.4255319154</v>
      </c>
      <c r="AV36" s="27" t="n">
        <f aca="false">-(AV35-AU35)</f>
        <v>-24340.4255319145</v>
      </c>
      <c r="AW36" s="27" t="n">
        <f aca="false">-(AW35-AV35)</f>
        <v>-24340.4255319154</v>
      </c>
      <c r="AX36" s="27" t="n">
        <f aca="false">-(AX35-AW35)</f>
        <v>-24340.4255319135</v>
      </c>
      <c r="AY36" s="27" t="n">
        <f aca="false">-(AY35-AX35)</f>
        <v>-24340.4255319173</v>
      </c>
      <c r="AZ36" s="27" t="n">
        <f aca="false">-(AZ35-AY35)</f>
        <v>-24340.4255319135</v>
      </c>
      <c r="BA36" s="27" t="n">
        <f aca="false">-(BA35-AZ35)</f>
        <v>-0</v>
      </c>
      <c r="BB36" s="27" t="n">
        <f aca="false">-(BB35-BA35)</f>
        <v>-0</v>
      </c>
      <c r="BC36" s="27" t="n">
        <f aca="false">-(BC35-BB35)</f>
        <v>-0</v>
      </c>
      <c r="BD36" s="27" t="n">
        <f aca="false">-(BD35-BC35)</f>
        <v>-0</v>
      </c>
      <c r="BE36" s="27" t="n">
        <f aca="false">-(BE35-BD35)</f>
        <v>-0</v>
      </c>
      <c r="BF36" s="27" t="n">
        <f aca="false">-(BF35-BE35)</f>
        <v>-0</v>
      </c>
      <c r="BG36" s="27" t="n">
        <f aca="false">-(BG35-BF35)</f>
        <v>-0</v>
      </c>
      <c r="BH36" s="27" t="n">
        <f aca="false">-(BH35-BG35)</f>
        <v>-0</v>
      </c>
      <c r="BI36" s="27" t="n">
        <f aca="false">-(BI35-BH35)</f>
        <v>-0</v>
      </c>
      <c r="BJ36" s="27" t="n">
        <f aca="false">-(BJ35-BI35)</f>
        <v>-0</v>
      </c>
      <c r="BK36" s="27" t="n">
        <f aca="false">-(BK35-BJ35)</f>
        <v>-0</v>
      </c>
      <c r="BL36" s="27" t="n">
        <f aca="false">-(BL35-BK35)</f>
        <v>-0</v>
      </c>
    </row>
    <row r="37" customFormat="false" ht="15" hidden="false" customHeight="false" outlineLevel="0" collapsed="false">
      <c r="B37" s="2" t="s">
        <v>291</v>
      </c>
      <c r="C37" s="2" t="s">
        <v>141</v>
      </c>
      <c r="D37" s="27" t="n">
        <f aca="false">-Investissements!$E$18*(1+Hypotheses!$D$60)+(Investissements!$E$19*(1+Hypotheses!$D$60)*Hypotheses!$D$69*(1-Hypotheses!$D$70))</f>
        <v>-38652000</v>
      </c>
      <c r="E37" s="27" t="n">
        <f aca="false">-MAX(0,E24-D24)*Hypotheses!$D$45</f>
        <v>-0</v>
      </c>
      <c r="F37" s="27" t="n">
        <f aca="false">-MAX(0,F24-E24)*Hypotheses!$D$45</f>
        <v>-0</v>
      </c>
      <c r="G37" s="27" t="n">
        <f aca="false">-MAX(0,G24-F24)*Hypotheses!$D$45</f>
        <v>-0</v>
      </c>
      <c r="H37" s="27" t="n">
        <f aca="false">-MAX(0,H24-G24)*Hypotheses!$D$45</f>
        <v>-0</v>
      </c>
      <c r="I37" s="27" t="n">
        <f aca="false">-MAX(0,I24-H24)*Hypotheses!$D$45</f>
        <v>-0</v>
      </c>
      <c r="J37" s="27" t="n">
        <f aca="false">-MAX(0,J24-I24)*Hypotheses!$D$45</f>
        <v>-0</v>
      </c>
      <c r="K37" s="27" t="n">
        <f aca="false">-MAX(0,K24-J24)*Hypotheses!$D$45</f>
        <v>-0</v>
      </c>
      <c r="L37" s="27" t="n">
        <f aca="false">-MAX(0,L24-K24)*Hypotheses!$D$45</f>
        <v>-0</v>
      </c>
      <c r="M37" s="27" t="n">
        <f aca="false">-MAX(0,M24-L24)*Hypotheses!$D$45</f>
        <v>-0</v>
      </c>
      <c r="N37" s="27" t="n">
        <f aca="false">-MAX(0,N24-M24)*Hypotheses!$D$45</f>
        <v>-0</v>
      </c>
      <c r="O37" s="27" t="n">
        <f aca="false">-MAX(0,O24-N24)*Hypotheses!$D$45</f>
        <v>-0</v>
      </c>
      <c r="P37" s="27" t="n">
        <f aca="false">-MAX(0,P24-O24)*Hypotheses!$D$45</f>
        <v>-0</v>
      </c>
      <c r="Q37" s="27" t="n">
        <f aca="false">-MAX(0,Q24-P24)*Hypotheses!$D$45</f>
        <v>-0</v>
      </c>
      <c r="R37" s="27" t="n">
        <f aca="false">-MAX(0,R24-Q24)*Hypotheses!$D$45</f>
        <v>-0</v>
      </c>
      <c r="S37" s="27" t="n">
        <f aca="false">-MAX(0,S24-R24)*Hypotheses!$D$45</f>
        <v>-0</v>
      </c>
      <c r="T37" s="27" t="n">
        <f aca="false">-MAX(0,T24-S24)*Hypotheses!$D$45</f>
        <v>-0</v>
      </c>
      <c r="U37" s="27" t="n">
        <f aca="false">-MAX(0,U24-T24)*Hypotheses!$D$45</f>
        <v>-0</v>
      </c>
      <c r="V37" s="27" t="n">
        <f aca="false">-MAX(0,V24-U24)*Hypotheses!$D$45</f>
        <v>-0</v>
      </c>
      <c r="W37" s="27" t="n">
        <f aca="false">-MAX(0,W24-V24)*Hypotheses!$D$45</f>
        <v>-0</v>
      </c>
      <c r="X37" s="27" t="n">
        <f aca="false">-MAX(0,X24-W24)*Hypotheses!$D$45</f>
        <v>-0</v>
      </c>
      <c r="Y37" s="27" t="n">
        <f aca="false">-MAX(0,Y24-X24)*Hypotheses!$D$45</f>
        <v>-0</v>
      </c>
      <c r="Z37" s="27" t="n">
        <f aca="false">-MAX(0,Z24-Y24)*Hypotheses!$D$45</f>
        <v>-0</v>
      </c>
      <c r="AA37" s="27" t="n">
        <f aca="false">-MAX(0,AA24-Z24)*Hypotheses!$D$45</f>
        <v>-0</v>
      </c>
      <c r="AB37" s="27" t="n">
        <f aca="false">-MAX(0,AB24-AA24)*Hypotheses!$D$45</f>
        <v>-0</v>
      </c>
      <c r="AC37" s="27" t="n">
        <f aca="false">-MAX(0,AC24-AB24)*Hypotheses!$D$45</f>
        <v>-0</v>
      </c>
      <c r="AD37" s="27" t="n">
        <f aca="false">-MAX(0,AD24-AC24)*Hypotheses!$D$45</f>
        <v>-0</v>
      </c>
      <c r="AE37" s="27" t="n">
        <f aca="false">-MAX(0,AE24-AD24)*Hypotheses!$D$45</f>
        <v>-0</v>
      </c>
      <c r="AF37" s="27" t="n">
        <f aca="false">-MAX(0,AF24-AE24)*Hypotheses!$D$45</f>
        <v>-0</v>
      </c>
      <c r="AG37" s="27" t="n">
        <f aca="false">-MAX(0,AG24-AF24)*Hypotheses!$D$45</f>
        <v>-0</v>
      </c>
      <c r="AH37" s="27" t="n">
        <f aca="false">-MAX(0,AH24-AG24)*Hypotheses!$D$45</f>
        <v>-0</v>
      </c>
      <c r="AI37" s="27" t="n">
        <f aca="false">-MAX(0,AI24-AH24)*Hypotheses!$D$45</f>
        <v>-0</v>
      </c>
      <c r="AJ37" s="27" t="n">
        <f aca="false">-MAX(0,AJ24-AI24)*Hypotheses!$D$45</f>
        <v>-0</v>
      </c>
      <c r="AK37" s="27" t="n">
        <f aca="false">-MAX(0,AK24-AJ24)*Hypotheses!$D$45</f>
        <v>-0</v>
      </c>
      <c r="AL37" s="27" t="n">
        <f aca="false">-MAX(0,AL24-AK24)*Hypotheses!$D$45</f>
        <v>-0</v>
      </c>
      <c r="AM37" s="27" t="n">
        <f aca="false">-MAX(0,AM24-AL24)*Hypotheses!$D$45</f>
        <v>-0</v>
      </c>
      <c r="AN37" s="27" t="n">
        <f aca="false">-MAX(0,AN24-AM24)*Hypotheses!$D$45</f>
        <v>-0</v>
      </c>
      <c r="AO37" s="27" t="n">
        <f aca="false">-MAX(0,AO24-AN24)*Hypotheses!$D$45</f>
        <v>-0</v>
      </c>
      <c r="AP37" s="27" t="n">
        <f aca="false">-MAX(0,AP24-AO24)*Hypotheses!$D$45</f>
        <v>-0</v>
      </c>
      <c r="AQ37" s="27" t="n">
        <f aca="false">-MAX(0,AQ24-AP24)*Hypotheses!$D$45</f>
        <v>-0</v>
      </c>
      <c r="AR37" s="27" t="n">
        <f aca="false">-MAX(0,AR24-AQ24)*Hypotheses!$D$45</f>
        <v>-0</v>
      </c>
      <c r="AS37" s="27" t="n">
        <f aca="false">-MAX(0,AS24-AR24)*Hypotheses!$D$45</f>
        <v>-0</v>
      </c>
      <c r="AT37" s="27" t="n">
        <f aca="false">-MAX(0,AT24-AS24)*Hypotheses!$D$45</f>
        <v>-0</v>
      </c>
      <c r="AU37" s="27" t="n">
        <f aca="false">-MAX(0,AU24-AT24)*Hypotheses!$D$45</f>
        <v>-0</v>
      </c>
      <c r="AV37" s="27" t="n">
        <f aca="false">-MAX(0,AV24-AU24)*Hypotheses!$D$45</f>
        <v>-0</v>
      </c>
      <c r="AW37" s="27" t="n">
        <f aca="false">-MAX(0,AW24-AV24)*Hypotheses!$D$45</f>
        <v>-0</v>
      </c>
      <c r="AX37" s="27" t="n">
        <f aca="false">-MAX(0,AX24-AW24)*Hypotheses!$D$45</f>
        <v>-0</v>
      </c>
      <c r="AY37" s="27" t="n">
        <f aca="false">-MAX(0,AY24-AX24)*Hypotheses!$D$45</f>
        <v>-0</v>
      </c>
      <c r="AZ37" s="27" t="n">
        <f aca="false">-MAX(0,AZ24-AY24)*Hypotheses!$D$45</f>
        <v>-0</v>
      </c>
      <c r="BA37" s="27" t="n">
        <f aca="false">-MAX(0,BA24-AZ24)*Hypotheses!$D$45</f>
        <v>-0</v>
      </c>
      <c r="BB37" s="27" t="n">
        <f aca="false">-MAX(0,BB24-BA24)*Hypotheses!$D$45</f>
        <v>-0</v>
      </c>
      <c r="BC37" s="27" t="n">
        <f aca="false">-MAX(0,BC24-BB24)*Hypotheses!$D$45</f>
        <v>-0</v>
      </c>
      <c r="BD37" s="27" t="n">
        <f aca="false">-MAX(0,BD24-BC24)*Hypotheses!$D$45</f>
        <v>-0</v>
      </c>
      <c r="BE37" s="27" t="n">
        <f aca="false">-MAX(0,BE24-BD24)*Hypotheses!$D$45</f>
        <v>-0</v>
      </c>
      <c r="BF37" s="27" t="n">
        <f aca="false">-MAX(0,BF24-BE24)*Hypotheses!$D$45</f>
        <v>-0</v>
      </c>
      <c r="BG37" s="27" t="n">
        <f aca="false">-MAX(0,BG24-BF24)*Hypotheses!$D$45</f>
        <v>-0</v>
      </c>
      <c r="BH37" s="27" t="n">
        <f aca="false">-MAX(0,BH24-BG24)*Hypotheses!$D$45</f>
        <v>-0</v>
      </c>
      <c r="BI37" s="27" t="n">
        <f aca="false">-MAX(0,BI24-BH24)*Hypotheses!$D$45</f>
        <v>-0</v>
      </c>
      <c r="BJ37" s="27" t="n">
        <f aca="false">-MAX(0,BJ24-BI24)*Hypotheses!$D$45</f>
        <v>-0</v>
      </c>
      <c r="BK37" s="27" t="n">
        <f aca="false">-MAX(0,BK24-BJ24)*Hypotheses!$D$45</f>
        <v>-0</v>
      </c>
      <c r="BL37" s="27" t="n">
        <f aca="false">-MAX(0,BL24-BK24)*Hypotheses!$D$45</f>
        <v>-0</v>
      </c>
    </row>
    <row r="38" customFormat="false" ht="15" hidden="false" customHeight="false" outlineLevel="0" collapsed="false">
      <c r="B38" s="2" t="s">
        <v>292</v>
      </c>
      <c r="C38" s="2" t="s">
        <v>141</v>
      </c>
      <c r="E38" s="27" t="n">
        <f aca="false">-MAX(0,E20-D20)</f>
        <v>-0</v>
      </c>
      <c r="F38" s="27" t="n">
        <f aca="false">-MAX(0,F20-E20)</f>
        <v>-10175.7631822387</v>
      </c>
      <c r="G38" s="27" t="n">
        <f aca="false">-MAX(0,G20-F20)</f>
        <v>-13506.0129509713</v>
      </c>
      <c r="H38" s="27" t="n">
        <f aca="false">-MAX(0,H20-G20)</f>
        <v>-16836.262719704</v>
      </c>
      <c r="I38" s="27" t="n">
        <f aca="false">-MAX(0,I20-H20)</f>
        <v>-20166.5124884366</v>
      </c>
      <c r="J38" s="27" t="n">
        <f aca="false">-MAX(0,J20-I20)</f>
        <v>-23496.7622571693</v>
      </c>
      <c r="K38" s="27" t="n">
        <f aca="false">-MAX(0,K20-J20)</f>
        <v>-26827.0120259019</v>
      </c>
      <c r="L38" s="27" t="n">
        <f aca="false">-MAX(0,L20-K20)</f>
        <v>-30157.2617946346</v>
      </c>
      <c r="M38" s="27" t="n">
        <f aca="false">-MAX(0,M20-L20)</f>
        <v>-33487.5115633672</v>
      </c>
      <c r="N38" s="27" t="n">
        <f aca="false">-MAX(0,N20-M20)</f>
        <v>-36817.7613320999</v>
      </c>
      <c r="O38" s="27" t="n">
        <f aca="false">-MAX(0,O20-N20)</f>
        <v>-40148.0111008326</v>
      </c>
      <c r="P38" s="27" t="n">
        <f aca="false">-MAX(0,P20-O20)</f>
        <v>-43478.2608695652</v>
      </c>
      <c r="Q38" s="27" t="n">
        <f aca="false">-MAX(0,Q20-P20)</f>
        <v>-46808.5106382979</v>
      </c>
      <c r="R38" s="27" t="n">
        <f aca="false">-MAX(0,R20-Q20)</f>
        <v>-50138.7604070305</v>
      </c>
      <c r="S38" s="27" t="n">
        <f aca="false">-MAX(0,S20-R20)</f>
        <v>-53469.0101757633</v>
      </c>
      <c r="T38" s="27" t="n">
        <f aca="false">-MAX(0,T20-S20)</f>
        <v>-56799.2599444957</v>
      </c>
      <c r="U38" s="27" t="n">
        <f aca="false">-MAX(0,U20-T20)</f>
        <v>-60129.5097132285</v>
      </c>
      <c r="V38" s="27" t="n">
        <f aca="false">-MAX(0,V20-U20)</f>
        <v>-63459.7594819613</v>
      </c>
      <c r="W38" s="27" t="n">
        <f aca="false">-MAX(0,W20-V20)</f>
        <v>-66790.0092506936</v>
      </c>
      <c r="X38" s="27" t="n">
        <f aca="false">-MAX(0,X20-W20)</f>
        <v>-70120.2590194264</v>
      </c>
      <c r="Y38" s="27" t="n">
        <f aca="false">-MAX(0,Y20-X20)</f>
        <v>-73450.5087881591</v>
      </c>
      <c r="Z38" s="27" t="n">
        <f aca="false">-MAX(0,Z20-Y20)</f>
        <v>-76780.7585568917</v>
      </c>
      <c r="AA38" s="27" t="n">
        <f aca="false">-MAX(0,AA20-Z20)</f>
        <v>-80111.0083256246</v>
      </c>
      <c r="AB38" s="27" t="n">
        <f aca="false">-MAX(0,AB20-AA20)</f>
        <v>-83441.258094357</v>
      </c>
      <c r="AC38" s="27" t="n">
        <f aca="false">-MAX(0,AC20-AB20)</f>
        <v>-46808.510638298</v>
      </c>
      <c r="AD38" s="27" t="n">
        <f aca="false">-MAX(0,AD20-AC20)</f>
        <v>-46808.5106382978</v>
      </c>
      <c r="AE38" s="27" t="n">
        <f aca="false">-MAX(0,AE20-AD20)</f>
        <v>-46808.510638298</v>
      </c>
      <c r="AF38" s="27" t="n">
        <f aca="false">-MAX(0,AF20-AE20)</f>
        <v>-46808.510638298</v>
      </c>
      <c r="AG38" s="27" t="n">
        <f aca="false">-MAX(0,AG20-AF20)</f>
        <v>-46808.5106382975</v>
      </c>
      <c r="AH38" s="27" t="n">
        <f aca="false">-MAX(0,AH20-AG20)</f>
        <v>-46808.510638298</v>
      </c>
      <c r="AI38" s="27" t="n">
        <f aca="false">-MAX(0,AI20-AH20)</f>
        <v>-46808.5106382978</v>
      </c>
      <c r="AJ38" s="27" t="n">
        <f aca="false">-MAX(0,AJ20-AI20)</f>
        <v>-46808.5106382978</v>
      </c>
      <c r="AK38" s="27" t="n">
        <f aca="false">-MAX(0,AK20-AJ20)</f>
        <v>-46808.5106382978</v>
      </c>
      <c r="AL38" s="27" t="n">
        <f aca="false">-MAX(0,AL20-AK20)</f>
        <v>-46808.510638298</v>
      </c>
      <c r="AM38" s="27" t="n">
        <f aca="false">-MAX(0,AM20-AL20)</f>
        <v>-46808.5106382982</v>
      </c>
      <c r="AN38" s="27" t="n">
        <f aca="false">-MAX(0,AN20-AM20)</f>
        <v>-46808.5106382975</v>
      </c>
      <c r="AO38" s="27" t="n">
        <f aca="false">-MAX(0,AO20-AN20)</f>
        <v>-46808.510638298</v>
      </c>
      <c r="AP38" s="27" t="n">
        <f aca="false">-MAX(0,AP20-AO20)</f>
        <v>-46808.5106382978</v>
      </c>
      <c r="AQ38" s="27" t="n">
        <f aca="false">-MAX(0,AQ20-AP20)</f>
        <v>-46808.5106382978</v>
      </c>
      <c r="AR38" s="27" t="n">
        <f aca="false">-MAX(0,AR20-AQ20)</f>
        <v>-46808.5106382982</v>
      </c>
      <c r="AS38" s="27" t="n">
        <f aca="false">-MAX(0,AS20-AR20)</f>
        <v>-46808.5106382978</v>
      </c>
      <c r="AT38" s="27" t="n">
        <f aca="false">-MAX(0,AT20-AS20)</f>
        <v>-46808.5106382982</v>
      </c>
      <c r="AU38" s="27" t="n">
        <f aca="false">-MAX(0,AU20-AT20)</f>
        <v>-46808.5106382973</v>
      </c>
      <c r="AV38" s="27" t="n">
        <f aca="false">-MAX(0,AV20-AU20)</f>
        <v>-46808.5106382982</v>
      </c>
      <c r="AW38" s="27" t="n">
        <f aca="false">-MAX(0,AW20-AV20)</f>
        <v>-46808.5106382978</v>
      </c>
      <c r="AX38" s="27" t="n">
        <f aca="false">-MAX(0,AX20-AW20)</f>
        <v>-46808.510638298</v>
      </c>
      <c r="AY38" s="27" t="n">
        <f aca="false">-MAX(0,AY20-AX20)</f>
        <v>-46808.5106382975</v>
      </c>
      <c r="AZ38" s="27" t="n">
        <f aca="false">-MAX(0,AZ20-AY20)</f>
        <v>-46808.510638298</v>
      </c>
      <c r="BA38" s="27" t="n">
        <f aca="false">-MAX(0,BA20-AZ20)</f>
        <v>-0</v>
      </c>
      <c r="BB38" s="27" t="n">
        <f aca="false">-MAX(0,BB20-BA20)</f>
        <v>-0</v>
      </c>
      <c r="BC38" s="27" t="n">
        <f aca="false">-MAX(0,BC20-BB20)</f>
        <v>-0</v>
      </c>
      <c r="BD38" s="27" t="n">
        <f aca="false">-MAX(0,BD20-BC20)</f>
        <v>-0</v>
      </c>
      <c r="BE38" s="27" t="n">
        <f aca="false">-MAX(0,BE20-BD20)</f>
        <v>-0</v>
      </c>
      <c r="BF38" s="27" t="n">
        <f aca="false">-MAX(0,BF20-BE20)</f>
        <v>-0</v>
      </c>
      <c r="BG38" s="27" t="n">
        <f aca="false">-MAX(0,BG20-BF20)</f>
        <v>-0</v>
      </c>
      <c r="BH38" s="27" t="n">
        <f aca="false">-MAX(0,BH20-BG20)</f>
        <v>-0</v>
      </c>
      <c r="BI38" s="27" t="n">
        <f aca="false">-MAX(0,BI20-BH20)</f>
        <v>-0</v>
      </c>
      <c r="BJ38" s="27" t="n">
        <f aca="false">-MAX(0,BJ20-BI20)</f>
        <v>-0</v>
      </c>
      <c r="BK38" s="27" t="n">
        <f aca="false">-MAX(0,BK20-BJ20)</f>
        <v>-0</v>
      </c>
      <c r="BL38" s="27" t="n">
        <f aca="false">-MAX(0,BL20-BK20)</f>
        <v>-0</v>
      </c>
    </row>
    <row r="39" customFormat="false" ht="15" hidden="false" customHeight="false" outlineLevel="0" collapsed="false">
      <c r="B39" s="2" t="s">
        <v>293</v>
      </c>
      <c r="C39" s="2" t="s">
        <v>141</v>
      </c>
      <c r="E39" s="27" t="n">
        <f aca="false">IF(AND(E6=1,E5&gt;1),-INDEX($E$64:$I$64,E5-1),0)</f>
        <v>0</v>
      </c>
      <c r="F39" s="27" t="n">
        <f aca="false">IF(AND(F6=1,F5&gt;1),-INDEX($E$64:$I$64,F5-1),0)</f>
        <v>0</v>
      </c>
      <c r="G39" s="27" t="n">
        <f aca="false">IF(AND(G6=1,G5&gt;1),-INDEX($E$64:$I$64,G5-1),0)</f>
        <v>0</v>
      </c>
      <c r="H39" s="27" t="n">
        <f aca="false">IF(AND(H6=1,H5&gt;1),-INDEX($E$64:$I$64,H5-1),0)</f>
        <v>0</v>
      </c>
      <c r="I39" s="27" t="n">
        <f aca="false">IF(AND(I6=1,I5&gt;1),-INDEX($E$64:$I$64,I5-1),0)</f>
        <v>0</v>
      </c>
      <c r="J39" s="27" t="n">
        <f aca="false">IF(AND(J6=1,J5&gt;1),-INDEX($E$64:$I$64,J5-1),0)</f>
        <v>0</v>
      </c>
      <c r="K39" s="27" t="n">
        <f aca="false">IF(AND(K6=1,K5&gt;1),-INDEX($E$64:$I$64,K5-1),0)</f>
        <v>0</v>
      </c>
      <c r="L39" s="27" t="n">
        <f aca="false">IF(AND(L6=1,L5&gt;1),-INDEX($E$64:$I$64,L5-1),0)</f>
        <v>0</v>
      </c>
      <c r="M39" s="27" t="n">
        <f aca="false">IF(AND(M6=1,M5&gt;1),-INDEX($E$64:$I$64,M5-1),0)</f>
        <v>0</v>
      </c>
      <c r="N39" s="27" t="n">
        <f aca="false">IF(AND(N6=1,N5&gt;1),-INDEX($E$64:$I$64,N5-1),0)</f>
        <v>0</v>
      </c>
      <c r="O39" s="27" t="n">
        <f aca="false">IF(AND(O6=1,O5&gt;1),-INDEX($E$64:$I$64,O5-1),0)</f>
        <v>0</v>
      </c>
      <c r="P39" s="27" t="n">
        <f aca="false">IF(AND(P6=1,P5&gt;1),-INDEX($E$64:$I$64,P5-1),0)</f>
        <v>0</v>
      </c>
      <c r="Q39" s="27" t="n">
        <f aca="false">IF(AND(Q6=1,Q5&gt;1),-INDEX($E$64:$I$64,Q5-1),0)</f>
        <v>-500000</v>
      </c>
      <c r="R39" s="27" t="n">
        <f aca="false">IF(AND(R6=1,R5&gt;1),-INDEX($E$64:$I$64,R5-1),0)</f>
        <v>0</v>
      </c>
      <c r="S39" s="27" t="n">
        <f aca="false">IF(AND(S6=1,S5&gt;1),-INDEX($E$64:$I$64,S5-1),0)</f>
        <v>0</v>
      </c>
      <c r="T39" s="27" t="n">
        <f aca="false">IF(AND(T6=1,T5&gt;1),-INDEX($E$64:$I$64,T5-1),0)</f>
        <v>0</v>
      </c>
      <c r="U39" s="27" t="n">
        <f aca="false">IF(AND(U6=1,U5&gt;1),-INDEX($E$64:$I$64,U5-1),0)</f>
        <v>0</v>
      </c>
      <c r="V39" s="27" t="n">
        <f aca="false">IF(AND(V6=1,V5&gt;1),-INDEX($E$64:$I$64,V5-1),0)</f>
        <v>0</v>
      </c>
      <c r="W39" s="27" t="n">
        <f aca="false">IF(AND(W6=1,W5&gt;1),-INDEX($E$64:$I$64,W5-1),0)</f>
        <v>0</v>
      </c>
      <c r="X39" s="27" t="n">
        <f aca="false">IF(AND(X6=1,X5&gt;1),-INDEX($E$64:$I$64,X5-1),0)</f>
        <v>0</v>
      </c>
      <c r="Y39" s="27" t="n">
        <f aca="false">IF(AND(Y6=1,Y5&gt;1),-INDEX($E$64:$I$64,Y5-1),0)</f>
        <v>0</v>
      </c>
      <c r="Z39" s="27" t="n">
        <f aca="false">IF(AND(Z6=1,Z5&gt;1),-INDEX($E$64:$I$64,Z5-1),0)</f>
        <v>0</v>
      </c>
      <c r="AA39" s="27" t="n">
        <f aca="false">IF(AND(AA6=1,AA5&gt;1),-INDEX($E$64:$I$64,AA5-1),0)</f>
        <v>0</v>
      </c>
      <c r="AB39" s="27" t="n">
        <f aca="false">IF(AND(AB6=1,AB5&gt;1),-INDEX($E$64:$I$64,AB5-1),0)</f>
        <v>0</v>
      </c>
      <c r="AC39" s="27" t="n">
        <f aca="false">IF(AND(AC6=1,AC5&gt;1),-INDEX($E$64:$I$64,AC5-1),0)</f>
        <v>-500000</v>
      </c>
      <c r="AD39" s="27" t="n">
        <f aca="false">IF(AND(AD6=1,AD5&gt;1),-INDEX($E$64:$I$64,AD5-1),0)</f>
        <v>0</v>
      </c>
      <c r="AE39" s="27" t="n">
        <f aca="false">IF(AND(AE6=1,AE5&gt;1),-INDEX($E$64:$I$64,AE5-1),0)</f>
        <v>0</v>
      </c>
      <c r="AF39" s="27" t="n">
        <f aca="false">IF(AND(AF6=1,AF5&gt;1),-INDEX($E$64:$I$64,AF5-1),0)</f>
        <v>0</v>
      </c>
      <c r="AG39" s="27" t="n">
        <f aca="false">IF(AND(AG6=1,AG5&gt;1),-INDEX($E$64:$I$64,AG5-1),0)</f>
        <v>0</v>
      </c>
      <c r="AH39" s="27" t="n">
        <f aca="false">IF(AND(AH6=1,AH5&gt;1),-INDEX($E$64:$I$64,AH5-1),0)</f>
        <v>0</v>
      </c>
      <c r="AI39" s="27" t="n">
        <f aca="false">IF(AND(AI6=1,AI5&gt;1),-INDEX($E$64:$I$64,AI5-1),0)</f>
        <v>0</v>
      </c>
      <c r="AJ39" s="27" t="n">
        <f aca="false">IF(AND(AJ6=1,AJ5&gt;1),-INDEX($E$64:$I$64,AJ5-1),0)</f>
        <v>0</v>
      </c>
      <c r="AK39" s="27" t="n">
        <f aca="false">IF(AND(AK6=1,AK5&gt;1),-INDEX($E$64:$I$64,AK5-1),0)</f>
        <v>0</v>
      </c>
      <c r="AL39" s="27" t="n">
        <f aca="false">IF(AND(AL6=1,AL5&gt;1),-INDEX($E$64:$I$64,AL5-1),0)</f>
        <v>0</v>
      </c>
      <c r="AM39" s="27" t="n">
        <f aca="false">IF(AND(AM6=1,AM5&gt;1),-INDEX($E$64:$I$64,AM5-1),0)</f>
        <v>0</v>
      </c>
      <c r="AN39" s="27" t="n">
        <f aca="false">IF(AND(AN6=1,AN5&gt;1),-INDEX($E$64:$I$64,AN5-1),0)</f>
        <v>0</v>
      </c>
      <c r="AO39" s="27" t="n">
        <f aca="false">IF(AND(AO6=1,AO5&gt;1),-INDEX($E$64:$I$64,AO5-1),0)</f>
        <v>-500000</v>
      </c>
      <c r="AP39" s="27" t="n">
        <f aca="false">IF(AND(AP6=1,AP5&gt;1),-INDEX($E$64:$I$64,AP5-1),0)</f>
        <v>0</v>
      </c>
      <c r="AQ39" s="27" t="n">
        <f aca="false">IF(AND(AQ6=1,AQ5&gt;1),-INDEX($E$64:$I$64,AQ5-1),0)</f>
        <v>0</v>
      </c>
      <c r="AR39" s="27" t="n">
        <f aca="false">IF(AND(AR6=1,AR5&gt;1),-INDEX($E$64:$I$64,AR5-1),0)</f>
        <v>0</v>
      </c>
      <c r="AS39" s="27" t="n">
        <f aca="false">IF(AND(AS6=1,AS5&gt;1),-INDEX($E$64:$I$64,AS5-1),0)</f>
        <v>0</v>
      </c>
      <c r="AT39" s="27" t="n">
        <f aca="false">IF(AND(AT6=1,AT5&gt;1),-INDEX($E$64:$I$64,AT5-1),0)</f>
        <v>0</v>
      </c>
      <c r="AU39" s="27" t="n">
        <f aca="false">IF(AND(AU6=1,AU5&gt;1),-INDEX($E$64:$I$64,AU5-1),0)</f>
        <v>0</v>
      </c>
      <c r="AV39" s="27" t="n">
        <f aca="false">IF(AND(AV6=1,AV5&gt;1),-INDEX($E$64:$I$64,AV5-1),0)</f>
        <v>0</v>
      </c>
      <c r="AW39" s="27" t="n">
        <f aca="false">IF(AND(AW6=1,AW5&gt;1),-INDEX($E$64:$I$64,AW5-1),0)</f>
        <v>0</v>
      </c>
      <c r="AX39" s="27" t="n">
        <f aca="false">IF(AND(AX6=1,AX5&gt;1),-INDEX($E$64:$I$64,AX5-1),0)</f>
        <v>0</v>
      </c>
      <c r="AY39" s="27" t="n">
        <f aca="false">IF(AND(AY6=1,AY5&gt;1),-INDEX($E$64:$I$64,AY5-1),0)</f>
        <v>0</v>
      </c>
      <c r="AZ39" s="27" t="n">
        <f aca="false">IF(AND(AZ6=1,AZ5&gt;1),-INDEX($E$64:$I$64,AZ5-1),0)</f>
        <v>0</v>
      </c>
      <c r="BA39" s="27" t="n">
        <f aca="false">IF(AND(BA6=1,BA5&gt;1),-INDEX($E$64:$I$64,BA5-1),0)</f>
        <v>-500000</v>
      </c>
      <c r="BB39" s="27" t="n">
        <f aca="false">IF(AND(BB6=1,BB5&gt;1),-INDEX($E$64:$I$64,BB5-1),0)</f>
        <v>0</v>
      </c>
      <c r="BC39" s="27" t="n">
        <f aca="false">IF(AND(BC6=1,BC5&gt;1),-INDEX($E$64:$I$64,BC5-1),0)</f>
        <v>0</v>
      </c>
      <c r="BD39" s="27" t="n">
        <f aca="false">IF(AND(BD6=1,BD5&gt;1),-INDEX($E$64:$I$64,BD5-1),0)</f>
        <v>0</v>
      </c>
      <c r="BE39" s="27" t="n">
        <f aca="false">IF(AND(BE6=1,BE5&gt;1),-INDEX($E$64:$I$64,BE5-1),0)</f>
        <v>0</v>
      </c>
      <c r="BF39" s="27" t="n">
        <f aca="false">IF(AND(BF6=1,BF5&gt;1),-INDEX($E$64:$I$64,BF5-1),0)</f>
        <v>0</v>
      </c>
      <c r="BG39" s="27" t="n">
        <f aca="false">IF(AND(BG6=1,BG5&gt;1),-INDEX($E$64:$I$64,BG5-1),0)</f>
        <v>0</v>
      </c>
      <c r="BH39" s="27" t="n">
        <f aca="false">IF(AND(BH6=1,BH5&gt;1),-INDEX($E$64:$I$64,BH5-1),0)</f>
        <v>0</v>
      </c>
      <c r="BI39" s="27" t="n">
        <f aca="false">IF(AND(BI6=1,BI5&gt;1),-INDEX($E$64:$I$64,BI5-1),0)</f>
        <v>0</v>
      </c>
      <c r="BJ39" s="27" t="n">
        <f aca="false">IF(AND(BJ6=1,BJ5&gt;1),-INDEX($E$64:$I$64,BJ5-1),0)</f>
        <v>0</v>
      </c>
      <c r="BK39" s="27" t="n">
        <f aca="false">IF(AND(BK6=1,BK5&gt;1),-INDEX($E$64:$I$64,BK5-1),0)</f>
        <v>0</v>
      </c>
      <c r="BL39" s="27" t="n">
        <f aca="false">IF(AND(BL6=1,BL5&gt;1),-INDEX($E$64:$I$64,BL5-1),0)</f>
        <v>0</v>
      </c>
    </row>
    <row r="40" customFormat="false" ht="15" hidden="false" customHeight="false" outlineLevel="0" collapsed="false">
      <c r="B40" s="2" t="s">
        <v>294</v>
      </c>
      <c r="C40" s="2" t="s">
        <v>141</v>
      </c>
      <c r="E40" s="27" t="n">
        <f aca="false">IF(E3&lt;=Hypotheses!$D$72,PMT(Hypotheses!$D$71/12,Hypotheses!$D$72,(Investissements!$E$19*(1+Hypotheses!$D$60)*Hypotheses!$D$69*(1-Hypotheses!$D$70))),0)</f>
        <v>-466954.830347362</v>
      </c>
      <c r="F40" s="27" t="n">
        <f aca="false">IF(F3&lt;=Hypotheses!$D$72,PMT(Hypotheses!$D$71/12,Hypotheses!$D$72,(Investissements!$E$19*(1+Hypotheses!$D$60)*Hypotheses!$D$69*(1-Hypotheses!$D$70))),0)</f>
        <v>-466954.830347362</v>
      </c>
      <c r="G40" s="27" t="n">
        <f aca="false">IF(G3&lt;=Hypotheses!$D$72,PMT(Hypotheses!$D$71/12,Hypotheses!$D$72,(Investissements!$E$19*(1+Hypotheses!$D$60)*Hypotheses!$D$69*(1-Hypotheses!$D$70))),0)</f>
        <v>-466954.830347362</v>
      </c>
      <c r="H40" s="27" t="n">
        <f aca="false">IF(H3&lt;=Hypotheses!$D$72,PMT(Hypotheses!$D$71/12,Hypotheses!$D$72,(Investissements!$E$19*(1+Hypotheses!$D$60)*Hypotheses!$D$69*(1-Hypotheses!$D$70))),0)</f>
        <v>-466954.830347362</v>
      </c>
      <c r="I40" s="27" t="n">
        <f aca="false">IF(I3&lt;=Hypotheses!$D$72,PMT(Hypotheses!$D$71/12,Hypotheses!$D$72,(Investissements!$E$19*(1+Hypotheses!$D$60)*Hypotheses!$D$69*(1-Hypotheses!$D$70))),0)</f>
        <v>-466954.830347362</v>
      </c>
      <c r="J40" s="27" t="n">
        <f aca="false">IF(J3&lt;=Hypotheses!$D$72,PMT(Hypotheses!$D$71/12,Hypotheses!$D$72,(Investissements!$E$19*(1+Hypotheses!$D$60)*Hypotheses!$D$69*(1-Hypotheses!$D$70))),0)</f>
        <v>-466954.830347362</v>
      </c>
      <c r="K40" s="27" t="n">
        <f aca="false">IF(K3&lt;=Hypotheses!$D$72,PMT(Hypotheses!$D$71/12,Hypotheses!$D$72,(Investissements!$E$19*(1+Hypotheses!$D$60)*Hypotheses!$D$69*(1-Hypotheses!$D$70))),0)</f>
        <v>-466954.830347362</v>
      </c>
      <c r="L40" s="27" t="n">
        <f aca="false">IF(L3&lt;=Hypotheses!$D$72,PMT(Hypotheses!$D$71/12,Hypotheses!$D$72,(Investissements!$E$19*(1+Hypotheses!$D$60)*Hypotheses!$D$69*(1-Hypotheses!$D$70))),0)</f>
        <v>-466954.830347362</v>
      </c>
      <c r="M40" s="27" t="n">
        <f aca="false">IF(M3&lt;=Hypotheses!$D$72,PMT(Hypotheses!$D$71/12,Hypotheses!$D$72,(Investissements!$E$19*(1+Hypotheses!$D$60)*Hypotheses!$D$69*(1-Hypotheses!$D$70))),0)</f>
        <v>-466954.830347362</v>
      </c>
      <c r="N40" s="27" t="n">
        <f aca="false">IF(N3&lt;=Hypotheses!$D$72,PMT(Hypotheses!$D$71/12,Hypotheses!$D$72,(Investissements!$E$19*(1+Hypotheses!$D$60)*Hypotheses!$D$69*(1-Hypotheses!$D$70))),0)</f>
        <v>-466954.830347362</v>
      </c>
      <c r="O40" s="27" t="n">
        <f aca="false">IF(O3&lt;=Hypotheses!$D$72,PMT(Hypotheses!$D$71/12,Hypotheses!$D$72,(Investissements!$E$19*(1+Hypotheses!$D$60)*Hypotheses!$D$69*(1-Hypotheses!$D$70))),0)</f>
        <v>-466954.830347362</v>
      </c>
      <c r="P40" s="27" t="n">
        <f aca="false">IF(P3&lt;=Hypotheses!$D$72,PMT(Hypotheses!$D$71/12,Hypotheses!$D$72,(Investissements!$E$19*(1+Hypotheses!$D$60)*Hypotheses!$D$69*(1-Hypotheses!$D$70))),0)</f>
        <v>-466954.830347362</v>
      </c>
      <c r="Q40" s="27" t="n">
        <f aca="false">IF(Q3&lt;=Hypotheses!$D$72,PMT(Hypotheses!$D$71/12,Hypotheses!$D$72,(Investissements!$E$19*(1+Hypotheses!$D$60)*Hypotheses!$D$69*(1-Hypotheses!$D$70))),0)</f>
        <v>-466954.830347362</v>
      </c>
      <c r="R40" s="27" t="n">
        <f aca="false">IF(R3&lt;=Hypotheses!$D$72,PMT(Hypotheses!$D$71/12,Hypotheses!$D$72,(Investissements!$E$19*(1+Hypotheses!$D$60)*Hypotheses!$D$69*(1-Hypotheses!$D$70))),0)</f>
        <v>-466954.830347362</v>
      </c>
      <c r="S40" s="27" t="n">
        <f aca="false">IF(S3&lt;=Hypotheses!$D$72,PMT(Hypotheses!$D$71/12,Hypotheses!$D$72,(Investissements!$E$19*(1+Hypotheses!$D$60)*Hypotheses!$D$69*(1-Hypotheses!$D$70))),0)</f>
        <v>-466954.830347362</v>
      </c>
      <c r="T40" s="27" t="n">
        <f aca="false">IF(T3&lt;=Hypotheses!$D$72,PMT(Hypotheses!$D$71/12,Hypotheses!$D$72,(Investissements!$E$19*(1+Hypotheses!$D$60)*Hypotheses!$D$69*(1-Hypotheses!$D$70))),0)</f>
        <v>-466954.830347362</v>
      </c>
      <c r="U40" s="27" t="n">
        <f aca="false">IF(U3&lt;=Hypotheses!$D$72,PMT(Hypotheses!$D$71/12,Hypotheses!$D$72,(Investissements!$E$19*(1+Hypotheses!$D$60)*Hypotheses!$D$69*(1-Hypotheses!$D$70))),0)</f>
        <v>-466954.830347362</v>
      </c>
      <c r="V40" s="27" t="n">
        <f aca="false">IF(V3&lt;=Hypotheses!$D$72,PMT(Hypotheses!$D$71/12,Hypotheses!$D$72,(Investissements!$E$19*(1+Hypotheses!$D$60)*Hypotheses!$D$69*(1-Hypotheses!$D$70))),0)</f>
        <v>-466954.830347362</v>
      </c>
      <c r="W40" s="27" t="n">
        <f aca="false">IF(W3&lt;=Hypotheses!$D$72,PMT(Hypotheses!$D$71/12,Hypotheses!$D$72,(Investissements!$E$19*(1+Hypotheses!$D$60)*Hypotheses!$D$69*(1-Hypotheses!$D$70))),0)</f>
        <v>-466954.830347362</v>
      </c>
      <c r="X40" s="27" t="n">
        <f aca="false">IF(X3&lt;=Hypotheses!$D$72,PMT(Hypotheses!$D$71/12,Hypotheses!$D$72,(Investissements!$E$19*(1+Hypotheses!$D$60)*Hypotheses!$D$69*(1-Hypotheses!$D$70))),0)</f>
        <v>-466954.830347362</v>
      </c>
      <c r="Y40" s="27" t="n">
        <f aca="false">IF(Y3&lt;=Hypotheses!$D$72,PMT(Hypotheses!$D$71/12,Hypotheses!$D$72,(Investissements!$E$19*(1+Hypotheses!$D$60)*Hypotheses!$D$69*(1-Hypotheses!$D$70))),0)</f>
        <v>-466954.830347362</v>
      </c>
      <c r="Z40" s="27" t="n">
        <f aca="false">IF(Z3&lt;=Hypotheses!$D$72,PMT(Hypotheses!$D$71/12,Hypotheses!$D$72,(Investissements!$E$19*(1+Hypotheses!$D$60)*Hypotheses!$D$69*(1-Hypotheses!$D$70))),0)</f>
        <v>-466954.830347362</v>
      </c>
      <c r="AA40" s="27" t="n">
        <f aca="false">IF(AA3&lt;=Hypotheses!$D$72,PMT(Hypotheses!$D$71/12,Hypotheses!$D$72,(Investissements!$E$19*(1+Hypotheses!$D$60)*Hypotheses!$D$69*(1-Hypotheses!$D$70))),0)</f>
        <v>-466954.830347362</v>
      </c>
      <c r="AB40" s="27" t="n">
        <f aca="false">IF(AB3&lt;=Hypotheses!$D$72,PMT(Hypotheses!$D$71/12,Hypotheses!$D$72,(Investissements!$E$19*(1+Hypotheses!$D$60)*Hypotheses!$D$69*(1-Hypotheses!$D$70))),0)</f>
        <v>-466954.830347362</v>
      </c>
      <c r="AC40" s="27" t="n">
        <f aca="false">IF(AC3&lt;=Hypotheses!$D$72,PMT(Hypotheses!$D$71/12,Hypotheses!$D$72,(Investissements!$E$19*(1+Hypotheses!$D$60)*Hypotheses!$D$69*(1-Hypotheses!$D$70))),0)</f>
        <v>-466954.830347362</v>
      </c>
      <c r="AD40" s="27" t="n">
        <f aca="false">IF(AD3&lt;=Hypotheses!$D$72,PMT(Hypotheses!$D$71/12,Hypotheses!$D$72,(Investissements!$E$19*(1+Hypotheses!$D$60)*Hypotheses!$D$69*(1-Hypotheses!$D$70))),0)</f>
        <v>-466954.830347362</v>
      </c>
      <c r="AE40" s="27" t="n">
        <f aca="false">IF(AE3&lt;=Hypotheses!$D$72,PMT(Hypotheses!$D$71/12,Hypotheses!$D$72,(Investissements!$E$19*(1+Hypotheses!$D$60)*Hypotheses!$D$69*(1-Hypotheses!$D$70))),0)</f>
        <v>-466954.830347362</v>
      </c>
      <c r="AF40" s="27" t="n">
        <f aca="false">IF(AF3&lt;=Hypotheses!$D$72,PMT(Hypotheses!$D$71/12,Hypotheses!$D$72,(Investissements!$E$19*(1+Hypotheses!$D$60)*Hypotheses!$D$69*(1-Hypotheses!$D$70))),0)</f>
        <v>-466954.830347362</v>
      </c>
      <c r="AG40" s="27" t="n">
        <f aca="false">IF(AG3&lt;=Hypotheses!$D$72,PMT(Hypotheses!$D$71/12,Hypotheses!$D$72,(Investissements!$E$19*(1+Hypotheses!$D$60)*Hypotheses!$D$69*(1-Hypotheses!$D$70))),0)</f>
        <v>-466954.830347362</v>
      </c>
      <c r="AH40" s="27" t="n">
        <f aca="false">IF(AH3&lt;=Hypotheses!$D$72,PMT(Hypotheses!$D$71/12,Hypotheses!$D$72,(Investissements!$E$19*(1+Hypotheses!$D$60)*Hypotheses!$D$69*(1-Hypotheses!$D$70))),0)</f>
        <v>-466954.830347362</v>
      </c>
      <c r="AI40" s="27" t="n">
        <f aca="false">IF(AI3&lt;=Hypotheses!$D$72,PMT(Hypotheses!$D$71/12,Hypotheses!$D$72,(Investissements!$E$19*(1+Hypotheses!$D$60)*Hypotheses!$D$69*(1-Hypotheses!$D$70))),0)</f>
        <v>-466954.830347362</v>
      </c>
      <c r="AJ40" s="27" t="n">
        <f aca="false">IF(AJ3&lt;=Hypotheses!$D$72,PMT(Hypotheses!$D$71/12,Hypotheses!$D$72,(Investissements!$E$19*(1+Hypotheses!$D$60)*Hypotheses!$D$69*(1-Hypotheses!$D$70))),0)</f>
        <v>-466954.830347362</v>
      </c>
      <c r="AK40" s="27" t="n">
        <f aca="false">IF(AK3&lt;=Hypotheses!$D$72,PMT(Hypotheses!$D$71/12,Hypotheses!$D$72,(Investissements!$E$19*(1+Hypotheses!$D$60)*Hypotheses!$D$69*(1-Hypotheses!$D$70))),0)</f>
        <v>-466954.830347362</v>
      </c>
      <c r="AL40" s="27" t="n">
        <f aca="false">IF(AL3&lt;=Hypotheses!$D$72,PMT(Hypotheses!$D$71/12,Hypotheses!$D$72,(Investissements!$E$19*(1+Hypotheses!$D$60)*Hypotheses!$D$69*(1-Hypotheses!$D$70))),0)</f>
        <v>-466954.830347362</v>
      </c>
      <c r="AM40" s="27" t="n">
        <f aca="false">IF(AM3&lt;=Hypotheses!$D$72,PMT(Hypotheses!$D$71/12,Hypotheses!$D$72,(Investissements!$E$19*(1+Hypotheses!$D$60)*Hypotheses!$D$69*(1-Hypotheses!$D$70))),0)</f>
        <v>-466954.830347362</v>
      </c>
      <c r="AN40" s="27" t="n">
        <f aca="false">IF(AN3&lt;=Hypotheses!$D$72,PMT(Hypotheses!$D$71/12,Hypotheses!$D$72,(Investissements!$E$19*(1+Hypotheses!$D$60)*Hypotheses!$D$69*(1-Hypotheses!$D$70))),0)</f>
        <v>-466954.830347362</v>
      </c>
      <c r="AO40" s="27" t="n">
        <f aca="false">IF(AO3&lt;=Hypotheses!$D$72,PMT(Hypotheses!$D$71/12,Hypotheses!$D$72,(Investissements!$E$19*(1+Hypotheses!$D$60)*Hypotheses!$D$69*(1-Hypotheses!$D$70))),0)</f>
        <v>-466954.830347362</v>
      </c>
      <c r="AP40" s="27" t="n">
        <f aca="false">IF(AP3&lt;=Hypotheses!$D$72,PMT(Hypotheses!$D$71/12,Hypotheses!$D$72,(Investissements!$E$19*(1+Hypotheses!$D$60)*Hypotheses!$D$69*(1-Hypotheses!$D$70))),0)</f>
        <v>-466954.830347362</v>
      </c>
      <c r="AQ40" s="27" t="n">
        <f aca="false">IF(AQ3&lt;=Hypotheses!$D$72,PMT(Hypotheses!$D$71/12,Hypotheses!$D$72,(Investissements!$E$19*(1+Hypotheses!$D$60)*Hypotheses!$D$69*(1-Hypotheses!$D$70))),0)</f>
        <v>-466954.830347362</v>
      </c>
      <c r="AR40" s="27" t="n">
        <f aca="false">IF(AR3&lt;=Hypotheses!$D$72,PMT(Hypotheses!$D$71/12,Hypotheses!$D$72,(Investissements!$E$19*(1+Hypotheses!$D$60)*Hypotheses!$D$69*(1-Hypotheses!$D$70))),0)</f>
        <v>-466954.830347362</v>
      </c>
      <c r="AS40" s="27" t="n">
        <f aca="false">IF(AS3&lt;=Hypotheses!$D$72,PMT(Hypotheses!$D$71/12,Hypotheses!$D$72,(Investissements!$E$19*(1+Hypotheses!$D$60)*Hypotheses!$D$69*(1-Hypotheses!$D$70))),0)</f>
        <v>-466954.830347362</v>
      </c>
      <c r="AT40" s="27" t="n">
        <f aca="false">IF(AT3&lt;=Hypotheses!$D$72,PMT(Hypotheses!$D$71/12,Hypotheses!$D$72,(Investissements!$E$19*(1+Hypotheses!$D$60)*Hypotheses!$D$69*(1-Hypotheses!$D$70))),0)</f>
        <v>-466954.830347362</v>
      </c>
      <c r="AU40" s="27" t="n">
        <f aca="false">IF(AU3&lt;=Hypotheses!$D$72,PMT(Hypotheses!$D$71/12,Hypotheses!$D$72,(Investissements!$E$19*(1+Hypotheses!$D$60)*Hypotheses!$D$69*(1-Hypotheses!$D$70))),0)</f>
        <v>-466954.830347362</v>
      </c>
      <c r="AV40" s="27" t="n">
        <f aca="false">IF(AV3&lt;=Hypotheses!$D$72,PMT(Hypotheses!$D$71/12,Hypotheses!$D$72,(Investissements!$E$19*(1+Hypotheses!$D$60)*Hypotheses!$D$69*(1-Hypotheses!$D$70))),0)</f>
        <v>-466954.830347362</v>
      </c>
      <c r="AW40" s="27" t="n">
        <f aca="false">IF(AW3&lt;=Hypotheses!$D$72,PMT(Hypotheses!$D$71/12,Hypotheses!$D$72,(Investissements!$E$19*(1+Hypotheses!$D$60)*Hypotheses!$D$69*(1-Hypotheses!$D$70))),0)</f>
        <v>-466954.830347362</v>
      </c>
      <c r="AX40" s="27" t="n">
        <f aca="false">IF(AX3&lt;=Hypotheses!$D$72,PMT(Hypotheses!$D$71/12,Hypotheses!$D$72,(Investissements!$E$19*(1+Hypotheses!$D$60)*Hypotheses!$D$69*(1-Hypotheses!$D$70))),0)</f>
        <v>-466954.830347362</v>
      </c>
      <c r="AY40" s="27" t="n">
        <f aca="false">IF(AY3&lt;=Hypotheses!$D$72,PMT(Hypotheses!$D$71/12,Hypotheses!$D$72,(Investissements!$E$19*(1+Hypotheses!$D$60)*Hypotheses!$D$69*(1-Hypotheses!$D$70))),0)</f>
        <v>-466954.830347362</v>
      </c>
      <c r="AZ40" s="27" t="n">
        <f aca="false">IF(AZ3&lt;=Hypotheses!$D$72,PMT(Hypotheses!$D$71/12,Hypotheses!$D$72,(Investissements!$E$19*(1+Hypotheses!$D$60)*Hypotheses!$D$69*(1-Hypotheses!$D$70))),0)</f>
        <v>-466954.830347362</v>
      </c>
      <c r="BA40" s="27" t="n">
        <f aca="false">IF(BA3&lt;=Hypotheses!$D$72,PMT(Hypotheses!$D$71/12,Hypotheses!$D$72,(Investissements!$E$19*(1+Hypotheses!$D$60)*Hypotheses!$D$69*(1-Hypotheses!$D$70))),0)</f>
        <v>0</v>
      </c>
      <c r="BB40" s="27" t="n">
        <f aca="false">IF(BB3&lt;=Hypotheses!$D$72,PMT(Hypotheses!$D$71/12,Hypotheses!$D$72,(Investissements!$E$19*(1+Hypotheses!$D$60)*Hypotheses!$D$69*(1-Hypotheses!$D$70))),0)</f>
        <v>0</v>
      </c>
      <c r="BC40" s="27" t="n">
        <f aca="false">IF(BC3&lt;=Hypotheses!$D$72,PMT(Hypotheses!$D$71/12,Hypotheses!$D$72,(Investissements!$E$19*(1+Hypotheses!$D$60)*Hypotheses!$D$69*(1-Hypotheses!$D$70))),0)</f>
        <v>0</v>
      </c>
      <c r="BD40" s="27" t="n">
        <f aca="false">IF(BD3&lt;=Hypotheses!$D$72,PMT(Hypotheses!$D$71/12,Hypotheses!$D$72,(Investissements!$E$19*(1+Hypotheses!$D$60)*Hypotheses!$D$69*(1-Hypotheses!$D$70))),0)</f>
        <v>0</v>
      </c>
      <c r="BE40" s="27" t="n">
        <f aca="false">IF(BE3&lt;=Hypotheses!$D$72,PMT(Hypotheses!$D$71/12,Hypotheses!$D$72,(Investissements!$E$19*(1+Hypotheses!$D$60)*Hypotheses!$D$69*(1-Hypotheses!$D$70))),0)</f>
        <v>0</v>
      </c>
      <c r="BF40" s="27" t="n">
        <f aca="false">IF(BF3&lt;=Hypotheses!$D$72,PMT(Hypotheses!$D$71/12,Hypotheses!$D$72,(Investissements!$E$19*(1+Hypotheses!$D$60)*Hypotheses!$D$69*(1-Hypotheses!$D$70))),0)</f>
        <v>0</v>
      </c>
      <c r="BG40" s="27" t="n">
        <f aca="false">IF(BG3&lt;=Hypotheses!$D$72,PMT(Hypotheses!$D$71/12,Hypotheses!$D$72,(Investissements!$E$19*(1+Hypotheses!$D$60)*Hypotheses!$D$69*(1-Hypotheses!$D$70))),0)</f>
        <v>0</v>
      </c>
      <c r="BH40" s="27" t="n">
        <f aca="false">IF(BH3&lt;=Hypotheses!$D$72,PMT(Hypotheses!$D$71/12,Hypotheses!$D$72,(Investissements!$E$19*(1+Hypotheses!$D$60)*Hypotheses!$D$69*(1-Hypotheses!$D$70))),0)</f>
        <v>0</v>
      </c>
      <c r="BI40" s="27" t="n">
        <f aca="false">IF(BI3&lt;=Hypotheses!$D$72,PMT(Hypotheses!$D$71/12,Hypotheses!$D$72,(Investissements!$E$19*(1+Hypotheses!$D$60)*Hypotheses!$D$69*(1-Hypotheses!$D$70))),0)</f>
        <v>0</v>
      </c>
      <c r="BJ40" s="27" t="n">
        <f aca="false">IF(BJ3&lt;=Hypotheses!$D$72,PMT(Hypotheses!$D$71/12,Hypotheses!$D$72,(Investissements!$E$19*(1+Hypotheses!$D$60)*Hypotheses!$D$69*(1-Hypotheses!$D$70))),0)</f>
        <v>0</v>
      </c>
      <c r="BK40" s="27" t="n">
        <f aca="false">IF(BK3&lt;=Hypotheses!$D$72,PMT(Hypotheses!$D$71/12,Hypotheses!$D$72,(Investissements!$E$19*(1+Hypotheses!$D$60)*Hypotheses!$D$69*(1-Hypotheses!$D$70))),0)</f>
        <v>0</v>
      </c>
      <c r="BL40" s="27" t="n">
        <f aca="false">IF(BL3&lt;=Hypotheses!$D$72,PMT(Hypotheses!$D$71/12,Hypotheses!$D$72,(Investissements!$E$19*(1+Hypotheses!$D$60)*Hypotheses!$D$69*(1-Hypotheses!$D$70))),0)</f>
        <v>0</v>
      </c>
    </row>
    <row r="41" customFormat="false" ht="15" hidden="false" customHeight="false" outlineLevel="0" collapsed="false">
      <c r="B41" s="2" t="s">
        <v>295</v>
      </c>
      <c r="C41" s="2" t="s">
        <v>141</v>
      </c>
      <c r="D41" s="27" t="n">
        <f aca="false">(Investissements!$E$19*(1+Hypotheses!$D$60)*Hypotheses!$D$69*(1-Hypotheses!$D$70))</f>
        <v>17088000</v>
      </c>
      <c r="E41" s="27" t="n">
        <f aca="false">IF(E3&lt;=Hypotheses!$D$72,D41*(1+Hypotheses!$D$71/12)+E40,0)</f>
        <v>16820405.1696526</v>
      </c>
      <c r="F41" s="27" t="n">
        <f aca="false">IF(F3&lt;=Hypotheses!$D$72,E41*(1+Hypotheses!$D$71/12)+F40,0)</f>
        <v>16549688.3996179</v>
      </c>
      <c r="G41" s="27" t="n">
        <f aca="false">IF(G3&lt;=Hypotheses!$D$72,F41*(1+Hypotheses!$D$71/12)+G40,0)</f>
        <v>16275813.2672661</v>
      </c>
      <c r="H41" s="27" t="n">
        <f aca="false">IF(H3&lt;=Hypotheses!$D$72,G41*(1+Hypotheses!$D$71/12)+H40,0)</f>
        <v>15998742.9250368</v>
      </c>
      <c r="I41" s="27" t="n">
        <f aca="false">IF(I3&lt;=Hypotheses!$D$72,H41*(1+Hypotheses!$D$71/12)+I40,0)</f>
        <v>15718440.0954816</v>
      </c>
      <c r="J41" s="27" t="n">
        <f aca="false">IF(J3&lt;=Hypotheses!$D$72,I41*(1+Hypotheses!$D$71/12)+J40,0)</f>
        <v>15434867.0662481</v>
      </c>
      <c r="K41" s="27" t="n">
        <f aca="false">IF(K3&lt;=Hypotheses!$D$72,J41*(1+Hypotheses!$D$71/12)+K40,0)</f>
        <v>15147985.685007</v>
      </c>
      <c r="L41" s="27" t="n">
        <f aca="false">IF(L3&lt;=Hypotheses!$D$72,K41*(1+Hypotheses!$D$71/12)+L40,0)</f>
        <v>14857757.3543181</v>
      </c>
      <c r="M41" s="27" t="n">
        <f aca="false">IF(M3&lt;=Hypotheses!$D$72,L41*(1+Hypotheses!$D$71/12)+M40,0)</f>
        <v>14564143.0264378</v>
      </c>
      <c r="N41" s="27" t="n">
        <f aca="false">IF(N3&lt;=Hypotheses!$D$72,M41*(1+Hypotheses!$D$71/12)+N40,0)</f>
        <v>14267103.1980655</v>
      </c>
      <c r="O41" s="27" t="n">
        <f aca="false">IF(O3&lt;=Hypotheses!$D$72,N41*(1+Hypotheses!$D$71/12)+O40,0)</f>
        <v>13966597.9050289</v>
      </c>
      <c r="P41" s="27" t="n">
        <f aca="false">IF(P3&lt;=Hypotheses!$D$72,O41*(1+Hypotheses!$D$71/12)+P40,0)</f>
        <v>13662586.7169069</v>
      </c>
      <c r="Q41" s="27" t="n">
        <f aca="false">IF(Q3&lt;=Hypotheses!$D$72,P41*(1+Hypotheses!$D$71/12)+Q40,0)</f>
        <v>13355028.7315901</v>
      </c>
      <c r="R41" s="27" t="n">
        <f aca="false">IF(R3&lt;=Hypotheses!$D$72,Q41*(1+Hypotheses!$D$71/12)+R40,0)</f>
        <v>13043882.569778</v>
      </c>
      <c r="S41" s="27" t="n">
        <f aca="false">IF(S3&lt;=Hypotheses!$D$72,R41*(1+Hypotheses!$D$71/12)+S40,0)</f>
        <v>12729106.3694113</v>
      </c>
      <c r="T41" s="27" t="n">
        <f aca="false">IF(T3&lt;=Hypotheses!$D$72,S41*(1+Hypotheses!$D$71/12)+T40,0)</f>
        <v>12410657.7800404</v>
      </c>
      <c r="U41" s="27" t="n">
        <f aca="false">IF(U3&lt;=Hypotheses!$D$72,T41*(1+Hypotheses!$D$71/12)+U40,0)</f>
        <v>12088493.9571269</v>
      </c>
      <c r="V41" s="27" t="n">
        <f aca="false">IF(V3&lt;=Hypotheses!$D$72,U41*(1+Hypotheses!$D$71/12)+V40,0)</f>
        <v>11762571.5562793</v>
      </c>
      <c r="W41" s="27" t="n">
        <f aca="false">IF(W3&lt;=Hypotheses!$D$72,V41*(1+Hypotheses!$D$71/12)+W40,0)</f>
        <v>11432846.7274219</v>
      </c>
      <c r="X41" s="27" t="n">
        <f aca="false">IF(X3&lt;=Hypotheses!$D$72,W41*(1+Hypotheses!$D$71/12)+X40,0)</f>
        <v>11099275.1088945</v>
      </c>
      <c r="Y41" s="27" t="n">
        <f aca="false">IF(Y3&lt;=Hypotheses!$D$72,X41*(1+Hypotheses!$D$71/12)+Y40,0)</f>
        <v>10761811.8214842</v>
      </c>
      <c r="Z41" s="27" t="n">
        <f aca="false">IF(Z3&lt;=Hypotheses!$D$72,Y41*(1+Hypotheses!$D$71/12)+Z40,0)</f>
        <v>10420411.4623875</v>
      </c>
      <c r="AA41" s="27" t="n">
        <f aca="false">IF(AA3&lt;=Hypotheses!$D$72,Z41*(1+Hypotheses!$D$71/12)+AA40,0)</f>
        <v>10075028.0991013</v>
      </c>
      <c r="AB41" s="27" t="n">
        <f aca="false">IF(AB3&lt;=Hypotheses!$D$72,AA41*(1+Hypotheses!$D$71/12)+AB40,0)</f>
        <v>9725615.26324348</v>
      </c>
      <c r="AC41" s="27" t="n">
        <f aca="false">IF(AC3&lt;=Hypotheses!$D$72,AB41*(1+Hypotheses!$D$71/12)+AC40,0)</f>
        <v>9372125.94430062</v>
      </c>
      <c r="AD41" s="27" t="n">
        <f aca="false">IF(AD3&lt;=Hypotheses!$D$72,AC41*(1+Hypotheses!$D$71/12)+AD40,0)</f>
        <v>9014512.58330344</v>
      </c>
      <c r="AE41" s="27" t="n">
        <f aca="false">IF(AE3&lt;=Hypotheses!$D$72,AD41*(1+Hypotheses!$D$71/12)+AE40,0)</f>
        <v>8652727.06642795</v>
      </c>
      <c r="AF41" s="27" t="n">
        <f aca="false">IF(AF3&lt;=Hypotheses!$D$72,AE41*(1+Hypotheses!$D$71/12)+AF40,0)</f>
        <v>8286720.71852225</v>
      </c>
      <c r="AG41" s="27" t="n">
        <f aca="false">IF(AG3&lt;=Hypotheses!$D$72,AF41*(1+Hypotheses!$D$71/12)+AG40,0)</f>
        <v>7916444.29655765</v>
      </c>
      <c r="AH41" s="27" t="n">
        <f aca="false">IF(AH3&lt;=Hypotheses!$D$72,AG41*(1+Hypotheses!$D$71/12)+AH40,0)</f>
        <v>7541847.98300346</v>
      </c>
      <c r="AI41" s="27" t="n">
        <f aca="false">IF(AI3&lt;=Hypotheses!$D$72,AH41*(1+Hypotheses!$D$71/12)+AI40,0)</f>
        <v>7162881.37912447</v>
      </c>
      <c r="AJ41" s="27" t="n">
        <f aca="false">IF(AJ3&lt;=Hypotheses!$D$72,AI41*(1+Hypotheses!$D$71/12)+AJ40,0)</f>
        <v>6779493.49820023</v>
      </c>
      <c r="AK41" s="27" t="n">
        <f aca="false">IF(AK3&lt;=Hypotheses!$D$72,AJ41*(1+Hypotheses!$D$71/12)+AK40,0)</f>
        <v>6391632.7586652</v>
      </c>
      <c r="AL41" s="27" t="n">
        <f aca="false">IF(AL3&lt;=Hypotheses!$D$72,AK41*(1+Hypotheses!$D$71/12)+AL40,0)</f>
        <v>5999246.97716894</v>
      </c>
      <c r="AM41" s="27" t="n">
        <f aca="false">IF(AM3&lt;=Hypotheses!$D$72,AL41*(1+Hypotheses!$D$71/12)+AM40,0)</f>
        <v>5602283.36155521</v>
      </c>
      <c r="AN41" s="27" t="n">
        <f aca="false">IF(AN3&lt;=Hypotheses!$D$72,AM41*(1+Hypotheses!$D$71/12)+AN40,0)</f>
        <v>5200688.50375933</v>
      </c>
      <c r="AO41" s="27" t="n">
        <f aca="false">IF(AO3&lt;=Hypotheses!$D$72,AN41*(1+Hypotheses!$D$71/12)+AO40,0)</f>
        <v>4794408.37262249</v>
      </c>
      <c r="AP41" s="27" t="n">
        <f aca="false">IF(AP3&lt;=Hypotheses!$D$72,AO41*(1+Hypotheses!$D$71/12)+AP40,0)</f>
        <v>4383388.3066224</v>
      </c>
      <c r="AQ41" s="27" t="n">
        <f aca="false">IF(AQ3&lt;=Hypotheses!$D$72,AP41*(1+Hypotheses!$D$71/12)+AQ40,0)</f>
        <v>3967573.00651896</v>
      </c>
      <c r="AR41" s="27" t="n">
        <f aca="false">IF(AR3&lt;=Hypotheses!$D$72,AQ41*(1+Hypotheses!$D$71/12)+AR40,0)</f>
        <v>3546906.52791432</v>
      </c>
      <c r="AS41" s="27" t="n">
        <f aca="false">IF(AS3&lt;=Hypotheses!$D$72,AR41*(1+Hypotheses!$D$71/12)+AS40,0)</f>
        <v>3121332.27372596</v>
      </c>
      <c r="AT41" s="27" t="n">
        <f aca="false">IF(AT3&lt;=Hypotheses!$D$72,AS41*(1+Hypotheses!$D$71/12)+AT40,0)</f>
        <v>2690792.98657207</v>
      </c>
      <c r="AU41" s="27" t="n">
        <f aca="false">IF(AU3&lt;=Hypotheses!$D$72,AT41*(1+Hypotheses!$D$71/12)+AU40,0)</f>
        <v>2255230.74106805</v>
      </c>
      <c r="AV41" s="27" t="n">
        <f aca="false">IF(AV3&lt;=Hypotheses!$D$72,AU41*(1+Hypotheses!$D$71/12)+AV40,0)</f>
        <v>1814586.93603315</v>
      </c>
      <c r="AW41" s="27" t="n">
        <f aca="false">IF(AW3&lt;=Hypotheses!$D$72,AV41*(1+Hypotheses!$D$71/12)+AW40,0)</f>
        <v>1368802.28660617</v>
      </c>
      <c r="AX41" s="27" t="n">
        <f aca="false">IF(AX3&lt;=Hypotheses!$D$72,AW41*(1+Hypotheses!$D$71/12)+AX40,0)</f>
        <v>917816.816269217</v>
      </c>
      <c r="AY41" s="27" t="n">
        <f aca="false">IF(AY3&lt;=Hypotheses!$D$72,AX41*(1+Hypotheses!$D$71/12)+AY40,0)</f>
        <v>461569.84877833</v>
      </c>
      <c r="AZ41" s="27" t="n">
        <f aca="false">IF(AZ3&lt;=Hypotheses!$D$72,AY41*(1+Hypotheses!$D$71/12)+AZ40,0)</f>
        <v>4.88362275063992E-008</v>
      </c>
      <c r="BA41" s="27" t="n">
        <f aca="false">IF(BA3&lt;=Hypotheses!$D$72,AZ41*(1+Hypotheses!$D$71/12)+BA40,0)</f>
        <v>0</v>
      </c>
      <c r="BB41" s="27" t="n">
        <f aca="false">IF(BB3&lt;=Hypotheses!$D$72,BA41*(1+Hypotheses!$D$71/12)+BB40,0)</f>
        <v>0</v>
      </c>
      <c r="BC41" s="27" t="n">
        <f aca="false">IF(BC3&lt;=Hypotheses!$D$72,BB41*(1+Hypotheses!$D$71/12)+BC40,0)</f>
        <v>0</v>
      </c>
      <c r="BD41" s="27" t="n">
        <f aca="false">IF(BD3&lt;=Hypotheses!$D$72,BC41*(1+Hypotheses!$D$71/12)+BD40,0)</f>
        <v>0</v>
      </c>
      <c r="BE41" s="27" t="n">
        <f aca="false">IF(BE3&lt;=Hypotheses!$D$72,BD41*(1+Hypotheses!$D$71/12)+BE40,0)</f>
        <v>0</v>
      </c>
      <c r="BF41" s="27" t="n">
        <f aca="false">IF(BF3&lt;=Hypotheses!$D$72,BE41*(1+Hypotheses!$D$71/12)+BF40,0)</f>
        <v>0</v>
      </c>
      <c r="BG41" s="27" t="n">
        <f aca="false">IF(BG3&lt;=Hypotheses!$D$72,BF41*(1+Hypotheses!$D$71/12)+BG40,0)</f>
        <v>0</v>
      </c>
      <c r="BH41" s="27" t="n">
        <f aca="false">IF(BH3&lt;=Hypotheses!$D$72,BG41*(1+Hypotheses!$D$71/12)+BH40,0)</f>
        <v>0</v>
      </c>
      <c r="BI41" s="27" t="n">
        <f aca="false">IF(BI3&lt;=Hypotheses!$D$72,BH41*(1+Hypotheses!$D$71/12)+BI40,0)</f>
        <v>0</v>
      </c>
      <c r="BJ41" s="27" t="n">
        <f aca="false">IF(BJ3&lt;=Hypotheses!$D$72,BI41*(1+Hypotheses!$D$71/12)+BJ40,0)</f>
        <v>0</v>
      </c>
      <c r="BK41" s="27" t="n">
        <f aca="false">IF(BK3&lt;=Hypotheses!$D$72,BJ41*(1+Hypotheses!$D$71/12)+BK40,0)</f>
        <v>0</v>
      </c>
      <c r="BL41" s="27" t="n">
        <f aca="false">IF(BL3&lt;=Hypotheses!$D$72,BK41*(1+Hypotheses!$D$71/12)+BL40,0)</f>
        <v>0</v>
      </c>
    </row>
    <row r="42" customFormat="false" ht="15" hidden="false" customHeight="false" outlineLevel="0" collapsed="false">
      <c r="B42" s="2" t="s">
        <v>296</v>
      </c>
      <c r="C42" s="2" t="s">
        <v>141</v>
      </c>
      <c r="E42" s="27" t="n">
        <f aca="false">IF(E3&lt;=Hypotheses!$D$72,-D41*Hypotheses!$D$71/12,0)</f>
        <v>-199360</v>
      </c>
      <c r="F42" s="27" t="n">
        <f aca="false">IF(F3&lt;=Hypotheses!$D$72,-E41*Hypotheses!$D$71/12,0)</f>
        <v>-196238.060312614</v>
      </c>
      <c r="G42" s="27" t="n">
        <f aca="false">IF(G3&lt;=Hypotheses!$D$72,-F41*Hypotheses!$D$71/12,0)</f>
        <v>-193079.697995542</v>
      </c>
      <c r="H42" s="27" t="n">
        <f aca="false">IF(H3&lt;=Hypotheses!$D$72,-G41*Hypotheses!$D$71/12,0)</f>
        <v>-189884.488118104</v>
      </c>
      <c r="I42" s="27" t="n">
        <f aca="false">IF(I3&lt;=Hypotheses!$D$72,-H41*Hypotheses!$D$71/12,0)</f>
        <v>-186652.000792096</v>
      </c>
      <c r="J42" s="27" t="n">
        <f aca="false">IF(J3&lt;=Hypotheses!$D$72,-I41*Hypotheses!$D$71/12,0)</f>
        <v>-183381.801113951</v>
      </c>
      <c r="K42" s="27" t="n">
        <f aca="false">IF(K3&lt;=Hypotheses!$D$72,-J41*Hypotheses!$D$71/12,0)</f>
        <v>-180073.449106228</v>
      </c>
      <c r="L42" s="27" t="n">
        <f aca="false">IF(L3&lt;=Hypotheses!$D$72,-K41*Hypotheses!$D$71/12,0)</f>
        <v>-176726.499658415</v>
      </c>
      <c r="M42" s="27" t="n">
        <f aca="false">IF(M3&lt;=Hypotheses!$D$72,-L41*Hypotheses!$D$71/12,0)</f>
        <v>-173340.502467044</v>
      </c>
      <c r="N42" s="27" t="n">
        <f aca="false">IF(N3&lt;=Hypotheses!$D$72,-M41*Hypotheses!$D$71/12,0)</f>
        <v>-169915.001975107</v>
      </c>
      <c r="O42" s="27" t="n">
        <f aca="false">IF(O3&lt;=Hypotheses!$D$72,-N41*Hypotheses!$D$71/12,0)</f>
        <v>-166449.537310764</v>
      </c>
      <c r="P42" s="27" t="n">
        <f aca="false">IF(P3&lt;=Hypotheses!$D$72,-O41*Hypotheses!$D$71/12,0)</f>
        <v>-162943.642225337</v>
      </c>
      <c r="Q42" s="27" t="n">
        <f aca="false">IF(Q3&lt;=Hypotheses!$D$72,-P41*Hypotheses!$D$71/12,0)</f>
        <v>-159396.84503058</v>
      </c>
      <c r="R42" s="27" t="n">
        <f aca="false">IF(R3&lt;=Hypotheses!$D$72,-Q41*Hypotheses!$D$71/12,0)</f>
        <v>-155808.668535218</v>
      </c>
      <c r="S42" s="27" t="n">
        <f aca="false">IF(S3&lt;=Hypotheses!$D$72,-R41*Hypotheses!$D$71/12,0)</f>
        <v>-152178.629980743</v>
      </c>
      <c r="T42" s="27" t="n">
        <f aca="false">IF(T3&lt;=Hypotheses!$D$72,-S41*Hypotheses!$D$71/12,0)</f>
        <v>-148506.240976466</v>
      </c>
      <c r="U42" s="27" t="n">
        <f aca="false">IF(U3&lt;=Hypotheses!$D$72,-T41*Hypotheses!$D$71/12,0)</f>
        <v>-144791.007433805</v>
      </c>
      <c r="V42" s="27" t="n">
        <f aca="false">IF(V3&lt;=Hypotheses!$D$72,-U41*Hypotheses!$D$71/12,0)</f>
        <v>-141032.429499814</v>
      </c>
      <c r="W42" s="27" t="n">
        <f aca="false">IF(W3&lt;=Hypotheses!$D$72,-V41*Hypotheses!$D$71/12,0)</f>
        <v>-137230.001489926</v>
      </c>
      <c r="X42" s="27" t="n">
        <f aca="false">IF(X3&lt;=Hypotheses!$D$72,-W41*Hypotheses!$D$71/12,0)</f>
        <v>-133383.211819922</v>
      </c>
      <c r="Y42" s="27" t="n">
        <f aca="false">IF(Y3&lt;=Hypotheses!$D$72,-X41*Hypotheses!$D$71/12,0)</f>
        <v>-129491.542937102</v>
      </c>
      <c r="Z42" s="27" t="n">
        <f aca="false">IF(Z3&lt;=Hypotheses!$D$72,-Y41*Hypotheses!$D$71/12,0)</f>
        <v>-125554.471250649</v>
      </c>
      <c r="AA42" s="27" t="n">
        <f aca="false">IF(AA3&lt;=Hypotheses!$D$72,-Z41*Hypotheses!$D$71/12,0)</f>
        <v>-121571.467061187</v>
      </c>
      <c r="AB42" s="27" t="n">
        <f aca="false">IF(AB3&lt;=Hypotheses!$D$72,-AA41*Hypotheses!$D$71/12,0)</f>
        <v>-117541.994489515</v>
      </c>
      <c r="AC42" s="27" t="n">
        <f aca="false">IF(AC3&lt;=Hypotheses!$D$72,-AB41*Hypotheses!$D$71/12,0)</f>
        <v>-113465.511404507</v>
      </c>
      <c r="AD42" s="27" t="n">
        <f aca="false">IF(AD3&lt;=Hypotheses!$D$72,-AC41*Hypotheses!$D$71/12,0)</f>
        <v>-109341.469350174</v>
      </c>
      <c r="AE42" s="27" t="n">
        <f aca="false">IF(AE3&lt;=Hypotheses!$D$72,-AD41*Hypotheses!$D$71/12,0)</f>
        <v>-105169.313471873</v>
      </c>
      <c r="AF42" s="27" t="n">
        <f aca="false">IF(AF3&lt;=Hypotheses!$D$72,-AE41*Hypotheses!$D$71/12,0)</f>
        <v>-100948.482441659</v>
      </c>
      <c r="AG42" s="27" t="n">
        <f aca="false">IF(AG3&lt;=Hypotheses!$D$72,-AF41*Hypotheses!$D$71/12,0)</f>
        <v>-96678.4083827596</v>
      </c>
      <c r="AH42" s="27" t="n">
        <f aca="false">IF(AH3&lt;=Hypotheses!$D$72,-AG41*Hypotheses!$D$71/12,0)</f>
        <v>-92358.5167931726</v>
      </c>
      <c r="AI42" s="27" t="n">
        <f aca="false">IF(AI3&lt;=Hypotheses!$D$72,-AH41*Hypotheses!$D$71/12,0)</f>
        <v>-87988.2264683737</v>
      </c>
      <c r="AJ42" s="27" t="n">
        <f aca="false">IF(AJ3&lt;=Hypotheses!$D$72,-AI41*Hypotheses!$D$71/12,0)</f>
        <v>-83566.9494231188</v>
      </c>
      <c r="AK42" s="27" t="n">
        <f aca="false">IF(AK3&lt;=Hypotheses!$D$72,-AJ41*Hypotheses!$D$71/12,0)</f>
        <v>-79094.090812336</v>
      </c>
      <c r="AL42" s="27" t="n">
        <f aca="false">IF(AL3&lt;=Hypotheses!$D$72,-AK41*Hypotheses!$D$71/12,0)</f>
        <v>-74569.0488510941</v>
      </c>
      <c r="AM42" s="27" t="n">
        <f aca="false">IF(AM3&lt;=Hypotheses!$D$72,-AL41*Hypotheses!$D$71/12,0)</f>
        <v>-69991.2147336376</v>
      </c>
      <c r="AN42" s="27" t="n">
        <f aca="false">IF(AN3&lt;=Hypotheses!$D$72,-AM41*Hypotheses!$D$71/12,0)</f>
        <v>-65359.9725514775</v>
      </c>
      <c r="AO42" s="27" t="n">
        <f aca="false">IF(AO3&lt;=Hypotheses!$D$72,-AN41*Hypotheses!$D$71/12,0)</f>
        <v>-60674.6992105255</v>
      </c>
      <c r="AP42" s="27" t="n">
        <f aca="false">IF(AP3&lt;=Hypotheses!$D$72,-AO41*Hypotheses!$D$71/12,0)</f>
        <v>-55934.7643472624</v>
      </c>
      <c r="AQ42" s="27" t="n">
        <f aca="false">IF(AQ3&lt;=Hypotheses!$D$72,-AP41*Hypotheses!$D$71/12,0)</f>
        <v>-51139.530243928</v>
      </c>
      <c r="AR42" s="27" t="n">
        <f aca="false">IF(AR3&lt;=Hypotheses!$D$72,-AQ41*Hypotheses!$D$71/12,0)</f>
        <v>-46288.3517427212</v>
      </c>
      <c r="AS42" s="27" t="n">
        <f aca="false">IF(AS3&lt;=Hypotheses!$D$72,-AR41*Hypotheses!$D$71/12,0)</f>
        <v>-41380.5761590004</v>
      </c>
      <c r="AT42" s="27" t="n">
        <f aca="false">IF(AT3&lt;=Hypotheses!$D$72,-AS41*Hypotheses!$D$71/12,0)</f>
        <v>-36415.5431934696</v>
      </c>
      <c r="AU42" s="27" t="n">
        <f aca="false">IF(AU3&lt;=Hypotheses!$D$72,-AT41*Hypotheses!$D$71/12,0)</f>
        <v>-31392.5848433408</v>
      </c>
      <c r="AV42" s="27" t="n">
        <f aca="false">IF(AV3&lt;=Hypotheses!$D$72,-AU41*Hypotheses!$D$71/12,0)</f>
        <v>-26311.0253124606</v>
      </c>
      <c r="AW42" s="27" t="n">
        <f aca="false">IF(AW3&lt;=Hypotheses!$D$72,-AV41*Hypotheses!$D$71/12,0)</f>
        <v>-21170.1809203867</v>
      </c>
      <c r="AX42" s="27" t="n">
        <f aca="false">IF(AX3&lt;=Hypotheses!$D$72,-AW41*Hypotheses!$D$71/12,0)</f>
        <v>-15969.3600104054</v>
      </c>
      <c r="AY42" s="27" t="n">
        <f aca="false">IF(AY3&lt;=Hypotheses!$D$72,-AX41*Hypotheses!$D$71/12,0)</f>
        <v>-10707.8628564742</v>
      </c>
      <c r="AZ42" s="27" t="n">
        <f aca="false">IF(AZ3&lt;=Hypotheses!$D$72,-AY41*Hypotheses!$D$71/12,0)</f>
        <v>-5384.98156908051</v>
      </c>
      <c r="BA42" s="27" t="n">
        <f aca="false">IF(BA3&lt;=Hypotheses!$D$72,-AZ41*Hypotheses!$D$71/12,0)</f>
        <v>0</v>
      </c>
      <c r="BB42" s="27" t="n">
        <f aca="false">IF(BB3&lt;=Hypotheses!$D$72,-BA41*Hypotheses!$D$71/12,0)</f>
        <v>0</v>
      </c>
      <c r="BC42" s="27" t="n">
        <f aca="false">IF(BC3&lt;=Hypotheses!$D$72,-BB41*Hypotheses!$D$71/12,0)</f>
        <v>0</v>
      </c>
      <c r="BD42" s="27" t="n">
        <f aca="false">IF(BD3&lt;=Hypotheses!$D$72,-BC41*Hypotheses!$D$71/12,0)</f>
        <v>0</v>
      </c>
      <c r="BE42" s="27" t="n">
        <f aca="false">IF(BE3&lt;=Hypotheses!$D$72,-BD41*Hypotheses!$D$71/12,0)</f>
        <v>0</v>
      </c>
      <c r="BF42" s="27" t="n">
        <f aca="false">IF(BF3&lt;=Hypotheses!$D$72,-BE41*Hypotheses!$D$71/12,0)</f>
        <v>0</v>
      </c>
      <c r="BG42" s="27" t="n">
        <f aca="false">IF(BG3&lt;=Hypotheses!$D$72,-BF41*Hypotheses!$D$71/12,0)</f>
        <v>0</v>
      </c>
      <c r="BH42" s="27" t="n">
        <f aca="false">IF(BH3&lt;=Hypotheses!$D$72,-BG41*Hypotheses!$D$71/12,0)</f>
        <v>0</v>
      </c>
      <c r="BI42" s="27" t="n">
        <f aca="false">IF(BI3&lt;=Hypotheses!$D$72,-BH41*Hypotheses!$D$71/12,0)</f>
        <v>0</v>
      </c>
      <c r="BJ42" s="27" t="n">
        <f aca="false">IF(BJ3&lt;=Hypotheses!$D$72,-BI41*Hypotheses!$D$71/12,0)</f>
        <v>0</v>
      </c>
      <c r="BK42" s="27" t="n">
        <f aca="false">IF(BK3&lt;=Hypotheses!$D$72,-BJ41*Hypotheses!$D$71/12,0)</f>
        <v>0</v>
      </c>
      <c r="BL42" s="27" t="n">
        <f aca="false">IF(BL3&lt;=Hypotheses!$D$72,-BK41*Hypotheses!$D$71/12,0)</f>
        <v>0</v>
      </c>
    </row>
    <row r="43" customFormat="false" ht="15" hidden="false" customHeight="false" outlineLevel="0" collapsed="false">
      <c r="B43" s="3" t="s">
        <v>297</v>
      </c>
      <c r="C43" s="2" t="s">
        <v>141</v>
      </c>
      <c r="D43" s="28" t="n">
        <f aca="false">D29+D37</f>
        <v>-42652000</v>
      </c>
      <c r="E43" s="28" t="n">
        <f aca="false">E29+E36+E37+E38+E39+E40</f>
        <v>-3777727.69701403</v>
      </c>
      <c r="F43" s="28" t="n">
        <f aca="false">F29+F36+F37+F38+F39+F40</f>
        <v>-2928678.12192923</v>
      </c>
      <c r="G43" s="28" t="n">
        <f aca="false">G29+G36+G37+G38+G39+G40</f>
        <v>-2874777.22547533</v>
      </c>
      <c r="H43" s="28" t="n">
        <f aca="false">H29+H36+H37+H38+H39+H40</f>
        <v>-2820257.45760607</v>
      </c>
      <c r="I43" s="28" t="n">
        <f aca="false">I29+I36+I37+I38+I39+I40</f>
        <v>-2765118.81832146</v>
      </c>
      <c r="J43" s="28" t="n">
        <f aca="false">J29+J36+J37+J38+J39+J40</f>
        <v>-2709361.30762149</v>
      </c>
      <c r="K43" s="28" t="n">
        <f aca="false">K29+K36+K37+K38+K39+K40</f>
        <v>-2652984.92550617</v>
      </c>
      <c r="L43" s="28" t="n">
        <f aca="false">L29+L36+L37+L38+L39+L40</f>
        <v>-2595989.67197548</v>
      </c>
      <c r="M43" s="28" t="n">
        <f aca="false">M29+M36+M37+M38+M39+M40</f>
        <v>-2538375.54702945</v>
      </c>
      <c r="N43" s="28" t="n">
        <f aca="false">N29+N36+N37+N38+N39+N40</f>
        <v>-2480142.55066805</v>
      </c>
      <c r="O43" s="28" t="n">
        <f aca="false">O29+O36+O37+O38+O39+O40</f>
        <v>-2421290.6828913</v>
      </c>
      <c r="P43" s="28" t="n">
        <f aca="false">P29+P36+P37+P38+P39+P40</f>
        <v>-2361819.9436992</v>
      </c>
      <c r="Q43" s="28" t="n">
        <f aca="false">Q29+Q36+Q37+Q38+Q39+Q40</f>
        <v>-2801730.33309173</v>
      </c>
      <c r="R43" s="28" t="n">
        <f aca="false">R29+R36+R37+R38+R39+R40</f>
        <v>-2241021.85106891</v>
      </c>
      <c r="S43" s="28" t="n">
        <f aca="false">S29+S36+S37+S38+S39+S40</f>
        <v>-2179694.49763074</v>
      </c>
      <c r="T43" s="28" t="n">
        <f aca="false">T29+T36+T37+T38+T39+T40</f>
        <v>-2117748.27277721</v>
      </c>
      <c r="U43" s="28" t="n">
        <f aca="false">U29+U36+U37+U38+U39+U40</f>
        <v>-2055183.17650832</v>
      </c>
      <c r="V43" s="28" t="n">
        <f aca="false">V29+V36+V37+V38+V39+V40</f>
        <v>-1991999.20882408</v>
      </c>
      <c r="W43" s="28" t="n">
        <f aca="false">W29+W36+W37+W38+W39+W40</f>
        <v>-2226113.03639115</v>
      </c>
      <c r="X43" s="28" t="n">
        <f aca="false">X29+X36+X37+X38+X39+X40</f>
        <v>-2161691.32587619</v>
      </c>
      <c r="Y43" s="28" t="n">
        <f aca="false">Y29+Y36+Y37+Y38+Y39+Y40</f>
        <v>-2096650.74394588</v>
      </c>
      <c r="Z43" s="28" t="n">
        <f aca="false">Z29+Z36+Z37+Z38+Z39+Z40</f>
        <v>-2030991.29060021</v>
      </c>
      <c r="AA43" s="28" t="n">
        <f aca="false">AA29+AA36+AA37+AA38+AA39+AA40</f>
        <v>-1964712.96583919</v>
      </c>
      <c r="AB43" s="28" t="n">
        <f aca="false">AB29+AB36+AB37+AB38+AB39+AB40</f>
        <v>-1897815.76966281</v>
      </c>
      <c r="AC43" s="28" t="n">
        <f aca="false">AC29+AC36+AC37+AC38+AC39+AC40</f>
        <v>-2137339.3424041</v>
      </c>
      <c r="AD43" s="28" t="n">
        <f aca="false">AD29+AD36+AD37+AD38+AD39+AD40</f>
        <v>-1628640.76084381</v>
      </c>
      <c r="AE43" s="28" t="n">
        <f aca="false">AE29+AE36+AE37+AE38+AE39+AE40</f>
        <v>-1619942.17928353</v>
      </c>
      <c r="AF43" s="28" t="n">
        <f aca="false">AF29+AF36+AF37+AF38+AF39+AF40</f>
        <v>-1611243.59772325</v>
      </c>
      <c r="AG43" s="28" t="n">
        <f aca="false">AG29+AG36+AG37+AG38+AG39+AG40</f>
        <v>-1602545.01616296</v>
      </c>
      <c r="AH43" s="28" t="n">
        <f aca="false">AH29+AH36+AH37+AH38+AH39+AH40</f>
        <v>-1593846.43460268</v>
      </c>
      <c r="AI43" s="28" t="n">
        <f aca="false">AI29+AI36+AI37+AI38+AI39+AI40</f>
        <v>-1585147.8530424</v>
      </c>
      <c r="AJ43" s="28" t="n">
        <f aca="false">AJ29+AJ36+AJ37+AJ38+AJ39+AJ40</f>
        <v>-1576449.27148211</v>
      </c>
      <c r="AK43" s="28" t="n">
        <f aca="false">AK29+AK36+AK37+AK38+AK39+AK40</f>
        <v>-1567750.68992183</v>
      </c>
      <c r="AL43" s="28" t="n">
        <f aca="false">AL29+AL36+AL37+AL38+AL39+AL40</f>
        <v>-1559052.10836155</v>
      </c>
      <c r="AM43" s="28" t="n">
        <f aca="false">AM29+AM36+AM37+AM38+AM39+AM40</f>
        <v>-1550353.52680126</v>
      </c>
      <c r="AN43" s="28" t="n">
        <f aca="false">AN29+AN36+AN37+AN38+AN39+AN40</f>
        <v>-1541654.94524098</v>
      </c>
      <c r="AO43" s="28" t="n">
        <f aca="false">AO29+AO36+AO37+AO38+AO39+AO40</f>
        <v>-2032956.3636807</v>
      </c>
      <c r="AP43" s="28" t="n">
        <f aca="false">AP29+AP36+AP37+AP38+AP39+AP40</f>
        <v>-1524257.78212041</v>
      </c>
      <c r="AQ43" s="28" t="n">
        <f aca="false">AQ29+AQ36+AQ37+AQ38+AQ39+AQ40</f>
        <v>-1515559.20056013</v>
      </c>
      <c r="AR43" s="28" t="n">
        <f aca="false">AR29+AR36+AR37+AR38+AR39+AR40</f>
        <v>-1506860.61899984</v>
      </c>
      <c r="AS43" s="28" t="n">
        <f aca="false">AS29+AS36+AS37+AS38+AS39+AS40</f>
        <v>-1498162.03743956</v>
      </c>
      <c r="AT43" s="28" t="n">
        <f aca="false">AT29+AT36+AT37+AT38+AT39+AT40</f>
        <v>-1489463.45587928</v>
      </c>
      <c r="AU43" s="28" t="n">
        <f aca="false">AU29+AU36+AU37+AU38+AU39+AU40</f>
        <v>-1480764.87431899</v>
      </c>
      <c r="AV43" s="28" t="n">
        <f aca="false">AV29+AV36+AV37+AV38+AV39+AV40</f>
        <v>-1472066.29275871</v>
      </c>
      <c r="AW43" s="28" t="n">
        <f aca="false">AW29+AW36+AW37+AW38+AW39+AW40</f>
        <v>-1463367.71119843</v>
      </c>
      <c r="AX43" s="28" t="n">
        <f aca="false">AX29+AX36+AX37+AX38+AX39+AX40</f>
        <v>-1454669.12963814</v>
      </c>
      <c r="AY43" s="28" t="n">
        <f aca="false">AY29+AY36+AY37+AY38+AY39+AY40</f>
        <v>-1445970.54807786</v>
      </c>
      <c r="AZ43" s="28" t="n">
        <f aca="false">AZ29+AZ36+AZ37+AZ38+AZ39+AZ40</f>
        <v>-1437271.96651757</v>
      </c>
      <c r="BA43" s="28" t="n">
        <f aca="false">BA29+BA36+BA37+BA38+BA39+BA40</f>
        <v>-1399168.2</v>
      </c>
      <c r="BB43" s="28" t="n">
        <f aca="false">BB29+BB36+BB37+BB38+BB39+BB40</f>
        <v>-899168.2</v>
      </c>
      <c r="BC43" s="28" t="n">
        <f aca="false">BC29+BC36+BC37+BC38+BC39+BC40</f>
        <v>-899168.2</v>
      </c>
      <c r="BD43" s="28" t="n">
        <f aca="false">BD29+BD36+BD37+BD38+BD39+BD40</f>
        <v>-899168.2</v>
      </c>
      <c r="BE43" s="28" t="n">
        <f aca="false">BE29+BE36+BE37+BE38+BE39+BE40</f>
        <v>-899168.2</v>
      </c>
      <c r="BF43" s="28" t="n">
        <f aca="false">BF29+BF36+BF37+BF38+BF39+BF40</f>
        <v>-899168.2</v>
      </c>
      <c r="BG43" s="28" t="n">
        <f aca="false">BG29+BG36+BG37+BG38+BG39+BG40</f>
        <v>-899168.2</v>
      </c>
      <c r="BH43" s="28" t="n">
        <f aca="false">BH29+BH36+BH37+BH38+BH39+BH40</f>
        <v>-899168.2</v>
      </c>
      <c r="BI43" s="28" t="n">
        <f aca="false">BI29+BI36+BI37+BI38+BI39+BI40</f>
        <v>-899168.2</v>
      </c>
      <c r="BJ43" s="28" t="n">
        <f aca="false">BJ29+BJ36+BJ37+BJ38+BJ39+BJ40</f>
        <v>-899168.2</v>
      </c>
      <c r="BK43" s="28" t="n">
        <f aca="false">BK29+BK36+BK37+BK38+BK39+BK40</f>
        <v>-899168.2</v>
      </c>
      <c r="BL43" s="28" t="n">
        <f aca="false">BL29+BL36+BL37+BL38+BL39+BL40</f>
        <v>-899168.2</v>
      </c>
    </row>
    <row r="44" customFormat="false" ht="15" hidden="false" customHeight="false" outlineLevel="0" collapsed="false">
      <c r="B44" s="3" t="s">
        <v>298</v>
      </c>
      <c r="C44" s="2" t="s">
        <v>141</v>
      </c>
      <c r="D44" s="28" t="n">
        <f aca="false">D43</f>
        <v>-42652000</v>
      </c>
      <c r="E44" s="28" t="n">
        <f aca="false">D44+E43</f>
        <v>-46429727.697014</v>
      </c>
      <c r="F44" s="28" t="n">
        <f aca="false">E44+F43</f>
        <v>-49358405.8189433</v>
      </c>
      <c r="G44" s="28" t="n">
        <f aca="false">F44+G43</f>
        <v>-52233183.0444186</v>
      </c>
      <c r="H44" s="28" t="n">
        <f aca="false">G44+H43</f>
        <v>-55053440.5020247</v>
      </c>
      <c r="I44" s="28" t="n">
        <f aca="false">H44+I43</f>
        <v>-57818559.3203461</v>
      </c>
      <c r="J44" s="28" t="n">
        <f aca="false">I44+J43</f>
        <v>-60527920.6279676</v>
      </c>
      <c r="K44" s="28" t="n">
        <f aca="false">J44+K43</f>
        <v>-63180905.5534738</v>
      </c>
      <c r="L44" s="28" t="n">
        <f aca="false">K44+L43</f>
        <v>-65776895.2254493</v>
      </c>
      <c r="M44" s="28" t="n">
        <f aca="false">L44+M43</f>
        <v>-68315270.7724787</v>
      </c>
      <c r="N44" s="28" t="n">
        <f aca="false">M44+N43</f>
        <v>-70795413.3231468</v>
      </c>
      <c r="O44" s="28" t="n">
        <f aca="false">N44+O43</f>
        <v>-73216704.006038</v>
      </c>
      <c r="P44" s="28" t="n">
        <f aca="false">O44+P43</f>
        <v>-75578523.9497372</v>
      </c>
      <c r="Q44" s="28" t="n">
        <f aca="false">P44+Q43</f>
        <v>-78380254.282829</v>
      </c>
      <c r="R44" s="28" t="n">
        <f aca="false">Q44+R43</f>
        <v>-80621276.1338979</v>
      </c>
      <c r="S44" s="28" t="n">
        <f aca="false">R44+S43</f>
        <v>-82800970.6315286</v>
      </c>
      <c r="T44" s="28" t="n">
        <f aca="false">S44+T43</f>
        <v>-84918718.9043059</v>
      </c>
      <c r="U44" s="28" t="n">
        <f aca="false">T44+U43</f>
        <v>-86973902.0808142</v>
      </c>
      <c r="V44" s="28" t="n">
        <f aca="false">U44+V43</f>
        <v>-88965901.2896383</v>
      </c>
      <c r="W44" s="28" t="n">
        <f aca="false">V44+W43</f>
        <v>-91192014.3260294</v>
      </c>
      <c r="X44" s="28" t="n">
        <f aca="false">W44+X43</f>
        <v>-93353705.6519056</v>
      </c>
      <c r="Y44" s="28" t="n">
        <f aca="false">X44+Y43</f>
        <v>-95450356.3958515</v>
      </c>
      <c r="Z44" s="28" t="n">
        <f aca="false">Y44+Z43</f>
        <v>-97481347.6864517</v>
      </c>
      <c r="AA44" s="28" t="n">
        <f aca="false">Z44+AA43</f>
        <v>-99446060.6522909</v>
      </c>
      <c r="AB44" s="28" t="n">
        <f aca="false">AA44+AB43</f>
        <v>-101343876.421954</v>
      </c>
      <c r="AC44" s="28" t="n">
        <f aca="false">AB44+AC43</f>
        <v>-103481215.764358</v>
      </c>
      <c r="AD44" s="28" t="n">
        <f aca="false">AC44+AD43</f>
        <v>-105109856.525202</v>
      </c>
      <c r="AE44" s="28" t="n">
        <f aca="false">AD44+AE43</f>
        <v>-106729798.704485</v>
      </c>
      <c r="AF44" s="28" t="n">
        <f aca="false">AE44+AF43</f>
        <v>-108341042.302208</v>
      </c>
      <c r="AG44" s="28" t="n">
        <f aca="false">AF44+AG43</f>
        <v>-109943587.318371</v>
      </c>
      <c r="AH44" s="28" t="n">
        <f aca="false">AG44+AH43</f>
        <v>-111537433.752974</v>
      </c>
      <c r="AI44" s="28" t="n">
        <f aca="false">AH44+AI43</f>
        <v>-113122581.606016</v>
      </c>
      <c r="AJ44" s="28" t="n">
        <f aca="false">AI44+AJ43</f>
        <v>-114699030.877499</v>
      </c>
      <c r="AK44" s="28" t="n">
        <f aca="false">AJ44+AK43</f>
        <v>-116266781.56742</v>
      </c>
      <c r="AL44" s="28" t="n">
        <f aca="false">AK44+AL43</f>
        <v>-117825833.675782</v>
      </c>
      <c r="AM44" s="28" t="n">
        <f aca="false">AL44+AM43</f>
        <v>-119376187.202583</v>
      </c>
      <c r="AN44" s="28" t="n">
        <f aca="false">AM44+AN43</f>
        <v>-120917842.147824</v>
      </c>
      <c r="AO44" s="28" t="n">
        <f aca="false">AN44+AO43</f>
        <v>-122950798.511505</v>
      </c>
      <c r="AP44" s="28" t="n">
        <f aca="false">AO44+AP43</f>
        <v>-124475056.293625</v>
      </c>
      <c r="AQ44" s="28" t="n">
        <f aca="false">AP44+AQ43</f>
        <v>-125990615.494185</v>
      </c>
      <c r="AR44" s="28" t="n">
        <f aca="false">AQ44+AR43</f>
        <v>-127497476.113185</v>
      </c>
      <c r="AS44" s="28" t="n">
        <f aca="false">AR44+AS43</f>
        <v>-128995638.150625</v>
      </c>
      <c r="AT44" s="28" t="n">
        <f aca="false">AS44+AT43</f>
        <v>-130485101.606504</v>
      </c>
      <c r="AU44" s="28" t="n">
        <f aca="false">AT44+AU43</f>
        <v>-131965866.480823</v>
      </c>
      <c r="AV44" s="28" t="n">
        <f aca="false">AU44+AV43</f>
        <v>-133437932.773582</v>
      </c>
      <c r="AW44" s="28" t="n">
        <f aca="false">AV44+AW43</f>
        <v>-134901300.48478</v>
      </c>
      <c r="AX44" s="28" t="n">
        <f aca="false">AW44+AX43</f>
        <v>-136355969.614418</v>
      </c>
      <c r="AY44" s="28" t="n">
        <f aca="false">AX44+AY43</f>
        <v>-137801940.162496</v>
      </c>
      <c r="AZ44" s="28" t="n">
        <f aca="false">AY44+AZ43</f>
        <v>-139239212.129014</v>
      </c>
      <c r="BA44" s="28" t="n">
        <f aca="false">AZ44+BA43</f>
        <v>-140638380.329014</v>
      </c>
      <c r="BB44" s="28" t="n">
        <f aca="false">BA44+BB43</f>
        <v>-141537548.529014</v>
      </c>
      <c r="BC44" s="28" t="n">
        <f aca="false">BB44+BC43</f>
        <v>-142436716.729014</v>
      </c>
      <c r="BD44" s="28" t="n">
        <f aca="false">BC44+BD43</f>
        <v>-143335884.929014</v>
      </c>
      <c r="BE44" s="28" t="n">
        <f aca="false">BD44+BE43</f>
        <v>-144235053.129014</v>
      </c>
      <c r="BF44" s="28" t="n">
        <f aca="false">BE44+BF43</f>
        <v>-145134221.329014</v>
      </c>
      <c r="BG44" s="28" t="n">
        <f aca="false">BF44+BG43</f>
        <v>-146033389.529014</v>
      </c>
      <c r="BH44" s="28" t="n">
        <f aca="false">BG44+BH43</f>
        <v>-146932557.729014</v>
      </c>
      <c r="BI44" s="28" t="n">
        <f aca="false">BH44+BI43</f>
        <v>-147831725.929014</v>
      </c>
      <c r="BJ44" s="28" t="n">
        <f aca="false">BI44+BJ43</f>
        <v>-148730894.129014</v>
      </c>
      <c r="BK44" s="28" t="n">
        <f aca="false">BJ44+BK43</f>
        <v>-149630062.329014</v>
      </c>
      <c r="BL44" s="28" t="n">
        <f aca="false">BK44+BL43</f>
        <v>-150529230.529014</v>
      </c>
    </row>
    <row r="45" customFormat="false" ht="15" hidden="false" customHeight="false" outlineLevel="0" collapsed="false">
      <c r="B45" s="2" t="s">
        <v>299</v>
      </c>
      <c r="C45" s="2" t="s">
        <v>141</v>
      </c>
      <c r="D45" s="27" t="n">
        <f aca="false">Epargne!$G$130</f>
        <v>24366258.5</v>
      </c>
      <c r="E45" s="27" t="n">
        <f aca="false">0</f>
        <v>0</v>
      </c>
      <c r="F45" s="27" t="n">
        <f aca="false">0</f>
        <v>0</v>
      </c>
      <c r="G45" s="27" t="n">
        <f aca="false">0</f>
        <v>0</v>
      </c>
      <c r="H45" s="27" t="n">
        <f aca="false">0</f>
        <v>0</v>
      </c>
      <c r="I45" s="27" t="n">
        <f aca="false">0</f>
        <v>0</v>
      </c>
      <c r="J45" s="27" t="n">
        <f aca="false">0</f>
        <v>0</v>
      </c>
      <c r="K45" s="27" t="n">
        <f aca="false">0</f>
        <v>0</v>
      </c>
      <c r="L45" s="27" t="n">
        <f aca="false">0</f>
        <v>0</v>
      </c>
      <c r="M45" s="27" t="n">
        <f aca="false">0</f>
        <v>0</v>
      </c>
      <c r="N45" s="27" t="n">
        <f aca="false">0</f>
        <v>0</v>
      </c>
      <c r="O45" s="27" t="n">
        <f aca="false">0</f>
        <v>0</v>
      </c>
      <c r="P45" s="27" t="n">
        <f aca="false">0</f>
        <v>0</v>
      </c>
      <c r="Q45" s="27" t="n">
        <f aca="false">0</f>
        <v>0</v>
      </c>
      <c r="R45" s="27" t="n">
        <f aca="false">0</f>
        <v>0</v>
      </c>
      <c r="S45" s="27" t="n">
        <f aca="false">0</f>
        <v>0</v>
      </c>
      <c r="T45" s="27" t="n">
        <f aca="false">0</f>
        <v>0</v>
      </c>
      <c r="U45" s="27" t="n">
        <f aca="false">0</f>
        <v>0</v>
      </c>
      <c r="V45" s="27" t="n">
        <f aca="false">0</f>
        <v>0</v>
      </c>
      <c r="W45" s="27" t="n">
        <f aca="false">0</f>
        <v>0</v>
      </c>
      <c r="X45" s="27" t="n">
        <f aca="false">0</f>
        <v>0</v>
      </c>
      <c r="Y45" s="27" t="n">
        <f aca="false">0</f>
        <v>0</v>
      </c>
      <c r="Z45" s="27" t="n">
        <f aca="false">0</f>
        <v>0</v>
      </c>
      <c r="AA45" s="27" t="n">
        <f aca="false">0</f>
        <v>0</v>
      </c>
      <c r="AB45" s="27" t="n">
        <f aca="false">0</f>
        <v>0</v>
      </c>
      <c r="AC45" s="27" t="n">
        <f aca="false">0</f>
        <v>0</v>
      </c>
      <c r="AD45" s="27" t="n">
        <f aca="false">0</f>
        <v>0</v>
      </c>
      <c r="AE45" s="27" t="n">
        <f aca="false">0</f>
        <v>0</v>
      </c>
      <c r="AF45" s="27" t="n">
        <f aca="false">0</f>
        <v>0</v>
      </c>
      <c r="AG45" s="27" t="n">
        <f aca="false">0</f>
        <v>0</v>
      </c>
      <c r="AH45" s="27" t="n">
        <f aca="false">0</f>
        <v>0</v>
      </c>
      <c r="AI45" s="27" t="n">
        <f aca="false">0</f>
        <v>0</v>
      </c>
      <c r="AJ45" s="27" t="n">
        <f aca="false">0</f>
        <v>0</v>
      </c>
      <c r="AK45" s="27" t="n">
        <f aca="false">0</f>
        <v>0</v>
      </c>
      <c r="AL45" s="27" t="n">
        <f aca="false">0</f>
        <v>0</v>
      </c>
      <c r="AM45" s="27" t="n">
        <f aca="false">0</f>
        <v>0</v>
      </c>
      <c r="AN45" s="27" t="n">
        <f aca="false">0</f>
        <v>0</v>
      </c>
      <c r="AO45" s="27" t="n">
        <f aca="false">0</f>
        <v>0</v>
      </c>
      <c r="AP45" s="27" t="n">
        <f aca="false">0</f>
        <v>0</v>
      </c>
      <c r="AQ45" s="27" t="n">
        <f aca="false">0</f>
        <v>0</v>
      </c>
      <c r="AR45" s="27" t="n">
        <f aca="false">0</f>
        <v>0</v>
      </c>
      <c r="AS45" s="27" t="n">
        <f aca="false">0</f>
        <v>0</v>
      </c>
      <c r="AT45" s="27" t="n">
        <f aca="false">0</f>
        <v>0</v>
      </c>
      <c r="AU45" s="27" t="n">
        <f aca="false">0</f>
        <v>0</v>
      </c>
      <c r="AV45" s="27" t="n">
        <f aca="false">0</f>
        <v>0</v>
      </c>
      <c r="AW45" s="27" t="n">
        <f aca="false">0</f>
        <v>0</v>
      </c>
      <c r="AX45" s="27" t="n">
        <f aca="false">0</f>
        <v>0</v>
      </c>
      <c r="AY45" s="27" t="n">
        <f aca="false">0</f>
        <v>0</v>
      </c>
      <c r="AZ45" s="27" t="n">
        <f aca="false">0</f>
        <v>0</v>
      </c>
      <c r="BA45" s="27" t="n">
        <f aca="false">0</f>
        <v>0</v>
      </c>
      <c r="BB45" s="27" t="n">
        <f aca="false">0</f>
        <v>0</v>
      </c>
      <c r="BC45" s="27" t="n">
        <f aca="false">0</f>
        <v>0</v>
      </c>
      <c r="BD45" s="27" t="n">
        <f aca="false">0</f>
        <v>0</v>
      </c>
      <c r="BE45" s="27" t="n">
        <f aca="false">0</f>
        <v>0</v>
      </c>
      <c r="BF45" s="27" t="n">
        <f aca="false">0</f>
        <v>0</v>
      </c>
      <c r="BG45" s="27" t="n">
        <f aca="false">0</f>
        <v>0</v>
      </c>
      <c r="BH45" s="27" t="n">
        <f aca="false">0</f>
        <v>0</v>
      </c>
      <c r="BI45" s="27" t="n">
        <f aca="false">0</f>
        <v>0</v>
      </c>
      <c r="BJ45" s="27" t="n">
        <f aca="false">0</f>
        <v>0</v>
      </c>
      <c r="BK45" s="27" t="n">
        <f aca="false">0</f>
        <v>0</v>
      </c>
      <c r="BL45" s="27" t="n">
        <f aca="false">0</f>
        <v>0</v>
      </c>
    </row>
    <row r="46" customFormat="false" ht="15" hidden="false" customHeight="false" outlineLevel="0" collapsed="false">
      <c r="B46" s="3" t="s">
        <v>300</v>
      </c>
      <c r="C46" s="2" t="s">
        <v>141</v>
      </c>
      <c r="D46" s="28" t="n">
        <f aca="false">D44+D45</f>
        <v>-18285741.5</v>
      </c>
      <c r="E46" s="28" t="n">
        <f aca="false">D46+E43</f>
        <v>-22063469.197014</v>
      </c>
      <c r="F46" s="28" t="n">
        <f aca="false">E46+F43</f>
        <v>-24992147.3189433</v>
      </c>
      <c r="G46" s="28" t="n">
        <f aca="false">F46+G43</f>
        <v>-27866924.5444186</v>
      </c>
      <c r="H46" s="28" t="n">
        <f aca="false">G46+H43</f>
        <v>-30687182.0020247</v>
      </c>
      <c r="I46" s="28" t="n">
        <f aca="false">H46+I43</f>
        <v>-33452300.8203461</v>
      </c>
      <c r="J46" s="28" t="n">
        <f aca="false">I46+J43</f>
        <v>-36161662.1279676</v>
      </c>
      <c r="K46" s="28" t="n">
        <f aca="false">J46+K43</f>
        <v>-38814647.0534738</v>
      </c>
      <c r="L46" s="28" t="n">
        <f aca="false">K46+L43</f>
        <v>-41410636.7254493</v>
      </c>
      <c r="M46" s="28" t="n">
        <f aca="false">L46+M43</f>
        <v>-43949012.2724787</v>
      </c>
      <c r="N46" s="28" t="n">
        <f aca="false">M46+N43</f>
        <v>-46429154.8231468</v>
      </c>
      <c r="O46" s="28" t="n">
        <f aca="false">N46+O43</f>
        <v>-48850445.5060381</v>
      </c>
      <c r="P46" s="28" t="n">
        <f aca="false">O46+P43</f>
        <v>-51212265.4497373</v>
      </c>
      <c r="Q46" s="28" t="n">
        <f aca="false">P46+Q43</f>
        <v>-54013995.782829</v>
      </c>
      <c r="R46" s="28" t="n">
        <f aca="false">Q46+R43</f>
        <v>-56255017.6338979</v>
      </c>
      <c r="S46" s="28" t="n">
        <f aca="false">R46+S43</f>
        <v>-58434712.1315287</v>
      </c>
      <c r="T46" s="28" t="n">
        <f aca="false">S46+T43</f>
        <v>-60552460.4043059</v>
      </c>
      <c r="U46" s="28" t="n">
        <f aca="false">T46+U43</f>
        <v>-62607643.5808142</v>
      </c>
      <c r="V46" s="28" t="n">
        <f aca="false">U46+V43</f>
        <v>-64599642.7896383</v>
      </c>
      <c r="W46" s="28" t="n">
        <f aca="false">V46+W43</f>
        <v>-66825755.8260294</v>
      </c>
      <c r="X46" s="28" t="n">
        <f aca="false">W46+X43</f>
        <v>-68987447.1519056</v>
      </c>
      <c r="Y46" s="28" t="n">
        <f aca="false">X46+Y43</f>
        <v>-71084097.8958515</v>
      </c>
      <c r="Z46" s="28" t="n">
        <f aca="false">Y46+Z43</f>
        <v>-73115089.1864517</v>
      </c>
      <c r="AA46" s="28" t="n">
        <f aca="false">Z46+AA43</f>
        <v>-75079802.1522909</v>
      </c>
      <c r="AB46" s="28" t="n">
        <f aca="false">AA46+AB43</f>
        <v>-76977617.9219537</v>
      </c>
      <c r="AC46" s="28" t="n">
        <f aca="false">AB46+AC43</f>
        <v>-79114957.2643578</v>
      </c>
      <c r="AD46" s="28" t="n">
        <f aca="false">AC46+AD43</f>
        <v>-80743598.0252016</v>
      </c>
      <c r="AE46" s="28" t="n">
        <f aca="false">AD46+AE43</f>
        <v>-82363540.2044852</v>
      </c>
      <c r="AF46" s="28" t="n">
        <f aca="false">AE46+AF43</f>
        <v>-83974783.8022084</v>
      </c>
      <c r="AG46" s="28" t="n">
        <f aca="false">AF46+AG43</f>
        <v>-85577328.8183714</v>
      </c>
      <c r="AH46" s="28" t="n">
        <f aca="false">AG46+AH43</f>
        <v>-87171175.252974</v>
      </c>
      <c r="AI46" s="28" t="n">
        <f aca="false">AH46+AI43</f>
        <v>-88756323.1060164</v>
      </c>
      <c r="AJ46" s="28" t="n">
        <f aca="false">AI46+AJ43</f>
        <v>-90332772.3774985</v>
      </c>
      <c r="AK46" s="28" t="n">
        <f aca="false">AJ46+AK43</f>
        <v>-91900523.0674204</v>
      </c>
      <c r="AL46" s="28" t="n">
        <f aca="false">AK46+AL43</f>
        <v>-93459575.1757819</v>
      </c>
      <c r="AM46" s="28" t="n">
        <f aca="false">AL46+AM43</f>
        <v>-95009928.7025832</v>
      </c>
      <c r="AN46" s="28" t="n">
        <f aca="false">AM46+AN43</f>
        <v>-96551583.6478241</v>
      </c>
      <c r="AO46" s="28" t="n">
        <f aca="false">AN46+AO43</f>
        <v>-98584540.0115048</v>
      </c>
      <c r="AP46" s="28" t="n">
        <f aca="false">AO46+AP43</f>
        <v>-100108797.793625</v>
      </c>
      <c r="AQ46" s="28" t="n">
        <f aca="false">AP46+AQ43</f>
        <v>-101624356.994185</v>
      </c>
      <c r="AR46" s="28" t="n">
        <f aca="false">AQ46+AR43</f>
        <v>-103131217.613185</v>
      </c>
      <c r="AS46" s="28" t="n">
        <f aca="false">AR46+AS43</f>
        <v>-104629379.650625</v>
      </c>
      <c r="AT46" s="28" t="n">
        <f aca="false">AS46+AT43</f>
        <v>-106118843.106504</v>
      </c>
      <c r="AU46" s="28" t="n">
        <f aca="false">AT46+AU43</f>
        <v>-107599607.980823</v>
      </c>
      <c r="AV46" s="28" t="n">
        <f aca="false">AU46+AV43</f>
        <v>-109071674.273582</v>
      </c>
      <c r="AW46" s="28" t="n">
        <f aca="false">AV46+AW43</f>
        <v>-110535041.98478</v>
      </c>
      <c r="AX46" s="28" t="n">
        <f aca="false">AW46+AX43</f>
        <v>-111989711.114418</v>
      </c>
      <c r="AY46" s="28" t="n">
        <f aca="false">AX46+AY43</f>
        <v>-113435681.662496</v>
      </c>
      <c r="AZ46" s="28" t="n">
        <f aca="false">AY46+AZ43</f>
        <v>-114872953.629014</v>
      </c>
      <c r="BA46" s="28" t="n">
        <f aca="false">AZ46+BA43</f>
        <v>-116272121.829014</v>
      </c>
      <c r="BB46" s="28" t="n">
        <f aca="false">BA46+BB43</f>
        <v>-117171290.029014</v>
      </c>
      <c r="BC46" s="28" t="n">
        <f aca="false">BB46+BC43</f>
        <v>-118070458.229014</v>
      </c>
      <c r="BD46" s="28" t="n">
        <f aca="false">BC46+BD43</f>
        <v>-118969626.429014</v>
      </c>
      <c r="BE46" s="28" t="n">
        <f aca="false">BD46+BE43</f>
        <v>-119868794.629014</v>
      </c>
      <c r="BF46" s="28" t="n">
        <f aca="false">BE46+BF43</f>
        <v>-120767962.829014</v>
      </c>
      <c r="BG46" s="28" t="n">
        <f aca="false">BF46+BG43</f>
        <v>-121667131.029014</v>
      </c>
      <c r="BH46" s="28" t="n">
        <f aca="false">BG46+BH43</f>
        <v>-122566299.229014</v>
      </c>
      <c r="BI46" s="28" t="n">
        <f aca="false">BH46+BI43</f>
        <v>-123465467.429014</v>
      </c>
      <c r="BJ46" s="28" t="n">
        <f aca="false">BI46+BJ43</f>
        <v>-124364635.629014</v>
      </c>
      <c r="BK46" s="28" t="n">
        <f aca="false">BJ46+BK43</f>
        <v>-125263803.829014</v>
      </c>
      <c r="BL46" s="28" t="n">
        <f aca="false">BK46+BL43</f>
        <v>-126162972.029014</v>
      </c>
    </row>
    <row r="48" customFormat="false" ht="15" hidden="false" customHeight="false" outlineLevel="0" collapsed="false">
      <c r="B48" s="9" t="s">
        <v>301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customFormat="false" ht="15" hidden="false" customHeight="false" outlineLevel="0" collapsed="false">
      <c r="B49" s="3" t="s">
        <v>302</v>
      </c>
      <c r="E49" s="3" t="n">
        <v>1</v>
      </c>
      <c r="F49" s="3" t="n">
        <v>2</v>
      </c>
      <c r="G49" s="3" t="n">
        <v>3</v>
      </c>
      <c r="H49" s="3" t="n">
        <v>4</v>
      </c>
      <c r="I49" s="3" t="n">
        <v>5</v>
      </c>
    </row>
    <row r="50" customFormat="false" ht="15" hidden="false" customHeight="false" outlineLevel="0" collapsed="false">
      <c r="B50" s="2" t="s">
        <v>35</v>
      </c>
      <c r="E50" s="27" t="n">
        <f aca="false">AVERAGEIF($E$5:$BL$5,E$49,$E$9:$BL$9)</f>
        <v>83.0434782608696</v>
      </c>
      <c r="F50" s="27" t="n">
        <f aca="false">AVERAGEIF($E$5:$BL$5,F$49,$E$9:$BL$9)</f>
        <v>176.95652173913</v>
      </c>
      <c r="G50" s="27" t="n">
        <f aca="false">AVERAGEIF($E$5:$BL$5,G$49,$E$9:$BL$9)</f>
        <v>220</v>
      </c>
      <c r="H50" s="27" t="n">
        <f aca="false">AVERAGEIF($E$5:$BL$5,H$49,$E$9:$BL$9)</f>
        <v>220</v>
      </c>
      <c r="I50" s="27" t="n">
        <f aca="false">AVERAGEIF($E$5:$BL$5,I$49,$E$9:$BL$9)</f>
        <v>220</v>
      </c>
    </row>
    <row r="51" customFormat="false" ht="15" hidden="false" customHeight="false" outlineLevel="0" collapsed="false">
      <c r="B51" s="3" t="s">
        <v>36</v>
      </c>
      <c r="E51" s="28" t="n">
        <f aca="false">SUMIF($E$5:$BL$5,E$49,$E$18:$BL$18)</f>
        <v>14615367.2525439</v>
      </c>
      <c r="F51" s="28" t="n">
        <f aca="false">SUMIF($E$5:$BL$5,F$49,$E$18:$BL$18)</f>
        <v>32483356.1517114</v>
      </c>
      <c r="G51" s="28" t="n">
        <f aca="false">SUMIF($E$5:$BL$5,G$49,$E$18:$BL$18)</f>
        <v>42060255.3191489</v>
      </c>
      <c r="H51" s="28" t="n">
        <f aca="false">SUMIF($E$5:$BL$5,H$49,$E$18:$BL$18)</f>
        <v>43812765.9574468</v>
      </c>
      <c r="I51" s="28" t="n">
        <f aca="false">SUMIF($E$5:$BL$5,I$49,$E$18:$BL$18)</f>
        <v>44616000</v>
      </c>
    </row>
    <row r="52" customFormat="false" ht="15" hidden="false" customHeight="false" outlineLevel="0" collapsed="false">
      <c r="B52" s="2" t="s">
        <v>303</v>
      </c>
      <c r="E52" s="27" t="n">
        <f aca="false">SUMIF($E$5:$BL$5,E$49,$E$19:$BL$19)</f>
        <v>-7061911.09565217</v>
      </c>
      <c r="F52" s="27" t="n">
        <f aca="false">SUMIF($E$5:$BL$5,F$49,$E$19:$BL$19)</f>
        <v>-15048156.1043478</v>
      </c>
      <c r="G52" s="27" t="n">
        <f aca="false">SUMIF($E$5:$BL$5,G$49,$E$19:$BL$19)</f>
        <v>-18708518.4</v>
      </c>
      <c r="H52" s="27" t="n">
        <f aca="false">SUMIF($E$5:$BL$5,H$49,$E$19:$BL$19)</f>
        <v>-18708518.4</v>
      </c>
      <c r="I52" s="27" t="n">
        <f aca="false">SUMIF($E$5:$BL$5,I$49,$E$19:$BL$19)</f>
        <v>-18708518.4</v>
      </c>
    </row>
    <row r="53" customFormat="false" ht="15" hidden="false" customHeight="false" outlineLevel="0" collapsed="false">
      <c r="B53" s="2" t="s">
        <v>304</v>
      </c>
      <c r="E53" s="27" t="n">
        <f aca="false">SUMIF($E$5:$BL$5,E$49,$E$21:$BL$21)</f>
        <v>-104148.936170213</v>
      </c>
      <c r="F53" s="27" t="n">
        <f aca="false">SUMIF($E$5:$BL$5,F$49,$E$21:$BL$21)</f>
        <v>-604063.829787234</v>
      </c>
      <c r="G53" s="27" t="n">
        <f aca="false">SUMIF($E$5:$BL$5,G$49,$E$21:$BL$21)</f>
        <v>-1228957.44680851</v>
      </c>
      <c r="H53" s="27" t="n">
        <f aca="false">SUMIF($E$5:$BL$5,H$49,$E$21:$BL$21)</f>
        <v>-1728872.34042553</v>
      </c>
      <c r="I53" s="27" t="n">
        <f aca="false">SUMIF($E$5:$BL$5,I$49,$E$21:$BL$21)</f>
        <v>-1958000</v>
      </c>
    </row>
    <row r="54" customFormat="false" ht="15" hidden="false" customHeight="false" outlineLevel="0" collapsed="false">
      <c r="B54" s="2" t="s">
        <v>305</v>
      </c>
      <c r="E54" s="27" t="n">
        <f aca="false">SUMIF($E$5:$BL$5,E$49,$E$25:$BL$25)</f>
        <v>-8937500</v>
      </c>
      <c r="F54" s="27" t="n">
        <f aca="false">SUMIF($E$5:$BL$5,F$49,$E$25:$BL$25)</f>
        <v>-10725000</v>
      </c>
      <c r="G54" s="27" t="n">
        <f aca="false">SUMIF($E$5:$BL$5,G$49,$E$25:$BL$25)</f>
        <v>-12512500</v>
      </c>
      <c r="H54" s="27" t="n">
        <f aca="false">SUMIF($E$5:$BL$5,H$49,$E$25:$BL$25)</f>
        <v>-12512500</v>
      </c>
      <c r="I54" s="27" t="n">
        <f aca="false">SUMIF($E$5:$BL$5,I$49,$E$25:$BL$25)</f>
        <v>-12512500</v>
      </c>
    </row>
    <row r="55" customFormat="false" ht="15" hidden="false" customHeight="false" outlineLevel="0" collapsed="false">
      <c r="B55" s="2" t="s">
        <v>306</v>
      </c>
      <c r="E55" s="27" t="n">
        <f aca="false">SUMIF($E$5:$BL$5,E$49,$E$26:$BL$26)+SUMIF($E$5:$BL$5,E$49,$E$27:$BL$27)</f>
        <v>-22227000</v>
      </c>
      <c r="F55" s="27" t="n">
        <f aca="false">SUMIF($E$5:$BL$5,F$49,$E$26:$BL$26)+SUMIF($E$5:$BL$5,F$49,$E$27:$BL$27)</f>
        <v>-22227000</v>
      </c>
      <c r="G55" s="27" t="n">
        <f aca="false">SUMIF($E$5:$BL$5,G$49,$E$26:$BL$26)+SUMIF($E$5:$BL$5,G$49,$E$27:$BL$27)</f>
        <v>-22227000</v>
      </c>
      <c r="H55" s="27" t="n">
        <f aca="false">SUMIF($E$5:$BL$5,H$49,$E$26:$BL$26)+SUMIF($E$5:$BL$5,H$49,$E$27:$BL$27)</f>
        <v>-22227000</v>
      </c>
      <c r="I55" s="27" t="n">
        <f aca="false">SUMIF($E$5:$BL$5,I$49,$E$26:$BL$26)+SUMIF($E$5:$BL$5,I$49,$E$27:$BL$27)</f>
        <v>-22227000</v>
      </c>
    </row>
    <row r="56" customFormat="false" ht="15" hidden="false" customHeight="false" outlineLevel="0" collapsed="false">
      <c r="B56" s="2" t="s">
        <v>307</v>
      </c>
      <c r="E56" s="27" t="n">
        <f aca="false">IF(E$49=1,$D$28,0)</f>
        <v>-4000000</v>
      </c>
      <c r="F56" s="27" t="n">
        <f aca="false">IF(F$49=1,$D$28,0)</f>
        <v>0</v>
      </c>
      <c r="G56" s="27" t="n">
        <f aca="false">IF(G$49=1,$D$28,0)</f>
        <v>0</v>
      </c>
      <c r="H56" s="27" t="n">
        <f aca="false">IF(H$49=1,$D$28,0)</f>
        <v>0</v>
      </c>
      <c r="I56" s="27" t="n">
        <f aca="false">IF(I$49=1,$D$28,0)</f>
        <v>0</v>
      </c>
    </row>
    <row r="57" customFormat="false" ht="15" hidden="false" customHeight="false" outlineLevel="0" collapsed="false">
      <c r="B57" s="3" t="s">
        <v>37</v>
      </c>
      <c r="E57" s="28" t="n">
        <f aca="false">E51+E52+E53+E54+E55+E56</f>
        <v>-27715192.7792784</v>
      </c>
      <c r="F57" s="28" t="n">
        <f aca="false">F51+F52+F53+F54+F55+F56</f>
        <v>-16120863.7824237</v>
      </c>
      <c r="G57" s="28" t="n">
        <f aca="false">G51+G52+G53+G54+G55+G56</f>
        <v>-12616720.5276596</v>
      </c>
      <c r="H57" s="28" t="n">
        <f aca="false">H51+H52+H53+H54+H55+H56</f>
        <v>-11364124.7829787</v>
      </c>
      <c r="I57" s="28" t="n">
        <f aca="false">I51+I52+I53+I54+I55+I56</f>
        <v>-10790018.4</v>
      </c>
    </row>
    <row r="58" customFormat="false" ht="15" hidden="false" customHeight="false" outlineLevel="0" collapsed="false">
      <c r="B58" s="2" t="s">
        <v>38</v>
      </c>
      <c r="E58" s="35" t="n">
        <f aca="false">IF(E51&gt;0,E57/E51,0)</f>
        <v>-1.89630491662496</v>
      </c>
      <c r="F58" s="35" t="n">
        <f aca="false">IF(F51&gt;0,F57/F51,0)</f>
        <v>-0.496280732419774</v>
      </c>
      <c r="G58" s="35" t="n">
        <f aca="false">IF(G51&gt;0,G57/G51,0)</f>
        <v>-0.299967758919321</v>
      </c>
      <c r="H58" s="35" t="n">
        <f aca="false">IF(H51&gt;0,H57/H51,0)</f>
        <v>-0.259379304972805</v>
      </c>
      <c r="I58" s="35" t="n">
        <f aca="false">IF(I51&gt;0,I57/I51,0)</f>
        <v>-0.241841904249597</v>
      </c>
    </row>
    <row r="59" customFormat="false" ht="15" hidden="false" customHeight="false" outlineLevel="0" collapsed="false">
      <c r="B59" s="2" t="s">
        <v>308</v>
      </c>
      <c r="E59" s="27" t="n">
        <f aca="false">SUMIF($E$5:$BL$5,E$49,$E$30:$BL$30)</f>
        <v>-8556428.57142857</v>
      </c>
      <c r="F59" s="27" t="n">
        <f aca="false">SUMIF($E$5:$BL$5,F$49,$E$30:$BL$30)</f>
        <v>-8556428.57142857</v>
      </c>
      <c r="G59" s="27" t="n">
        <f aca="false">SUMIF($E$5:$BL$5,G$49,$E$30:$BL$30)</f>
        <v>-8556428.57142857</v>
      </c>
      <c r="H59" s="27" t="n">
        <f aca="false">SUMIF($E$5:$BL$5,H$49,$E$30:$BL$30)</f>
        <v>-7516428.57142857</v>
      </c>
      <c r="I59" s="27" t="n">
        <f aca="false">SUMIF($E$5:$BL$5,I$49,$E$30:$BL$30)</f>
        <v>-7516428.57142857</v>
      </c>
    </row>
    <row r="60" customFormat="false" ht="15" hidden="false" customHeight="false" outlineLevel="0" collapsed="false">
      <c r="B60" s="2" t="s">
        <v>309</v>
      </c>
      <c r="E60" s="27" t="n">
        <f aca="false">SUMIF($E$5:$BL$5,E$49,$E$42:$BL$42)</f>
        <v>-2178044.6810752</v>
      </c>
      <c r="F60" s="27" t="n">
        <f aca="false">SUMIF($E$5:$BL$5,F$49,$E$42:$BL$42)</f>
        <v>-1666486.51050493</v>
      </c>
      <c r="G60" s="27" t="n">
        <f aca="false">SUMIF($E$5:$BL$5,G$49,$E$42:$BL$42)</f>
        <v>-1078531.20468418</v>
      </c>
      <c r="H60" s="27" t="n">
        <f aca="false">SUMIF($E$5:$BL$5,H$49,$E$42:$BL$42)</f>
        <v>-402769.460409055</v>
      </c>
      <c r="I60" s="27" t="n">
        <f aca="false">SUMIF($E$5:$BL$5,I$49,$E$42:$BL$42)</f>
        <v>0</v>
      </c>
    </row>
    <row r="61" customFormat="false" ht="15" hidden="false" customHeight="false" outlineLevel="0" collapsed="false">
      <c r="B61" s="3" t="s">
        <v>310</v>
      </c>
      <c r="E61" s="28" t="n">
        <f aca="false">E57+E59+E60</f>
        <v>-38449666.0317822</v>
      </c>
      <c r="F61" s="28" t="n">
        <f aca="false">F57+F59+F60</f>
        <v>-26343778.8643572</v>
      </c>
      <c r="G61" s="28" t="n">
        <f aca="false">G57+G59+G60</f>
        <v>-22251680.3037723</v>
      </c>
      <c r="H61" s="28" t="n">
        <f aca="false">H57+H59+H60</f>
        <v>-19283322.8148164</v>
      </c>
      <c r="I61" s="28" t="n">
        <f aca="false">I57+I59+I60</f>
        <v>-18306446.9714286</v>
      </c>
    </row>
    <row r="62" customFormat="false" ht="15" hidden="false" customHeight="false" outlineLevel="0" collapsed="false">
      <c r="B62" s="2" t="s">
        <v>311</v>
      </c>
      <c r="E62" s="27" t="n">
        <f aca="false">0</f>
        <v>0</v>
      </c>
      <c r="F62" s="27" t="n">
        <f aca="false">MAX(0,E62-E61)</f>
        <v>38449666.0317822</v>
      </c>
      <c r="G62" s="27" t="n">
        <f aca="false">MAX(0,F62-F61)</f>
        <v>64793444.8961394</v>
      </c>
      <c r="H62" s="27" t="n">
        <f aca="false">MAX(0,G62-G61)</f>
        <v>87045125.1999117</v>
      </c>
      <c r="I62" s="27" t="n">
        <f aca="false">MAX(0,H62-H61)</f>
        <v>106328448.014728</v>
      </c>
    </row>
    <row r="63" customFormat="false" ht="15" hidden="false" customHeight="false" outlineLevel="0" collapsed="false">
      <c r="B63" s="2" t="s">
        <v>312</v>
      </c>
      <c r="E63" s="27" t="n">
        <f aca="false">MAX(Hypotheses!$D$66,MIN(Hypotheses!$D$67,Hypotheses!$D$65*E51))</f>
        <v>500000</v>
      </c>
      <c r="F63" s="27" t="n">
        <f aca="false">MAX(Hypotheses!$D$66,MIN(Hypotheses!$D$67,Hypotheses!$D$65*F51))</f>
        <v>500000</v>
      </c>
      <c r="G63" s="27" t="n">
        <f aca="false">MAX(Hypotheses!$D$66,MIN(Hypotheses!$D$67,Hypotheses!$D$65*G51))</f>
        <v>500000</v>
      </c>
      <c r="H63" s="27" t="n">
        <f aca="false">MAX(Hypotheses!$D$66,MIN(Hypotheses!$D$67,Hypotheses!$D$65*H51))</f>
        <v>500000</v>
      </c>
      <c r="I63" s="27" t="n">
        <f aca="false">MAX(Hypotheses!$D$66,MIN(Hypotheses!$D$67,Hypotheses!$D$65*I51))</f>
        <v>500000</v>
      </c>
    </row>
    <row r="64" customFormat="false" ht="15" hidden="false" customHeight="false" outlineLevel="0" collapsed="false">
      <c r="B64" s="2" t="s">
        <v>313</v>
      </c>
      <c r="E64" s="27" t="n">
        <f aca="false">MAX(Hypotheses!$D$64*MAX(0,E61-E62),E63)</f>
        <v>500000</v>
      </c>
      <c r="F64" s="27" t="n">
        <f aca="false">MAX(Hypotheses!$D$64*MAX(0,F61-F62),F63)</f>
        <v>500000</v>
      </c>
      <c r="G64" s="27" t="n">
        <f aca="false">MAX(Hypotheses!$D$64*MAX(0,G61-G62),G63)</f>
        <v>500000</v>
      </c>
      <c r="H64" s="27" t="n">
        <f aca="false">MAX(Hypotheses!$D$64*MAX(0,H61-H62),H63)</f>
        <v>500000</v>
      </c>
      <c r="I64" s="27" t="n">
        <f aca="false">MAX(Hypotheses!$D$64*MAX(0,I61-I62),I63)</f>
        <v>500000</v>
      </c>
    </row>
    <row r="65" customFormat="false" ht="15" hidden="false" customHeight="false" outlineLevel="0" collapsed="false">
      <c r="B65" s="3" t="s">
        <v>39</v>
      </c>
      <c r="E65" s="28" t="n">
        <f aca="false">E61-E64</f>
        <v>-38949666.0317822</v>
      </c>
      <c r="F65" s="28" t="n">
        <f aca="false">F61-F64</f>
        <v>-26843778.8643572</v>
      </c>
      <c r="G65" s="28" t="n">
        <f aca="false">G61-G64</f>
        <v>-22751680.3037723</v>
      </c>
      <c r="H65" s="28" t="n">
        <f aca="false">H61-H64</f>
        <v>-19783322.8148164</v>
      </c>
      <c r="I65" s="28" t="n">
        <f aca="false">I61-I64</f>
        <v>-18806446.9714286</v>
      </c>
    </row>
    <row r="66" customFormat="false" ht="15" hidden="false" customHeight="false" outlineLevel="0" collapsed="false">
      <c r="B66" s="2" t="s">
        <v>314</v>
      </c>
      <c r="E66" s="27" t="n">
        <f aca="false">SUMIF($E$5:$BL$5,E$49,$E$43:$BL$43)</f>
        <v>-32926523.9497373</v>
      </c>
      <c r="F66" s="27" t="n">
        <f aca="false">SUMIF($E$5:$BL$5,F$49,$E$43:$BL$43)</f>
        <v>-25765352.4722164</v>
      </c>
      <c r="G66" s="27" t="n">
        <f aca="false">SUMIF($E$5:$BL$5,G$49,$E$43:$BL$43)</f>
        <v>-19573965.7258705</v>
      </c>
      <c r="H66" s="27" t="n">
        <f aca="false">SUMIF($E$5:$BL$5,H$49,$E$43:$BL$43)</f>
        <v>-18321369.9811896</v>
      </c>
      <c r="I66" s="27" t="n">
        <f aca="false">SUMIF($E$5:$BL$5,I$49,$E$43:$BL$43)</f>
        <v>-11290018.4</v>
      </c>
    </row>
    <row r="67" customFormat="false" ht="15" hidden="false" customHeight="false" outlineLevel="0" collapsed="false">
      <c r="B67" s="3" t="s">
        <v>315</v>
      </c>
      <c r="E67" s="28" t="n">
        <f aca="false">INDEX($E$46:$BL$46,E$49*12)</f>
        <v>-51212265.4497373</v>
      </c>
      <c r="F67" s="28" t="n">
        <f aca="false">INDEX($E$46:$BL$46,F$49*12)</f>
        <v>-76977617.9219537</v>
      </c>
      <c r="G67" s="28" t="n">
        <f aca="false">INDEX($E$46:$BL$46,G$49*12)</f>
        <v>-96551583.6478241</v>
      </c>
      <c r="H67" s="28" t="n">
        <f aca="false">INDEX($E$46:$BL$46,H$49*12)</f>
        <v>-114872953.629014</v>
      </c>
      <c r="I67" s="28" t="n">
        <f aca="false">INDEX($E$46:$BL$46,I$49*12)</f>
        <v>-126162972.029014</v>
      </c>
    </row>
    <row r="68" customFormat="false" ht="15" hidden="false" customHeight="false" outlineLevel="0" collapsed="false">
      <c r="B68" s="2" t="s">
        <v>316</v>
      </c>
      <c r="E68" s="27" t="n">
        <f aca="false">IF((E51+E52+E53)&gt;0,-(E54+E55)/((E51+E52+E53)/(E50*Hypotheses!$D$17*12))/(Hypotheses!$D$17*12),0)</f>
        <v>347.415994746716</v>
      </c>
      <c r="F68" s="27" t="n">
        <f aca="false">IF((F51+F52+F53)&gt;0,-(F54+F55)/((F51+F52+F53)/(F50*Hypotheses!$D$17*12))/(Hypotheses!$D$17*12),0)</f>
        <v>346.445494170417</v>
      </c>
      <c r="G68" s="27" t="n">
        <f aca="false">IF((G51+G52+G53)&gt;0,-(G54+G55)/((G51+G52+G53)/(G50*Hypotheses!$D$17*12))/(Hypotheses!$D$17*12),0)</f>
        <v>345.466988429527</v>
      </c>
      <c r="H68" s="27" t="n">
        <f aca="false">IF((H51+H52+H53)&gt;0,-(H54+H55)/((H51+H52+H53)/(H50*Hypotheses!$D$17*12))/(Hypotheses!$D$17*12),0)</f>
        <v>326.954751701047</v>
      </c>
      <c r="I68" s="27" t="n">
        <f aca="false">IF((I51+I52+I53)&gt;0,-(I54+I55)/((I51+I52+I53)/(I50*Hypotheses!$D$17*12))/(Hypotheses!$D$17*12),0)</f>
        <v>319.117136965503</v>
      </c>
    </row>
    <row r="70" customFormat="false" ht="15" hidden="false" customHeight="false" outlineLevel="0" collapsed="false">
      <c r="B70" s="3" t="s">
        <v>317</v>
      </c>
    </row>
    <row r="71" customFormat="false" ht="15" hidden="false" customHeight="false" outlineLevel="0" collapsed="false">
      <c r="B71" s="2" t="s">
        <v>318</v>
      </c>
      <c r="D71" s="28" t="n">
        <f aca="false">-MIN(0,MIN($D$44:$BL$44))</f>
        <v>150529230.529014</v>
      </c>
    </row>
    <row r="72" customFormat="false" ht="15" hidden="false" customHeight="false" outlineLevel="0" collapsed="false">
      <c r="B72" s="2" t="s">
        <v>319</v>
      </c>
      <c r="D72" s="36" t="n">
        <f aca="false">INDEX($D$4:$BL$4,MATCH(MIN($D$44:$BL$44),$D$44:$BL$44,0))</f>
        <v>49553</v>
      </c>
    </row>
    <row r="73" customFormat="false" ht="15" hidden="false" customHeight="false" outlineLevel="0" collapsed="false">
      <c r="B73" s="2" t="s">
        <v>320</v>
      </c>
      <c r="D73" s="28" t="n">
        <f aca="false">Hypotheses!$D$73*-(F54+F55)/12</f>
        <v>8238000</v>
      </c>
    </row>
    <row r="74" customFormat="false" ht="15" hidden="false" customHeight="false" outlineLevel="0" collapsed="false">
      <c r="B74" s="2" t="s">
        <v>27</v>
      </c>
      <c r="D74" s="28" t="n">
        <f aca="false">D71+D73</f>
        <v>158767230.529014</v>
      </c>
    </row>
    <row r="75" customFormat="false" ht="15" hidden="false" customHeight="false" outlineLevel="0" collapsed="false">
      <c r="B75" s="2" t="s">
        <v>321</v>
      </c>
      <c r="D75" s="28" t="n">
        <f aca="false">Epargne!$G$130</f>
        <v>24366258.5</v>
      </c>
    </row>
    <row r="76" customFormat="false" ht="15" hidden="false" customHeight="false" outlineLevel="0" collapsed="false">
      <c r="B76" s="2" t="s">
        <v>29</v>
      </c>
      <c r="D76" s="31" t="n">
        <f aca="false">D75-D74</f>
        <v>-134400972.029014</v>
      </c>
    </row>
    <row r="77" customFormat="false" ht="15" hidden="false" customHeight="false" outlineLevel="0" collapsed="false">
      <c r="B77" s="2" t="s">
        <v>30</v>
      </c>
      <c r="D77" s="36" t="str">
        <f aca="false">IFERROR(INDEX($E$4:$BL$4,MATCH(TRUE(),INDEX($E$29:$BL$29&gt;0,0),0)),"jamais")</f>
        <v>jamais</v>
      </c>
    </row>
    <row r="78" customFormat="false" ht="15" hidden="false" customHeight="false" outlineLevel="0" collapsed="false">
      <c r="B78" s="2" t="s">
        <v>31</v>
      </c>
      <c r="D78" s="28" t="n">
        <f aca="false">MIN($D$46:$BL$46)</f>
        <v>-126162972.029014</v>
      </c>
    </row>
    <row r="79" customFormat="false" ht="15" hidden="false" customHeight="false" outlineLevel="0" collapsed="false">
      <c r="B79" s="2" t="s">
        <v>32</v>
      </c>
      <c r="D79" s="28" t="n">
        <f aca="false">(Investissements!$E$19*(1+Hypotheses!$D$60)*Hypotheses!$D$69*(1-Hypotheses!$D$70))</f>
        <v>17088000</v>
      </c>
    </row>
    <row r="80" customFormat="false" ht="15" hidden="false" customHeight="false" outlineLevel="0" collapsed="false">
      <c r="B80" s="2" t="s">
        <v>33</v>
      </c>
      <c r="D80" s="28" t="n">
        <f aca="false">-PMT(Hypotheses!$D$71/12,Hypotheses!$D$72,(Investissements!$E$19*(1+Hypotheses!$D$60)*Hypotheses!$D$69*(1-Hypotheses!$D$70)))</f>
        <v>466954.830347362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4" min="4" style="0" width="12"/>
  </cols>
  <sheetData>
    <row r="1" customFormat="false" ht="17.35" hidden="false" customHeight="false" outlineLevel="0" collapsed="false">
      <c r="B1" s="1" t="s">
        <v>322</v>
      </c>
    </row>
    <row r="3" customFormat="false" ht="15" hidden="false" customHeight="false" outlineLevel="0" collapsed="false">
      <c r="B3" s="5" t="s">
        <v>255</v>
      </c>
      <c r="C3" s="5"/>
      <c r="D3" s="32" t="n">
        <f aca="false">0</f>
        <v>0</v>
      </c>
      <c r="E3" s="32" t="n">
        <f aca="false">D3+1</f>
        <v>1</v>
      </c>
      <c r="F3" s="32" t="n">
        <f aca="false">E3+1</f>
        <v>2</v>
      </c>
      <c r="G3" s="32" t="n">
        <f aca="false">F3+1</f>
        <v>3</v>
      </c>
      <c r="H3" s="32" t="n">
        <f aca="false">G3+1</f>
        <v>4</v>
      </c>
      <c r="I3" s="32" t="n">
        <f aca="false">H3+1</f>
        <v>5</v>
      </c>
      <c r="J3" s="32" t="n">
        <f aca="false">I3+1</f>
        <v>6</v>
      </c>
      <c r="K3" s="32" t="n">
        <f aca="false">J3+1</f>
        <v>7</v>
      </c>
      <c r="L3" s="32" t="n">
        <f aca="false">K3+1</f>
        <v>8</v>
      </c>
      <c r="M3" s="32" t="n">
        <f aca="false">L3+1</f>
        <v>9</v>
      </c>
      <c r="N3" s="32" t="n">
        <f aca="false">M3+1</f>
        <v>10</v>
      </c>
      <c r="O3" s="32" t="n">
        <f aca="false">N3+1</f>
        <v>11</v>
      </c>
      <c r="P3" s="32" t="n">
        <f aca="false">O3+1</f>
        <v>12</v>
      </c>
      <c r="Q3" s="32" t="n">
        <f aca="false">P3+1</f>
        <v>13</v>
      </c>
      <c r="R3" s="32" t="n">
        <f aca="false">Q3+1</f>
        <v>14</v>
      </c>
      <c r="S3" s="32" t="n">
        <f aca="false">R3+1</f>
        <v>15</v>
      </c>
      <c r="T3" s="32" t="n">
        <f aca="false">S3+1</f>
        <v>16</v>
      </c>
      <c r="U3" s="32" t="n">
        <f aca="false">T3+1</f>
        <v>17</v>
      </c>
      <c r="V3" s="32" t="n">
        <f aca="false">U3+1</f>
        <v>18</v>
      </c>
      <c r="W3" s="32" t="n">
        <f aca="false">V3+1</f>
        <v>19</v>
      </c>
      <c r="X3" s="32" t="n">
        <f aca="false">W3+1</f>
        <v>20</v>
      </c>
      <c r="Y3" s="32" t="n">
        <f aca="false">X3+1</f>
        <v>21</v>
      </c>
      <c r="Z3" s="32" t="n">
        <f aca="false">Y3+1</f>
        <v>22</v>
      </c>
      <c r="AA3" s="32" t="n">
        <f aca="false">Z3+1</f>
        <v>23</v>
      </c>
      <c r="AB3" s="32" t="n">
        <f aca="false">AA3+1</f>
        <v>24</v>
      </c>
      <c r="AC3" s="32" t="n">
        <f aca="false">AB3+1</f>
        <v>25</v>
      </c>
      <c r="AD3" s="32" t="n">
        <f aca="false">AC3+1</f>
        <v>26</v>
      </c>
      <c r="AE3" s="32" t="n">
        <f aca="false">AD3+1</f>
        <v>27</v>
      </c>
      <c r="AF3" s="32" t="n">
        <f aca="false">AE3+1</f>
        <v>28</v>
      </c>
      <c r="AG3" s="32" t="n">
        <f aca="false">AF3+1</f>
        <v>29</v>
      </c>
      <c r="AH3" s="32" t="n">
        <f aca="false">AG3+1</f>
        <v>30</v>
      </c>
      <c r="AI3" s="32" t="n">
        <f aca="false">AH3+1</f>
        <v>31</v>
      </c>
      <c r="AJ3" s="32" t="n">
        <f aca="false">AI3+1</f>
        <v>32</v>
      </c>
      <c r="AK3" s="32" t="n">
        <f aca="false">AJ3+1</f>
        <v>33</v>
      </c>
      <c r="AL3" s="32" t="n">
        <f aca="false">AK3+1</f>
        <v>34</v>
      </c>
      <c r="AM3" s="32" t="n">
        <f aca="false">AL3+1</f>
        <v>35</v>
      </c>
      <c r="AN3" s="32" t="n">
        <f aca="false">AM3+1</f>
        <v>36</v>
      </c>
      <c r="AO3" s="32" t="n">
        <f aca="false">AN3+1</f>
        <v>37</v>
      </c>
      <c r="AP3" s="32" t="n">
        <f aca="false">AO3+1</f>
        <v>38</v>
      </c>
      <c r="AQ3" s="32" t="n">
        <f aca="false">AP3+1</f>
        <v>39</v>
      </c>
      <c r="AR3" s="32" t="n">
        <f aca="false">AQ3+1</f>
        <v>40</v>
      </c>
      <c r="AS3" s="32" t="n">
        <f aca="false">AR3+1</f>
        <v>41</v>
      </c>
      <c r="AT3" s="32" t="n">
        <f aca="false">AS3+1</f>
        <v>42</v>
      </c>
      <c r="AU3" s="32" t="n">
        <f aca="false">AT3+1</f>
        <v>43</v>
      </c>
      <c r="AV3" s="32" t="n">
        <f aca="false">AU3+1</f>
        <v>44</v>
      </c>
      <c r="AW3" s="32" t="n">
        <f aca="false">AV3+1</f>
        <v>45</v>
      </c>
      <c r="AX3" s="32" t="n">
        <f aca="false">AW3+1</f>
        <v>46</v>
      </c>
      <c r="AY3" s="32" t="n">
        <f aca="false">AX3+1</f>
        <v>47</v>
      </c>
      <c r="AZ3" s="32" t="n">
        <f aca="false">AY3+1</f>
        <v>48</v>
      </c>
      <c r="BA3" s="32" t="n">
        <f aca="false">AZ3+1</f>
        <v>49</v>
      </c>
      <c r="BB3" s="32" t="n">
        <f aca="false">BA3+1</f>
        <v>50</v>
      </c>
      <c r="BC3" s="32" t="n">
        <f aca="false">BB3+1</f>
        <v>51</v>
      </c>
      <c r="BD3" s="32" t="n">
        <f aca="false">BC3+1</f>
        <v>52</v>
      </c>
      <c r="BE3" s="32" t="n">
        <f aca="false">BD3+1</f>
        <v>53</v>
      </c>
      <c r="BF3" s="32" t="n">
        <f aca="false">BE3+1</f>
        <v>54</v>
      </c>
      <c r="BG3" s="32" t="n">
        <f aca="false">BF3+1</f>
        <v>55</v>
      </c>
      <c r="BH3" s="32" t="n">
        <f aca="false">BG3+1</f>
        <v>56</v>
      </c>
      <c r="BI3" s="32" t="n">
        <f aca="false">BH3+1</f>
        <v>57</v>
      </c>
      <c r="BJ3" s="32" t="n">
        <f aca="false">BI3+1</f>
        <v>58</v>
      </c>
      <c r="BK3" s="32" t="n">
        <f aca="false">BJ3+1</f>
        <v>59</v>
      </c>
      <c r="BL3" s="32" t="n">
        <f aca="false">BK3+1</f>
        <v>60</v>
      </c>
    </row>
    <row r="4" customFormat="false" ht="15" hidden="false" customHeight="false" outlineLevel="0" collapsed="false">
      <c r="B4" s="5" t="s">
        <v>249</v>
      </c>
      <c r="C4" s="5"/>
      <c r="D4" s="33" t="n">
        <f aca="false">DATE(YEAR(Hypotheses!$D$6),MONTH(Hypotheses!$D$6)-1,1)</f>
        <v>47727</v>
      </c>
      <c r="E4" s="33" t="n">
        <f aca="false">DATE(YEAR(D4),MONTH(D4)+1,1)</f>
        <v>47757</v>
      </c>
      <c r="F4" s="33" t="n">
        <f aca="false">DATE(YEAR(E4),MONTH(E4)+1,1)</f>
        <v>47788</v>
      </c>
      <c r="G4" s="33" t="n">
        <f aca="false">DATE(YEAR(F4),MONTH(F4)+1,1)</f>
        <v>47818</v>
      </c>
      <c r="H4" s="33" t="n">
        <f aca="false">DATE(YEAR(G4),MONTH(G4)+1,1)</f>
        <v>47849</v>
      </c>
      <c r="I4" s="33" t="n">
        <f aca="false">DATE(YEAR(H4),MONTH(H4)+1,1)</f>
        <v>47880</v>
      </c>
      <c r="J4" s="33" t="n">
        <f aca="false">DATE(YEAR(I4),MONTH(I4)+1,1)</f>
        <v>47908</v>
      </c>
      <c r="K4" s="33" t="n">
        <f aca="false">DATE(YEAR(J4),MONTH(J4)+1,1)</f>
        <v>47939</v>
      </c>
      <c r="L4" s="33" t="n">
        <f aca="false">DATE(YEAR(K4),MONTH(K4)+1,1)</f>
        <v>47969</v>
      </c>
      <c r="M4" s="33" t="n">
        <f aca="false">DATE(YEAR(L4),MONTH(L4)+1,1)</f>
        <v>48000</v>
      </c>
      <c r="N4" s="33" t="n">
        <f aca="false">DATE(YEAR(M4),MONTH(M4)+1,1)</f>
        <v>48030</v>
      </c>
      <c r="O4" s="33" t="n">
        <f aca="false">DATE(YEAR(N4),MONTH(N4)+1,1)</f>
        <v>48061</v>
      </c>
      <c r="P4" s="33" t="n">
        <f aca="false">DATE(YEAR(O4),MONTH(O4)+1,1)</f>
        <v>48092</v>
      </c>
      <c r="Q4" s="33" t="n">
        <f aca="false">DATE(YEAR(P4),MONTH(P4)+1,1)</f>
        <v>48122</v>
      </c>
      <c r="R4" s="33" t="n">
        <f aca="false">DATE(YEAR(Q4),MONTH(Q4)+1,1)</f>
        <v>48153</v>
      </c>
      <c r="S4" s="33" t="n">
        <f aca="false">DATE(YEAR(R4),MONTH(R4)+1,1)</f>
        <v>48183</v>
      </c>
      <c r="T4" s="33" t="n">
        <f aca="false">DATE(YEAR(S4),MONTH(S4)+1,1)</f>
        <v>48214</v>
      </c>
      <c r="U4" s="33" t="n">
        <f aca="false">DATE(YEAR(T4),MONTH(T4)+1,1)</f>
        <v>48245</v>
      </c>
      <c r="V4" s="33" t="n">
        <f aca="false">DATE(YEAR(U4),MONTH(U4)+1,1)</f>
        <v>48274</v>
      </c>
      <c r="W4" s="33" t="n">
        <f aca="false">DATE(YEAR(V4),MONTH(V4)+1,1)</f>
        <v>48305</v>
      </c>
      <c r="X4" s="33" t="n">
        <f aca="false">DATE(YEAR(W4),MONTH(W4)+1,1)</f>
        <v>48335</v>
      </c>
      <c r="Y4" s="33" t="n">
        <f aca="false">DATE(YEAR(X4),MONTH(X4)+1,1)</f>
        <v>48366</v>
      </c>
      <c r="Z4" s="33" t="n">
        <f aca="false">DATE(YEAR(Y4),MONTH(Y4)+1,1)</f>
        <v>48396</v>
      </c>
      <c r="AA4" s="33" t="n">
        <f aca="false">DATE(YEAR(Z4),MONTH(Z4)+1,1)</f>
        <v>48427</v>
      </c>
      <c r="AB4" s="33" t="n">
        <f aca="false">DATE(YEAR(AA4),MONTH(AA4)+1,1)</f>
        <v>48458</v>
      </c>
      <c r="AC4" s="33" t="n">
        <f aca="false">DATE(YEAR(AB4),MONTH(AB4)+1,1)</f>
        <v>48488</v>
      </c>
      <c r="AD4" s="33" t="n">
        <f aca="false">DATE(YEAR(AC4),MONTH(AC4)+1,1)</f>
        <v>48519</v>
      </c>
      <c r="AE4" s="33" t="n">
        <f aca="false">DATE(YEAR(AD4),MONTH(AD4)+1,1)</f>
        <v>48549</v>
      </c>
      <c r="AF4" s="33" t="n">
        <f aca="false">DATE(YEAR(AE4),MONTH(AE4)+1,1)</f>
        <v>48580</v>
      </c>
      <c r="AG4" s="33" t="n">
        <f aca="false">DATE(YEAR(AF4),MONTH(AF4)+1,1)</f>
        <v>48611</v>
      </c>
      <c r="AH4" s="33" t="n">
        <f aca="false">DATE(YEAR(AG4),MONTH(AG4)+1,1)</f>
        <v>48639</v>
      </c>
      <c r="AI4" s="33" t="n">
        <f aca="false">DATE(YEAR(AH4),MONTH(AH4)+1,1)</f>
        <v>48670</v>
      </c>
      <c r="AJ4" s="33" t="n">
        <f aca="false">DATE(YEAR(AI4),MONTH(AI4)+1,1)</f>
        <v>48700</v>
      </c>
      <c r="AK4" s="33" t="n">
        <f aca="false">DATE(YEAR(AJ4),MONTH(AJ4)+1,1)</f>
        <v>48731</v>
      </c>
      <c r="AL4" s="33" t="n">
        <f aca="false">DATE(YEAR(AK4),MONTH(AK4)+1,1)</f>
        <v>48761</v>
      </c>
      <c r="AM4" s="33" t="n">
        <f aca="false">DATE(YEAR(AL4),MONTH(AL4)+1,1)</f>
        <v>48792</v>
      </c>
      <c r="AN4" s="33" t="n">
        <f aca="false">DATE(YEAR(AM4),MONTH(AM4)+1,1)</f>
        <v>48823</v>
      </c>
      <c r="AO4" s="33" t="n">
        <f aca="false">DATE(YEAR(AN4),MONTH(AN4)+1,1)</f>
        <v>48853</v>
      </c>
      <c r="AP4" s="33" t="n">
        <f aca="false">DATE(YEAR(AO4),MONTH(AO4)+1,1)</f>
        <v>48884</v>
      </c>
      <c r="AQ4" s="33" t="n">
        <f aca="false">DATE(YEAR(AP4),MONTH(AP4)+1,1)</f>
        <v>48914</v>
      </c>
      <c r="AR4" s="33" t="n">
        <f aca="false">DATE(YEAR(AQ4),MONTH(AQ4)+1,1)</f>
        <v>48945</v>
      </c>
      <c r="AS4" s="33" t="n">
        <f aca="false">DATE(YEAR(AR4),MONTH(AR4)+1,1)</f>
        <v>48976</v>
      </c>
      <c r="AT4" s="33" t="n">
        <f aca="false">DATE(YEAR(AS4),MONTH(AS4)+1,1)</f>
        <v>49004</v>
      </c>
      <c r="AU4" s="33" t="n">
        <f aca="false">DATE(YEAR(AT4),MONTH(AT4)+1,1)</f>
        <v>49035</v>
      </c>
      <c r="AV4" s="33" t="n">
        <f aca="false">DATE(YEAR(AU4),MONTH(AU4)+1,1)</f>
        <v>49065</v>
      </c>
      <c r="AW4" s="33" t="n">
        <f aca="false">DATE(YEAR(AV4),MONTH(AV4)+1,1)</f>
        <v>49096</v>
      </c>
      <c r="AX4" s="33" t="n">
        <f aca="false">DATE(YEAR(AW4),MONTH(AW4)+1,1)</f>
        <v>49126</v>
      </c>
      <c r="AY4" s="33" t="n">
        <f aca="false">DATE(YEAR(AX4),MONTH(AX4)+1,1)</f>
        <v>49157</v>
      </c>
      <c r="AZ4" s="33" t="n">
        <f aca="false">DATE(YEAR(AY4),MONTH(AY4)+1,1)</f>
        <v>49188</v>
      </c>
      <c r="BA4" s="33" t="n">
        <f aca="false">DATE(YEAR(AZ4),MONTH(AZ4)+1,1)</f>
        <v>49218</v>
      </c>
      <c r="BB4" s="33" t="n">
        <f aca="false">DATE(YEAR(BA4),MONTH(BA4)+1,1)</f>
        <v>49249</v>
      </c>
      <c r="BC4" s="33" t="n">
        <f aca="false">DATE(YEAR(BB4),MONTH(BB4)+1,1)</f>
        <v>49279</v>
      </c>
      <c r="BD4" s="33" t="n">
        <f aca="false">DATE(YEAR(BC4),MONTH(BC4)+1,1)</f>
        <v>49310</v>
      </c>
      <c r="BE4" s="33" t="n">
        <f aca="false">DATE(YEAR(BD4),MONTH(BD4)+1,1)</f>
        <v>49341</v>
      </c>
      <c r="BF4" s="33" t="n">
        <f aca="false">DATE(YEAR(BE4),MONTH(BE4)+1,1)</f>
        <v>49369</v>
      </c>
      <c r="BG4" s="33" t="n">
        <f aca="false">DATE(YEAR(BF4),MONTH(BF4)+1,1)</f>
        <v>49400</v>
      </c>
      <c r="BH4" s="33" t="n">
        <f aca="false">DATE(YEAR(BG4),MONTH(BG4)+1,1)</f>
        <v>49430</v>
      </c>
      <c r="BI4" s="33" t="n">
        <f aca="false">DATE(YEAR(BH4),MONTH(BH4)+1,1)</f>
        <v>49461</v>
      </c>
      <c r="BJ4" s="33" t="n">
        <f aca="false">DATE(YEAR(BI4),MONTH(BI4)+1,1)</f>
        <v>49491</v>
      </c>
      <c r="BK4" s="33" t="n">
        <f aca="false">DATE(YEAR(BJ4),MONTH(BJ4)+1,1)</f>
        <v>49522</v>
      </c>
      <c r="BL4" s="33" t="n">
        <f aca="false">DATE(YEAR(BK4),MONTH(BK4)+1,1)</f>
        <v>49553</v>
      </c>
    </row>
    <row r="5" customFormat="false" ht="15" hidden="false" customHeight="false" outlineLevel="0" collapsed="false">
      <c r="B5" s="2" t="s">
        <v>261</v>
      </c>
      <c r="C5" s="2"/>
      <c r="E5" s="34" t="n">
        <f aca="false">INT((E3-1)/12)+1</f>
        <v>1</v>
      </c>
      <c r="F5" s="34" t="n">
        <f aca="false">INT((F3-1)/12)+1</f>
        <v>1</v>
      </c>
      <c r="G5" s="34" t="n">
        <f aca="false">INT((G3-1)/12)+1</f>
        <v>1</v>
      </c>
      <c r="H5" s="34" t="n">
        <f aca="false">INT((H3-1)/12)+1</f>
        <v>1</v>
      </c>
      <c r="I5" s="34" t="n">
        <f aca="false">INT((I3-1)/12)+1</f>
        <v>1</v>
      </c>
      <c r="J5" s="34" t="n">
        <f aca="false">INT((J3-1)/12)+1</f>
        <v>1</v>
      </c>
      <c r="K5" s="34" t="n">
        <f aca="false">INT((K3-1)/12)+1</f>
        <v>1</v>
      </c>
      <c r="L5" s="34" t="n">
        <f aca="false">INT((L3-1)/12)+1</f>
        <v>1</v>
      </c>
      <c r="M5" s="34" t="n">
        <f aca="false">INT((M3-1)/12)+1</f>
        <v>1</v>
      </c>
      <c r="N5" s="34" t="n">
        <f aca="false">INT((N3-1)/12)+1</f>
        <v>1</v>
      </c>
      <c r="O5" s="34" t="n">
        <f aca="false">INT((O3-1)/12)+1</f>
        <v>1</v>
      </c>
      <c r="P5" s="34" t="n">
        <f aca="false">INT((P3-1)/12)+1</f>
        <v>1</v>
      </c>
      <c r="Q5" s="34" t="n">
        <f aca="false">INT((Q3-1)/12)+1</f>
        <v>2</v>
      </c>
      <c r="R5" s="34" t="n">
        <f aca="false">INT((R3-1)/12)+1</f>
        <v>2</v>
      </c>
      <c r="S5" s="34" t="n">
        <f aca="false">INT((S3-1)/12)+1</f>
        <v>2</v>
      </c>
      <c r="T5" s="34" t="n">
        <f aca="false">INT((T3-1)/12)+1</f>
        <v>2</v>
      </c>
      <c r="U5" s="34" t="n">
        <f aca="false">INT((U3-1)/12)+1</f>
        <v>2</v>
      </c>
      <c r="V5" s="34" t="n">
        <f aca="false">INT((V3-1)/12)+1</f>
        <v>2</v>
      </c>
      <c r="W5" s="34" t="n">
        <f aca="false">INT((W3-1)/12)+1</f>
        <v>2</v>
      </c>
      <c r="X5" s="34" t="n">
        <f aca="false">INT((X3-1)/12)+1</f>
        <v>2</v>
      </c>
      <c r="Y5" s="34" t="n">
        <f aca="false">INT((Y3-1)/12)+1</f>
        <v>2</v>
      </c>
      <c r="Z5" s="34" t="n">
        <f aca="false">INT((Z3-1)/12)+1</f>
        <v>2</v>
      </c>
      <c r="AA5" s="34" t="n">
        <f aca="false">INT((AA3-1)/12)+1</f>
        <v>2</v>
      </c>
      <c r="AB5" s="34" t="n">
        <f aca="false">INT((AB3-1)/12)+1</f>
        <v>2</v>
      </c>
      <c r="AC5" s="34" t="n">
        <f aca="false">INT((AC3-1)/12)+1</f>
        <v>3</v>
      </c>
      <c r="AD5" s="34" t="n">
        <f aca="false">INT((AD3-1)/12)+1</f>
        <v>3</v>
      </c>
      <c r="AE5" s="34" t="n">
        <f aca="false">INT((AE3-1)/12)+1</f>
        <v>3</v>
      </c>
      <c r="AF5" s="34" t="n">
        <f aca="false">INT((AF3-1)/12)+1</f>
        <v>3</v>
      </c>
      <c r="AG5" s="34" t="n">
        <f aca="false">INT((AG3-1)/12)+1</f>
        <v>3</v>
      </c>
      <c r="AH5" s="34" t="n">
        <f aca="false">INT((AH3-1)/12)+1</f>
        <v>3</v>
      </c>
      <c r="AI5" s="34" t="n">
        <f aca="false">INT((AI3-1)/12)+1</f>
        <v>3</v>
      </c>
      <c r="AJ5" s="34" t="n">
        <f aca="false">INT((AJ3-1)/12)+1</f>
        <v>3</v>
      </c>
      <c r="AK5" s="34" t="n">
        <f aca="false">INT((AK3-1)/12)+1</f>
        <v>3</v>
      </c>
      <c r="AL5" s="34" t="n">
        <f aca="false">INT((AL3-1)/12)+1</f>
        <v>3</v>
      </c>
      <c r="AM5" s="34" t="n">
        <f aca="false">INT((AM3-1)/12)+1</f>
        <v>3</v>
      </c>
      <c r="AN5" s="34" t="n">
        <f aca="false">INT((AN3-1)/12)+1</f>
        <v>3</v>
      </c>
      <c r="AO5" s="34" t="n">
        <f aca="false">INT((AO3-1)/12)+1</f>
        <v>4</v>
      </c>
      <c r="AP5" s="34" t="n">
        <f aca="false">INT((AP3-1)/12)+1</f>
        <v>4</v>
      </c>
      <c r="AQ5" s="34" t="n">
        <f aca="false">INT((AQ3-1)/12)+1</f>
        <v>4</v>
      </c>
      <c r="AR5" s="34" t="n">
        <f aca="false">INT((AR3-1)/12)+1</f>
        <v>4</v>
      </c>
      <c r="AS5" s="34" t="n">
        <f aca="false">INT((AS3-1)/12)+1</f>
        <v>4</v>
      </c>
      <c r="AT5" s="34" t="n">
        <f aca="false">INT((AT3-1)/12)+1</f>
        <v>4</v>
      </c>
      <c r="AU5" s="34" t="n">
        <f aca="false">INT((AU3-1)/12)+1</f>
        <v>4</v>
      </c>
      <c r="AV5" s="34" t="n">
        <f aca="false">INT((AV3-1)/12)+1</f>
        <v>4</v>
      </c>
      <c r="AW5" s="34" t="n">
        <f aca="false">INT((AW3-1)/12)+1</f>
        <v>4</v>
      </c>
      <c r="AX5" s="34" t="n">
        <f aca="false">INT((AX3-1)/12)+1</f>
        <v>4</v>
      </c>
      <c r="AY5" s="34" t="n">
        <f aca="false">INT((AY3-1)/12)+1</f>
        <v>4</v>
      </c>
      <c r="AZ5" s="34" t="n">
        <f aca="false">INT((AZ3-1)/12)+1</f>
        <v>4</v>
      </c>
      <c r="BA5" s="34" t="n">
        <f aca="false">INT((BA3-1)/12)+1</f>
        <v>5</v>
      </c>
      <c r="BB5" s="34" t="n">
        <f aca="false">INT((BB3-1)/12)+1</f>
        <v>5</v>
      </c>
      <c r="BC5" s="34" t="n">
        <f aca="false">INT((BC3-1)/12)+1</f>
        <v>5</v>
      </c>
      <c r="BD5" s="34" t="n">
        <f aca="false">INT((BD3-1)/12)+1</f>
        <v>5</v>
      </c>
      <c r="BE5" s="34" t="n">
        <f aca="false">INT((BE3-1)/12)+1</f>
        <v>5</v>
      </c>
      <c r="BF5" s="34" t="n">
        <f aca="false">INT((BF3-1)/12)+1</f>
        <v>5</v>
      </c>
      <c r="BG5" s="34" t="n">
        <f aca="false">INT((BG3-1)/12)+1</f>
        <v>5</v>
      </c>
      <c r="BH5" s="34" t="n">
        <f aca="false">INT((BH3-1)/12)+1</f>
        <v>5</v>
      </c>
      <c r="BI5" s="34" t="n">
        <f aca="false">INT((BI3-1)/12)+1</f>
        <v>5</v>
      </c>
      <c r="BJ5" s="34" t="n">
        <f aca="false">INT((BJ3-1)/12)+1</f>
        <v>5</v>
      </c>
      <c r="BK5" s="34" t="n">
        <f aca="false">INT((BK3-1)/12)+1</f>
        <v>5</v>
      </c>
      <c r="BL5" s="34" t="n">
        <f aca="false">INT((BL3-1)/12)+1</f>
        <v>5</v>
      </c>
    </row>
    <row r="6" customFormat="false" ht="15" hidden="false" customHeight="false" outlineLevel="0" collapsed="false">
      <c r="B6" s="2" t="s">
        <v>262</v>
      </c>
      <c r="C6" s="2"/>
      <c r="E6" s="34" t="n">
        <f aca="false">MOD(E3-1,12)+1</f>
        <v>1</v>
      </c>
      <c r="F6" s="34" t="n">
        <f aca="false">MOD(F3-1,12)+1</f>
        <v>2</v>
      </c>
      <c r="G6" s="34" t="n">
        <f aca="false">MOD(G3-1,12)+1</f>
        <v>3</v>
      </c>
      <c r="H6" s="34" t="n">
        <f aca="false">MOD(H3-1,12)+1</f>
        <v>4</v>
      </c>
      <c r="I6" s="34" t="n">
        <f aca="false">MOD(I3-1,12)+1</f>
        <v>5</v>
      </c>
      <c r="J6" s="34" t="n">
        <f aca="false">MOD(J3-1,12)+1</f>
        <v>6</v>
      </c>
      <c r="K6" s="34" t="n">
        <f aca="false">MOD(K3-1,12)+1</f>
        <v>7</v>
      </c>
      <c r="L6" s="34" t="n">
        <f aca="false">MOD(L3-1,12)+1</f>
        <v>8</v>
      </c>
      <c r="M6" s="34" t="n">
        <f aca="false">MOD(M3-1,12)+1</f>
        <v>9</v>
      </c>
      <c r="N6" s="34" t="n">
        <f aca="false">MOD(N3-1,12)+1</f>
        <v>10</v>
      </c>
      <c r="O6" s="34" t="n">
        <f aca="false">MOD(O3-1,12)+1</f>
        <v>11</v>
      </c>
      <c r="P6" s="34" t="n">
        <f aca="false">MOD(P3-1,12)+1</f>
        <v>12</v>
      </c>
      <c r="Q6" s="34" t="n">
        <f aca="false">MOD(Q3-1,12)+1</f>
        <v>1</v>
      </c>
      <c r="R6" s="34" t="n">
        <f aca="false">MOD(R3-1,12)+1</f>
        <v>2</v>
      </c>
      <c r="S6" s="34" t="n">
        <f aca="false">MOD(S3-1,12)+1</f>
        <v>3</v>
      </c>
      <c r="T6" s="34" t="n">
        <f aca="false">MOD(T3-1,12)+1</f>
        <v>4</v>
      </c>
      <c r="U6" s="34" t="n">
        <f aca="false">MOD(U3-1,12)+1</f>
        <v>5</v>
      </c>
      <c r="V6" s="34" t="n">
        <f aca="false">MOD(V3-1,12)+1</f>
        <v>6</v>
      </c>
      <c r="W6" s="34" t="n">
        <f aca="false">MOD(W3-1,12)+1</f>
        <v>7</v>
      </c>
      <c r="X6" s="34" t="n">
        <f aca="false">MOD(X3-1,12)+1</f>
        <v>8</v>
      </c>
      <c r="Y6" s="34" t="n">
        <f aca="false">MOD(Y3-1,12)+1</f>
        <v>9</v>
      </c>
      <c r="Z6" s="34" t="n">
        <f aca="false">MOD(Z3-1,12)+1</f>
        <v>10</v>
      </c>
      <c r="AA6" s="34" t="n">
        <f aca="false">MOD(AA3-1,12)+1</f>
        <v>11</v>
      </c>
      <c r="AB6" s="34" t="n">
        <f aca="false">MOD(AB3-1,12)+1</f>
        <v>12</v>
      </c>
      <c r="AC6" s="34" t="n">
        <f aca="false">MOD(AC3-1,12)+1</f>
        <v>1</v>
      </c>
      <c r="AD6" s="34" t="n">
        <f aca="false">MOD(AD3-1,12)+1</f>
        <v>2</v>
      </c>
      <c r="AE6" s="34" t="n">
        <f aca="false">MOD(AE3-1,12)+1</f>
        <v>3</v>
      </c>
      <c r="AF6" s="34" t="n">
        <f aca="false">MOD(AF3-1,12)+1</f>
        <v>4</v>
      </c>
      <c r="AG6" s="34" t="n">
        <f aca="false">MOD(AG3-1,12)+1</f>
        <v>5</v>
      </c>
      <c r="AH6" s="34" t="n">
        <f aca="false">MOD(AH3-1,12)+1</f>
        <v>6</v>
      </c>
      <c r="AI6" s="34" t="n">
        <f aca="false">MOD(AI3-1,12)+1</f>
        <v>7</v>
      </c>
      <c r="AJ6" s="34" t="n">
        <f aca="false">MOD(AJ3-1,12)+1</f>
        <v>8</v>
      </c>
      <c r="AK6" s="34" t="n">
        <f aca="false">MOD(AK3-1,12)+1</f>
        <v>9</v>
      </c>
      <c r="AL6" s="34" t="n">
        <f aca="false">MOD(AL3-1,12)+1</f>
        <v>10</v>
      </c>
      <c r="AM6" s="34" t="n">
        <f aca="false">MOD(AM3-1,12)+1</f>
        <v>11</v>
      </c>
      <c r="AN6" s="34" t="n">
        <f aca="false">MOD(AN3-1,12)+1</f>
        <v>12</v>
      </c>
      <c r="AO6" s="34" t="n">
        <f aca="false">MOD(AO3-1,12)+1</f>
        <v>1</v>
      </c>
      <c r="AP6" s="34" t="n">
        <f aca="false">MOD(AP3-1,12)+1</f>
        <v>2</v>
      </c>
      <c r="AQ6" s="34" t="n">
        <f aca="false">MOD(AQ3-1,12)+1</f>
        <v>3</v>
      </c>
      <c r="AR6" s="34" t="n">
        <f aca="false">MOD(AR3-1,12)+1</f>
        <v>4</v>
      </c>
      <c r="AS6" s="34" t="n">
        <f aca="false">MOD(AS3-1,12)+1</f>
        <v>5</v>
      </c>
      <c r="AT6" s="34" t="n">
        <f aca="false">MOD(AT3-1,12)+1</f>
        <v>6</v>
      </c>
      <c r="AU6" s="34" t="n">
        <f aca="false">MOD(AU3-1,12)+1</f>
        <v>7</v>
      </c>
      <c r="AV6" s="34" t="n">
        <f aca="false">MOD(AV3-1,12)+1</f>
        <v>8</v>
      </c>
      <c r="AW6" s="34" t="n">
        <f aca="false">MOD(AW3-1,12)+1</f>
        <v>9</v>
      </c>
      <c r="AX6" s="34" t="n">
        <f aca="false">MOD(AX3-1,12)+1</f>
        <v>10</v>
      </c>
      <c r="AY6" s="34" t="n">
        <f aca="false">MOD(AY3-1,12)+1</f>
        <v>11</v>
      </c>
      <c r="AZ6" s="34" t="n">
        <f aca="false">MOD(AZ3-1,12)+1</f>
        <v>12</v>
      </c>
      <c r="BA6" s="34" t="n">
        <f aca="false">MOD(BA3-1,12)+1</f>
        <v>1</v>
      </c>
      <c r="BB6" s="34" t="n">
        <f aca="false">MOD(BB3-1,12)+1</f>
        <v>2</v>
      </c>
      <c r="BC6" s="34" t="n">
        <f aca="false">MOD(BC3-1,12)+1</f>
        <v>3</v>
      </c>
      <c r="BD6" s="34" t="n">
        <f aca="false">MOD(BD3-1,12)+1</f>
        <v>4</v>
      </c>
      <c r="BE6" s="34" t="n">
        <f aca="false">MOD(BE3-1,12)+1</f>
        <v>5</v>
      </c>
      <c r="BF6" s="34" t="n">
        <f aca="false">MOD(BF3-1,12)+1</f>
        <v>6</v>
      </c>
      <c r="BG6" s="34" t="n">
        <f aca="false">MOD(BG3-1,12)+1</f>
        <v>7</v>
      </c>
      <c r="BH6" s="34" t="n">
        <f aca="false">MOD(BH3-1,12)+1</f>
        <v>8</v>
      </c>
      <c r="BI6" s="34" t="n">
        <f aca="false">MOD(BI3-1,12)+1</f>
        <v>9</v>
      </c>
      <c r="BJ6" s="34" t="n">
        <f aca="false">MOD(BJ3-1,12)+1</f>
        <v>10</v>
      </c>
      <c r="BK6" s="34" t="n">
        <f aca="false">MOD(BK3-1,12)+1</f>
        <v>11</v>
      </c>
      <c r="BL6" s="34" t="n">
        <f aca="false">MOD(BL3-1,12)+1</f>
        <v>12</v>
      </c>
    </row>
    <row r="7" customFormat="false" ht="15" hidden="false" customHeight="false" outlineLevel="0" collapsed="false">
      <c r="B7" s="9" t="s">
        <v>263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customFormat="false" ht="15" hidden="false" customHeight="false" outlineLevel="0" collapsed="false">
      <c r="B8" s="2" t="s">
        <v>264</v>
      </c>
      <c r="C8" s="2" t="s">
        <v>64</v>
      </c>
      <c r="E8" s="27" t="n">
        <f aca="false">Hypotheses!$E$15*IF(E3&gt;=Hypotheses!$E$16,2,1)</f>
        <v>320</v>
      </c>
      <c r="F8" s="27" t="n">
        <f aca="false">Hypotheses!$E$15*IF(F3&gt;=Hypotheses!$E$16,2,1)</f>
        <v>320</v>
      </c>
      <c r="G8" s="27" t="n">
        <f aca="false">Hypotheses!$E$15*IF(G3&gt;=Hypotheses!$E$16,2,1)</f>
        <v>320</v>
      </c>
      <c r="H8" s="27" t="n">
        <f aca="false">Hypotheses!$E$15*IF(H3&gt;=Hypotheses!$E$16,2,1)</f>
        <v>320</v>
      </c>
      <c r="I8" s="27" t="n">
        <f aca="false">Hypotheses!$E$15*IF(I3&gt;=Hypotheses!$E$16,2,1)</f>
        <v>320</v>
      </c>
      <c r="J8" s="27" t="n">
        <f aca="false">Hypotheses!$E$15*IF(J3&gt;=Hypotheses!$E$16,2,1)</f>
        <v>320</v>
      </c>
      <c r="K8" s="27" t="n">
        <f aca="false">Hypotheses!$E$15*IF(K3&gt;=Hypotheses!$E$16,2,1)</f>
        <v>320</v>
      </c>
      <c r="L8" s="27" t="n">
        <f aca="false">Hypotheses!$E$15*IF(L3&gt;=Hypotheses!$E$16,2,1)</f>
        <v>320</v>
      </c>
      <c r="M8" s="27" t="n">
        <f aca="false">Hypotheses!$E$15*IF(M3&gt;=Hypotheses!$E$16,2,1)</f>
        <v>320</v>
      </c>
      <c r="N8" s="27" t="n">
        <f aca="false">Hypotheses!$E$15*IF(N3&gt;=Hypotheses!$E$16,2,1)</f>
        <v>320</v>
      </c>
      <c r="O8" s="27" t="n">
        <f aca="false">Hypotheses!$E$15*IF(O3&gt;=Hypotheses!$E$16,2,1)</f>
        <v>320</v>
      </c>
      <c r="P8" s="27" t="n">
        <f aca="false">Hypotheses!$E$15*IF(P3&gt;=Hypotheses!$E$16,2,1)</f>
        <v>320</v>
      </c>
      <c r="Q8" s="27" t="n">
        <f aca="false">Hypotheses!$E$15*IF(Q3&gt;=Hypotheses!$E$16,2,1)</f>
        <v>320</v>
      </c>
      <c r="R8" s="27" t="n">
        <f aca="false">Hypotheses!$E$15*IF(R3&gt;=Hypotheses!$E$16,2,1)</f>
        <v>320</v>
      </c>
      <c r="S8" s="27" t="n">
        <f aca="false">Hypotheses!$E$15*IF(S3&gt;=Hypotheses!$E$16,2,1)</f>
        <v>320</v>
      </c>
      <c r="T8" s="27" t="n">
        <f aca="false">Hypotheses!$E$15*IF(T3&gt;=Hypotheses!$E$16,2,1)</f>
        <v>320</v>
      </c>
      <c r="U8" s="27" t="n">
        <f aca="false">Hypotheses!$E$15*IF(U3&gt;=Hypotheses!$E$16,2,1)</f>
        <v>320</v>
      </c>
      <c r="V8" s="27" t="n">
        <f aca="false">Hypotheses!$E$15*IF(V3&gt;=Hypotheses!$E$16,2,1)</f>
        <v>320</v>
      </c>
      <c r="W8" s="27" t="n">
        <f aca="false">Hypotheses!$E$15*IF(W3&gt;=Hypotheses!$E$16,2,1)</f>
        <v>320</v>
      </c>
      <c r="X8" s="27" t="n">
        <f aca="false">Hypotheses!$E$15*IF(X3&gt;=Hypotheses!$E$16,2,1)</f>
        <v>320</v>
      </c>
      <c r="Y8" s="27" t="n">
        <f aca="false">Hypotheses!$E$15*IF(Y3&gt;=Hypotheses!$E$16,2,1)</f>
        <v>320</v>
      </c>
      <c r="Z8" s="27" t="n">
        <f aca="false">Hypotheses!$E$15*IF(Z3&gt;=Hypotheses!$E$16,2,1)</f>
        <v>320</v>
      </c>
      <c r="AA8" s="27" t="n">
        <f aca="false">Hypotheses!$E$15*IF(AA3&gt;=Hypotheses!$E$16,2,1)</f>
        <v>320</v>
      </c>
      <c r="AB8" s="27" t="n">
        <f aca="false">Hypotheses!$E$15*IF(AB3&gt;=Hypotheses!$E$16,2,1)</f>
        <v>320</v>
      </c>
      <c r="AC8" s="27" t="n">
        <f aca="false">Hypotheses!$E$15*IF(AC3&gt;=Hypotheses!$E$16,2,1)</f>
        <v>320</v>
      </c>
      <c r="AD8" s="27" t="n">
        <f aca="false">Hypotheses!$E$15*IF(AD3&gt;=Hypotheses!$E$16,2,1)</f>
        <v>320</v>
      </c>
      <c r="AE8" s="27" t="n">
        <f aca="false">Hypotheses!$E$15*IF(AE3&gt;=Hypotheses!$E$16,2,1)</f>
        <v>320</v>
      </c>
      <c r="AF8" s="27" t="n">
        <f aca="false">Hypotheses!$E$15*IF(AF3&gt;=Hypotheses!$E$16,2,1)</f>
        <v>320</v>
      </c>
      <c r="AG8" s="27" t="n">
        <f aca="false">Hypotheses!$E$15*IF(AG3&gt;=Hypotheses!$E$16,2,1)</f>
        <v>320</v>
      </c>
      <c r="AH8" s="27" t="n">
        <f aca="false">Hypotheses!$E$15*IF(AH3&gt;=Hypotheses!$E$16,2,1)</f>
        <v>640</v>
      </c>
      <c r="AI8" s="27" t="n">
        <f aca="false">Hypotheses!$E$15*IF(AI3&gt;=Hypotheses!$E$16,2,1)</f>
        <v>640</v>
      </c>
      <c r="AJ8" s="27" t="n">
        <f aca="false">Hypotheses!$E$15*IF(AJ3&gt;=Hypotheses!$E$16,2,1)</f>
        <v>640</v>
      </c>
      <c r="AK8" s="27" t="n">
        <f aca="false">Hypotheses!$E$15*IF(AK3&gt;=Hypotheses!$E$16,2,1)</f>
        <v>640</v>
      </c>
      <c r="AL8" s="27" t="n">
        <f aca="false">Hypotheses!$E$15*IF(AL3&gt;=Hypotheses!$E$16,2,1)</f>
        <v>640</v>
      </c>
      <c r="AM8" s="27" t="n">
        <f aca="false">Hypotheses!$E$15*IF(AM3&gt;=Hypotheses!$E$16,2,1)</f>
        <v>640</v>
      </c>
      <c r="AN8" s="27" t="n">
        <f aca="false">Hypotheses!$E$15*IF(AN3&gt;=Hypotheses!$E$16,2,1)</f>
        <v>640</v>
      </c>
      <c r="AO8" s="27" t="n">
        <f aca="false">Hypotheses!$E$15*IF(AO3&gt;=Hypotheses!$E$16,2,1)</f>
        <v>640</v>
      </c>
      <c r="AP8" s="27" t="n">
        <f aca="false">Hypotheses!$E$15*IF(AP3&gt;=Hypotheses!$E$16,2,1)</f>
        <v>640</v>
      </c>
      <c r="AQ8" s="27" t="n">
        <f aca="false">Hypotheses!$E$15*IF(AQ3&gt;=Hypotheses!$E$16,2,1)</f>
        <v>640</v>
      </c>
      <c r="AR8" s="27" t="n">
        <f aca="false">Hypotheses!$E$15*IF(AR3&gt;=Hypotheses!$E$16,2,1)</f>
        <v>640</v>
      </c>
      <c r="AS8" s="27" t="n">
        <f aca="false">Hypotheses!$E$15*IF(AS3&gt;=Hypotheses!$E$16,2,1)</f>
        <v>640</v>
      </c>
      <c r="AT8" s="27" t="n">
        <f aca="false">Hypotheses!$E$15*IF(AT3&gt;=Hypotheses!$E$16,2,1)</f>
        <v>640</v>
      </c>
      <c r="AU8" s="27" t="n">
        <f aca="false">Hypotheses!$E$15*IF(AU3&gt;=Hypotheses!$E$16,2,1)</f>
        <v>640</v>
      </c>
      <c r="AV8" s="27" t="n">
        <f aca="false">Hypotheses!$E$15*IF(AV3&gt;=Hypotheses!$E$16,2,1)</f>
        <v>640</v>
      </c>
      <c r="AW8" s="27" t="n">
        <f aca="false">Hypotheses!$E$15*IF(AW3&gt;=Hypotheses!$E$16,2,1)</f>
        <v>640</v>
      </c>
      <c r="AX8" s="27" t="n">
        <f aca="false">Hypotheses!$E$15*IF(AX3&gt;=Hypotheses!$E$16,2,1)</f>
        <v>640</v>
      </c>
      <c r="AY8" s="27" t="n">
        <f aca="false">Hypotheses!$E$15*IF(AY3&gt;=Hypotheses!$E$16,2,1)</f>
        <v>640</v>
      </c>
      <c r="AZ8" s="27" t="n">
        <f aca="false">Hypotheses!$E$15*IF(AZ3&gt;=Hypotheses!$E$16,2,1)</f>
        <v>640</v>
      </c>
      <c r="BA8" s="27" t="n">
        <f aca="false">Hypotheses!$E$15*IF(BA3&gt;=Hypotheses!$E$16,2,1)</f>
        <v>640</v>
      </c>
      <c r="BB8" s="27" t="n">
        <f aca="false">Hypotheses!$E$15*IF(BB3&gt;=Hypotheses!$E$16,2,1)</f>
        <v>640</v>
      </c>
      <c r="BC8" s="27" t="n">
        <f aca="false">Hypotheses!$E$15*IF(BC3&gt;=Hypotheses!$E$16,2,1)</f>
        <v>640</v>
      </c>
      <c r="BD8" s="27" t="n">
        <f aca="false">Hypotheses!$E$15*IF(BD3&gt;=Hypotheses!$E$16,2,1)</f>
        <v>640</v>
      </c>
      <c r="BE8" s="27" t="n">
        <f aca="false">Hypotheses!$E$15*IF(BE3&gt;=Hypotheses!$E$16,2,1)</f>
        <v>640</v>
      </c>
      <c r="BF8" s="27" t="n">
        <f aca="false">Hypotheses!$E$15*IF(BF3&gt;=Hypotheses!$E$16,2,1)</f>
        <v>640</v>
      </c>
      <c r="BG8" s="27" t="n">
        <f aca="false">Hypotheses!$E$15*IF(BG3&gt;=Hypotheses!$E$16,2,1)</f>
        <v>640</v>
      </c>
      <c r="BH8" s="27" t="n">
        <f aca="false">Hypotheses!$E$15*IF(BH3&gt;=Hypotheses!$E$16,2,1)</f>
        <v>640</v>
      </c>
      <c r="BI8" s="27" t="n">
        <f aca="false">Hypotheses!$E$15*IF(BI3&gt;=Hypotheses!$E$16,2,1)</f>
        <v>640</v>
      </c>
      <c r="BJ8" s="27" t="n">
        <f aca="false">Hypotheses!$E$15*IF(BJ3&gt;=Hypotheses!$E$16,2,1)</f>
        <v>640</v>
      </c>
      <c r="BK8" s="27" t="n">
        <f aca="false">Hypotheses!$E$15*IF(BK3&gt;=Hypotheses!$E$16,2,1)</f>
        <v>640</v>
      </c>
      <c r="BL8" s="27" t="n">
        <f aca="false">Hypotheses!$E$15*IF(BL3&gt;=Hypotheses!$E$16,2,1)</f>
        <v>640</v>
      </c>
    </row>
    <row r="9" customFormat="false" ht="15" hidden="false" customHeight="false" outlineLevel="0" collapsed="false">
      <c r="B9" s="2" t="s">
        <v>265</v>
      </c>
      <c r="C9" s="2" t="s">
        <v>64</v>
      </c>
      <c r="E9" s="27" t="n">
        <f aca="false">MIN(E8,Hypotheses!$E$11+(Hypotheses!$E$12-Hypotheses!$E$11)*MIN(1,(E3-1)/MAX(1,Hypotheses!$E$13-1))+Hypotheses!$E$14*MAX(0,E3-Hypotheses!$E$13))</f>
        <v>60</v>
      </c>
      <c r="F9" s="27" t="n">
        <f aca="false">MIN(F8,Hypotheses!$E$11+(Hypotheses!$E$12-Hypotheses!$E$11)*MIN(1,(F3-1)/MAX(1,Hypotheses!$E$13-1))+Hypotheses!$E$14*MAX(0,F3-Hypotheses!$E$13))</f>
        <v>74.1176470588235</v>
      </c>
      <c r="G9" s="27" t="n">
        <f aca="false">MIN(G8,Hypotheses!$E$11+(Hypotheses!$E$12-Hypotheses!$E$11)*MIN(1,(G3-1)/MAX(1,Hypotheses!$E$13-1))+Hypotheses!$E$14*MAX(0,G3-Hypotheses!$E$13))</f>
        <v>88.2352941176471</v>
      </c>
      <c r="H9" s="27" t="n">
        <f aca="false">MIN(H8,Hypotheses!$E$11+(Hypotheses!$E$12-Hypotheses!$E$11)*MIN(1,(H3-1)/MAX(1,Hypotheses!$E$13-1))+Hypotheses!$E$14*MAX(0,H3-Hypotheses!$E$13))</f>
        <v>102.352941176471</v>
      </c>
      <c r="I9" s="27" t="n">
        <f aca="false">MIN(I8,Hypotheses!$E$11+(Hypotheses!$E$12-Hypotheses!$E$11)*MIN(1,(I3-1)/MAX(1,Hypotheses!$E$13-1))+Hypotheses!$E$14*MAX(0,I3-Hypotheses!$E$13))</f>
        <v>116.470588235294</v>
      </c>
      <c r="J9" s="27" t="n">
        <f aca="false">MIN(J8,Hypotheses!$E$11+(Hypotheses!$E$12-Hypotheses!$E$11)*MIN(1,(J3-1)/MAX(1,Hypotheses!$E$13-1))+Hypotheses!$E$14*MAX(0,J3-Hypotheses!$E$13))</f>
        <v>130.588235294118</v>
      </c>
      <c r="K9" s="27" t="n">
        <f aca="false">MIN(K8,Hypotheses!$E$11+(Hypotheses!$E$12-Hypotheses!$E$11)*MIN(1,(K3-1)/MAX(1,Hypotheses!$E$13-1))+Hypotheses!$E$14*MAX(0,K3-Hypotheses!$E$13))</f>
        <v>144.705882352941</v>
      </c>
      <c r="L9" s="27" t="n">
        <f aca="false">MIN(L8,Hypotheses!$E$11+(Hypotheses!$E$12-Hypotheses!$E$11)*MIN(1,(L3-1)/MAX(1,Hypotheses!$E$13-1))+Hypotheses!$E$14*MAX(0,L3-Hypotheses!$E$13))</f>
        <v>158.823529411765</v>
      </c>
      <c r="M9" s="27" t="n">
        <f aca="false">MIN(M8,Hypotheses!$E$11+(Hypotheses!$E$12-Hypotheses!$E$11)*MIN(1,(M3-1)/MAX(1,Hypotheses!$E$13-1))+Hypotheses!$E$14*MAX(0,M3-Hypotheses!$E$13))</f>
        <v>172.941176470588</v>
      </c>
      <c r="N9" s="27" t="n">
        <f aca="false">MIN(N8,Hypotheses!$E$11+(Hypotheses!$E$12-Hypotheses!$E$11)*MIN(1,(N3-1)/MAX(1,Hypotheses!$E$13-1))+Hypotheses!$E$14*MAX(0,N3-Hypotheses!$E$13))</f>
        <v>187.058823529412</v>
      </c>
      <c r="O9" s="27" t="n">
        <f aca="false">MIN(O8,Hypotheses!$E$11+(Hypotheses!$E$12-Hypotheses!$E$11)*MIN(1,(O3-1)/MAX(1,Hypotheses!$E$13-1))+Hypotheses!$E$14*MAX(0,O3-Hypotheses!$E$13))</f>
        <v>201.176470588235</v>
      </c>
      <c r="P9" s="27" t="n">
        <f aca="false">MIN(P8,Hypotheses!$E$11+(Hypotheses!$E$12-Hypotheses!$E$11)*MIN(1,(P3-1)/MAX(1,Hypotheses!$E$13-1))+Hypotheses!$E$14*MAX(0,P3-Hypotheses!$E$13))</f>
        <v>215.294117647059</v>
      </c>
      <c r="Q9" s="27" t="n">
        <f aca="false">MIN(Q8,Hypotheses!$E$11+(Hypotheses!$E$12-Hypotheses!$E$11)*MIN(1,(Q3-1)/MAX(1,Hypotheses!$E$13-1))+Hypotheses!$E$14*MAX(0,Q3-Hypotheses!$E$13))</f>
        <v>229.411764705882</v>
      </c>
      <c r="R9" s="27" t="n">
        <f aca="false">MIN(R8,Hypotheses!$E$11+(Hypotheses!$E$12-Hypotheses!$E$11)*MIN(1,(R3-1)/MAX(1,Hypotheses!$E$13-1))+Hypotheses!$E$14*MAX(0,R3-Hypotheses!$E$13))</f>
        <v>243.529411764706</v>
      </c>
      <c r="S9" s="27" t="n">
        <f aca="false">MIN(S8,Hypotheses!$E$11+(Hypotheses!$E$12-Hypotheses!$E$11)*MIN(1,(S3-1)/MAX(1,Hypotheses!$E$13-1))+Hypotheses!$E$14*MAX(0,S3-Hypotheses!$E$13))</f>
        <v>257.647058823529</v>
      </c>
      <c r="T9" s="27" t="n">
        <f aca="false">MIN(T8,Hypotheses!$E$11+(Hypotheses!$E$12-Hypotheses!$E$11)*MIN(1,(T3-1)/MAX(1,Hypotheses!$E$13-1))+Hypotheses!$E$14*MAX(0,T3-Hypotheses!$E$13))</f>
        <v>271.764705882353</v>
      </c>
      <c r="U9" s="27" t="n">
        <f aca="false">MIN(U8,Hypotheses!$E$11+(Hypotheses!$E$12-Hypotheses!$E$11)*MIN(1,(U3-1)/MAX(1,Hypotheses!$E$13-1))+Hypotheses!$E$14*MAX(0,U3-Hypotheses!$E$13))</f>
        <v>285.882352941176</v>
      </c>
      <c r="V9" s="27" t="n">
        <f aca="false">MIN(V8,Hypotheses!$E$11+(Hypotheses!$E$12-Hypotheses!$E$11)*MIN(1,(V3-1)/MAX(1,Hypotheses!$E$13-1))+Hypotheses!$E$14*MAX(0,V3-Hypotheses!$E$13))</f>
        <v>300</v>
      </c>
      <c r="W9" s="27" t="n">
        <f aca="false">MIN(W8,Hypotheses!$E$11+(Hypotheses!$E$12-Hypotheses!$E$11)*MIN(1,(W3-1)/MAX(1,Hypotheses!$E$13-1))+Hypotheses!$E$14*MAX(0,W3-Hypotheses!$E$13))</f>
        <v>305</v>
      </c>
      <c r="X9" s="27" t="n">
        <f aca="false">MIN(X8,Hypotheses!$E$11+(Hypotheses!$E$12-Hypotheses!$E$11)*MIN(1,(X3-1)/MAX(1,Hypotheses!$E$13-1))+Hypotheses!$E$14*MAX(0,X3-Hypotheses!$E$13))</f>
        <v>310</v>
      </c>
      <c r="Y9" s="27" t="n">
        <f aca="false">MIN(Y8,Hypotheses!$E$11+(Hypotheses!$E$12-Hypotheses!$E$11)*MIN(1,(Y3-1)/MAX(1,Hypotheses!$E$13-1))+Hypotheses!$E$14*MAX(0,Y3-Hypotheses!$E$13))</f>
        <v>315</v>
      </c>
      <c r="Z9" s="27" t="n">
        <f aca="false">MIN(Z8,Hypotheses!$E$11+(Hypotheses!$E$12-Hypotheses!$E$11)*MIN(1,(Z3-1)/MAX(1,Hypotheses!$E$13-1))+Hypotheses!$E$14*MAX(0,Z3-Hypotheses!$E$13))</f>
        <v>320</v>
      </c>
      <c r="AA9" s="27" t="n">
        <f aca="false">MIN(AA8,Hypotheses!$E$11+(Hypotheses!$E$12-Hypotheses!$E$11)*MIN(1,(AA3-1)/MAX(1,Hypotheses!$E$13-1))+Hypotheses!$E$14*MAX(0,AA3-Hypotheses!$E$13))</f>
        <v>320</v>
      </c>
      <c r="AB9" s="27" t="n">
        <f aca="false">MIN(AB8,Hypotheses!$E$11+(Hypotheses!$E$12-Hypotheses!$E$11)*MIN(1,(AB3-1)/MAX(1,Hypotheses!$E$13-1))+Hypotheses!$E$14*MAX(0,AB3-Hypotheses!$E$13))</f>
        <v>320</v>
      </c>
      <c r="AC9" s="27" t="n">
        <f aca="false">MIN(AC8,Hypotheses!$E$11+(Hypotheses!$E$12-Hypotheses!$E$11)*MIN(1,(AC3-1)/MAX(1,Hypotheses!$E$13-1))+Hypotheses!$E$14*MAX(0,AC3-Hypotheses!$E$13))</f>
        <v>320</v>
      </c>
      <c r="AD9" s="27" t="n">
        <f aca="false">MIN(AD8,Hypotheses!$E$11+(Hypotheses!$E$12-Hypotheses!$E$11)*MIN(1,(AD3-1)/MAX(1,Hypotheses!$E$13-1))+Hypotheses!$E$14*MAX(0,AD3-Hypotheses!$E$13))</f>
        <v>320</v>
      </c>
      <c r="AE9" s="27" t="n">
        <f aca="false">MIN(AE8,Hypotheses!$E$11+(Hypotheses!$E$12-Hypotheses!$E$11)*MIN(1,(AE3-1)/MAX(1,Hypotheses!$E$13-1))+Hypotheses!$E$14*MAX(0,AE3-Hypotheses!$E$13))</f>
        <v>320</v>
      </c>
      <c r="AF9" s="27" t="n">
        <f aca="false">MIN(AF8,Hypotheses!$E$11+(Hypotheses!$E$12-Hypotheses!$E$11)*MIN(1,(AF3-1)/MAX(1,Hypotheses!$E$13-1))+Hypotheses!$E$14*MAX(0,AF3-Hypotheses!$E$13))</f>
        <v>320</v>
      </c>
      <c r="AG9" s="27" t="n">
        <f aca="false">MIN(AG8,Hypotheses!$E$11+(Hypotheses!$E$12-Hypotheses!$E$11)*MIN(1,(AG3-1)/MAX(1,Hypotheses!$E$13-1))+Hypotheses!$E$14*MAX(0,AG3-Hypotheses!$E$13))</f>
        <v>320</v>
      </c>
      <c r="AH9" s="27" t="n">
        <f aca="false">MIN(AH8,Hypotheses!$E$11+(Hypotheses!$E$12-Hypotheses!$E$11)*MIN(1,(AH3-1)/MAX(1,Hypotheses!$E$13-1))+Hypotheses!$E$14*MAX(0,AH3-Hypotheses!$E$13))</f>
        <v>360</v>
      </c>
      <c r="AI9" s="27" t="n">
        <f aca="false">MIN(AI8,Hypotheses!$E$11+(Hypotheses!$E$12-Hypotheses!$E$11)*MIN(1,(AI3-1)/MAX(1,Hypotheses!$E$13-1))+Hypotheses!$E$14*MAX(0,AI3-Hypotheses!$E$13))</f>
        <v>365</v>
      </c>
      <c r="AJ9" s="27" t="n">
        <f aca="false">MIN(AJ8,Hypotheses!$E$11+(Hypotheses!$E$12-Hypotheses!$E$11)*MIN(1,(AJ3-1)/MAX(1,Hypotheses!$E$13-1))+Hypotheses!$E$14*MAX(0,AJ3-Hypotheses!$E$13))</f>
        <v>370</v>
      </c>
      <c r="AK9" s="27" t="n">
        <f aca="false">MIN(AK8,Hypotheses!$E$11+(Hypotheses!$E$12-Hypotheses!$E$11)*MIN(1,(AK3-1)/MAX(1,Hypotheses!$E$13-1))+Hypotheses!$E$14*MAX(0,AK3-Hypotheses!$E$13))</f>
        <v>375</v>
      </c>
      <c r="AL9" s="27" t="n">
        <f aca="false">MIN(AL8,Hypotheses!$E$11+(Hypotheses!$E$12-Hypotheses!$E$11)*MIN(1,(AL3-1)/MAX(1,Hypotheses!$E$13-1))+Hypotheses!$E$14*MAX(0,AL3-Hypotheses!$E$13))</f>
        <v>380</v>
      </c>
      <c r="AM9" s="27" t="n">
        <f aca="false">MIN(AM8,Hypotheses!$E$11+(Hypotheses!$E$12-Hypotheses!$E$11)*MIN(1,(AM3-1)/MAX(1,Hypotheses!$E$13-1))+Hypotheses!$E$14*MAX(0,AM3-Hypotheses!$E$13))</f>
        <v>385</v>
      </c>
      <c r="AN9" s="27" t="n">
        <f aca="false">MIN(AN8,Hypotheses!$E$11+(Hypotheses!$E$12-Hypotheses!$E$11)*MIN(1,(AN3-1)/MAX(1,Hypotheses!$E$13-1))+Hypotheses!$E$14*MAX(0,AN3-Hypotheses!$E$13))</f>
        <v>390</v>
      </c>
      <c r="AO9" s="27" t="n">
        <f aca="false">MIN(AO8,Hypotheses!$E$11+(Hypotheses!$E$12-Hypotheses!$E$11)*MIN(1,(AO3-1)/MAX(1,Hypotheses!$E$13-1))+Hypotheses!$E$14*MAX(0,AO3-Hypotheses!$E$13))</f>
        <v>395</v>
      </c>
      <c r="AP9" s="27" t="n">
        <f aca="false">MIN(AP8,Hypotheses!$E$11+(Hypotheses!$E$12-Hypotheses!$E$11)*MIN(1,(AP3-1)/MAX(1,Hypotheses!$E$13-1))+Hypotheses!$E$14*MAX(0,AP3-Hypotheses!$E$13))</f>
        <v>400</v>
      </c>
      <c r="AQ9" s="27" t="n">
        <f aca="false">MIN(AQ8,Hypotheses!$E$11+(Hypotheses!$E$12-Hypotheses!$E$11)*MIN(1,(AQ3-1)/MAX(1,Hypotheses!$E$13-1))+Hypotheses!$E$14*MAX(0,AQ3-Hypotheses!$E$13))</f>
        <v>405</v>
      </c>
      <c r="AR9" s="27" t="n">
        <f aca="false">MIN(AR8,Hypotheses!$E$11+(Hypotheses!$E$12-Hypotheses!$E$11)*MIN(1,(AR3-1)/MAX(1,Hypotheses!$E$13-1))+Hypotheses!$E$14*MAX(0,AR3-Hypotheses!$E$13))</f>
        <v>410</v>
      </c>
      <c r="AS9" s="27" t="n">
        <f aca="false">MIN(AS8,Hypotheses!$E$11+(Hypotheses!$E$12-Hypotheses!$E$11)*MIN(1,(AS3-1)/MAX(1,Hypotheses!$E$13-1))+Hypotheses!$E$14*MAX(0,AS3-Hypotheses!$E$13))</f>
        <v>415</v>
      </c>
      <c r="AT9" s="27" t="n">
        <f aca="false">MIN(AT8,Hypotheses!$E$11+(Hypotheses!$E$12-Hypotheses!$E$11)*MIN(1,(AT3-1)/MAX(1,Hypotheses!$E$13-1))+Hypotheses!$E$14*MAX(0,AT3-Hypotheses!$E$13))</f>
        <v>420</v>
      </c>
      <c r="AU9" s="27" t="n">
        <f aca="false">MIN(AU8,Hypotheses!$E$11+(Hypotheses!$E$12-Hypotheses!$E$11)*MIN(1,(AU3-1)/MAX(1,Hypotheses!$E$13-1))+Hypotheses!$E$14*MAX(0,AU3-Hypotheses!$E$13))</f>
        <v>425</v>
      </c>
      <c r="AV9" s="27" t="n">
        <f aca="false">MIN(AV8,Hypotheses!$E$11+(Hypotheses!$E$12-Hypotheses!$E$11)*MIN(1,(AV3-1)/MAX(1,Hypotheses!$E$13-1))+Hypotheses!$E$14*MAX(0,AV3-Hypotheses!$E$13))</f>
        <v>430</v>
      </c>
      <c r="AW9" s="27" t="n">
        <f aca="false">MIN(AW8,Hypotheses!$E$11+(Hypotheses!$E$12-Hypotheses!$E$11)*MIN(1,(AW3-1)/MAX(1,Hypotheses!$E$13-1))+Hypotheses!$E$14*MAX(0,AW3-Hypotheses!$E$13))</f>
        <v>435</v>
      </c>
      <c r="AX9" s="27" t="n">
        <f aca="false">MIN(AX8,Hypotheses!$E$11+(Hypotheses!$E$12-Hypotheses!$E$11)*MIN(1,(AX3-1)/MAX(1,Hypotheses!$E$13-1))+Hypotheses!$E$14*MAX(0,AX3-Hypotheses!$E$13))</f>
        <v>440</v>
      </c>
      <c r="AY9" s="27" t="n">
        <f aca="false">MIN(AY8,Hypotheses!$E$11+(Hypotheses!$E$12-Hypotheses!$E$11)*MIN(1,(AY3-1)/MAX(1,Hypotheses!$E$13-1))+Hypotheses!$E$14*MAX(0,AY3-Hypotheses!$E$13))</f>
        <v>445</v>
      </c>
      <c r="AZ9" s="27" t="n">
        <f aca="false">MIN(AZ8,Hypotheses!$E$11+(Hypotheses!$E$12-Hypotheses!$E$11)*MIN(1,(AZ3-1)/MAX(1,Hypotheses!$E$13-1))+Hypotheses!$E$14*MAX(0,AZ3-Hypotheses!$E$13))</f>
        <v>450</v>
      </c>
      <c r="BA9" s="27" t="n">
        <f aca="false">MIN(BA8,Hypotheses!$E$11+(Hypotheses!$E$12-Hypotheses!$E$11)*MIN(1,(BA3-1)/MAX(1,Hypotheses!$E$13-1))+Hypotheses!$E$14*MAX(0,BA3-Hypotheses!$E$13))</f>
        <v>455</v>
      </c>
      <c r="BB9" s="27" t="n">
        <f aca="false">MIN(BB8,Hypotheses!$E$11+(Hypotheses!$E$12-Hypotheses!$E$11)*MIN(1,(BB3-1)/MAX(1,Hypotheses!$E$13-1))+Hypotheses!$E$14*MAX(0,BB3-Hypotheses!$E$13))</f>
        <v>460</v>
      </c>
      <c r="BC9" s="27" t="n">
        <f aca="false">MIN(BC8,Hypotheses!$E$11+(Hypotheses!$E$12-Hypotheses!$E$11)*MIN(1,(BC3-1)/MAX(1,Hypotheses!$E$13-1))+Hypotheses!$E$14*MAX(0,BC3-Hypotheses!$E$13))</f>
        <v>465</v>
      </c>
      <c r="BD9" s="27" t="n">
        <f aca="false">MIN(BD8,Hypotheses!$E$11+(Hypotheses!$E$12-Hypotheses!$E$11)*MIN(1,(BD3-1)/MAX(1,Hypotheses!$E$13-1))+Hypotheses!$E$14*MAX(0,BD3-Hypotheses!$E$13))</f>
        <v>470</v>
      </c>
      <c r="BE9" s="27" t="n">
        <f aca="false">MIN(BE8,Hypotheses!$E$11+(Hypotheses!$E$12-Hypotheses!$E$11)*MIN(1,(BE3-1)/MAX(1,Hypotheses!$E$13-1))+Hypotheses!$E$14*MAX(0,BE3-Hypotheses!$E$13))</f>
        <v>475</v>
      </c>
      <c r="BF9" s="27" t="n">
        <f aca="false">MIN(BF8,Hypotheses!$E$11+(Hypotheses!$E$12-Hypotheses!$E$11)*MIN(1,(BF3-1)/MAX(1,Hypotheses!$E$13-1))+Hypotheses!$E$14*MAX(0,BF3-Hypotheses!$E$13))</f>
        <v>480</v>
      </c>
      <c r="BG9" s="27" t="n">
        <f aca="false">MIN(BG8,Hypotheses!$E$11+(Hypotheses!$E$12-Hypotheses!$E$11)*MIN(1,(BG3-1)/MAX(1,Hypotheses!$E$13-1))+Hypotheses!$E$14*MAX(0,BG3-Hypotheses!$E$13))</f>
        <v>485</v>
      </c>
      <c r="BH9" s="27" t="n">
        <f aca="false">MIN(BH8,Hypotheses!$E$11+(Hypotheses!$E$12-Hypotheses!$E$11)*MIN(1,(BH3-1)/MAX(1,Hypotheses!$E$13-1))+Hypotheses!$E$14*MAX(0,BH3-Hypotheses!$E$13))</f>
        <v>490</v>
      </c>
      <c r="BI9" s="27" t="n">
        <f aca="false">MIN(BI8,Hypotheses!$E$11+(Hypotheses!$E$12-Hypotheses!$E$11)*MIN(1,(BI3-1)/MAX(1,Hypotheses!$E$13-1))+Hypotheses!$E$14*MAX(0,BI3-Hypotheses!$E$13))</f>
        <v>495</v>
      </c>
      <c r="BJ9" s="27" t="n">
        <f aca="false">MIN(BJ8,Hypotheses!$E$11+(Hypotheses!$E$12-Hypotheses!$E$11)*MIN(1,(BJ3-1)/MAX(1,Hypotheses!$E$13-1))+Hypotheses!$E$14*MAX(0,BJ3-Hypotheses!$E$13))</f>
        <v>500</v>
      </c>
      <c r="BK9" s="27" t="n">
        <f aca="false">MIN(BK8,Hypotheses!$E$11+(Hypotheses!$E$12-Hypotheses!$E$11)*MIN(1,(BK3-1)/MAX(1,Hypotheses!$E$13-1))+Hypotheses!$E$14*MAX(0,BK3-Hypotheses!$E$13))</f>
        <v>505</v>
      </c>
      <c r="BL9" s="27" t="n">
        <f aca="false">MIN(BL8,Hypotheses!$E$11+(Hypotheses!$E$12-Hypotheses!$E$11)*MIN(1,(BL3-1)/MAX(1,Hypotheses!$E$13-1))+Hypotheses!$E$14*MAX(0,BL3-Hypotheses!$E$13))</f>
        <v>510</v>
      </c>
    </row>
    <row r="10" customFormat="false" ht="15" hidden="false" customHeight="false" outlineLevel="0" collapsed="false">
      <c r="B10" s="2" t="s">
        <v>266</v>
      </c>
      <c r="C10" s="2" t="s">
        <v>167</v>
      </c>
      <c r="E10" s="35" t="n">
        <f aca="false">IF(E8&gt;0,E9/E8,0)</f>
        <v>0.1875</v>
      </c>
      <c r="F10" s="35" t="n">
        <f aca="false">IF(F8&gt;0,F9/F8,0)</f>
        <v>0.231617647058824</v>
      </c>
      <c r="G10" s="35" t="n">
        <f aca="false">IF(G8&gt;0,G9/G8,0)</f>
        <v>0.275735294117647</v>
      </c>
      <c r="H10" s="35" t="n">
        <f aca="false">IF(H8&gt;0,H9/H8,0)</f>
        <v>0.319852941176471</v>
      </c>
      <c r="I10" s="35" t="n">
        <f aca="false">IF(I8&gt;0,I9/I8,0)</f>
        <v>0.363970588235294</v>
      </c>
      <c r="J10" s="35" t="n">
        <f aca="false">IF(J8&gt;0,J9/J8,0)</f>
        <v>0.408088235294118</v>
      </c>
      <c r="K10" s="35" t="n">
        <f aca="false">IF(K8&gt;0,K9/K8,0)</f>
        <v>0.452205882352941</v>
      </c>
      <c r="L10" s="35" t="n">
        <f aca="false">IF(L8&gt;0,L9/L8,0)</f>
        <v>0.496323529411765</v>
      </c>
      <c r="M10" s="35" t="n">
        <f aca="false">IF(M8&gt;0,M9/M8,0)</f>
        <v>0.540441176470588</v>
      </c>
      <c r="N10" s="35" t="n">
        <f aca="false">IF(N8&gt;0,N9/N8,0)</f>
        <v>0.584558823529412</v>
      </c>
      <c r="O10" s="35" t="n">
        <f aca="false">IF(O8&gt;0,O9/O8,0)</f>
        <v>0.628676470588235</v>
      </c>
      <c r="P10" s="35" t="n">
        <f aca="false">IF(P8&gt;0,P9/P8,0)</f>
        <v>0.672794117647059</v>
      </c>
      <c r="Q10" s="35" t="n">
        <f aca="false">IF(Q8&gt;0,Q9/Q8,0)</f>
        <v>0.716911764705883</v>
      </c>
      <c r="R10" s="35" t="n">
        <f aca="false">IF(R8&gt;0,R9/R8,0)</f>
        <v>0.761029411764706</v>
      </c>
      <c r="S10" s="35" t="n">
        <f aca="false">IF(S8&gt;0,S9/S8,0)</f>
        <v>0.805147058823529</v>
      </c>
      <c r="T10" s="35" t="n">
        <f aca="false">IF(T8&gt;0,T9/T8,0)</f>
        <v>0.849264705882353</v>
      </c>
      <c r="U10" s="35" t="n">
        <f aca="false">IF(U8&gt;0,U9/U8,0)</f>
        <v>0.893382352941176</v>
      </c>
      <c r="V10" s="35" t="n">
        <f aca="false">IF(V8&gt;0,V9/V8,0)</f>
        <v>0.9375</v>
      </c>
      <c r="W10" s="35" t="n">
        <f aca="false">IF(W8&gt;0,W9/W8,0)</f>
        <v>0.953125</v>
      </c>
      <c r="X10" s="35" t="n">
        <f aca="false">IF(X8&gt;0,X9/X8,0)</f>
        <v>0.96875</v>
      </c>
      <c r="Y10" s="35" t="n">
        <f aca="false">IF(Y8&gt;0,Y9/Y8,0)</f>
        <v>0.984375</v>
      </c>
      <c r="Z10" s="35" t="n">
        <f aca="false">IF(Z8&gt;0,Z9/Z8,0)</f>
        <v>1</v>
      </c>
      <c r="AA10" s="35" t="n">
        <f aca="false">IF(AA8&gt;0,AA9/AA8,0)</f>
        <v>1</v>
      </c>
      <c r="AB10" s="35" t="n">
        <f aca="false">IF(AB8&gt;0,AB9/AB8,0)</f>
        <v>1</v>
      </c>
      <c r="AC10" s="35" t="n">
        <f aca="false">IF(AC8&gt;0,AC9/AC8,0)</f>
        <v>1</v>
      </c>
      <c r="AD10" s="35" t="n">
        <f aca="false">IF(AD8&gt;0,AD9/AD8,0)</f>
        <v>1</v>
      </c>
      <c r="AE10" s="35" t="n">
        <f aca="false">IF(AE8&gt;0,AE9/AE8,0)</f>
        <v>1</v>
      </c>
      <c r="AF10" s="35" t="n">
        <f aca="false">IF(AF8&gt;0,AF9/AF8,0)</f>
        <v>1</v>
      </c>
      <c r="AG10" s="35" t="n">
        <f aca="false">IF(AG8&gt;0,AG9/AG8,0)</f>
        <v>1</v>
      </c>
      <c r="AH10" s="35" t="n">
        <f aca="false">IF(AH8&gt;0,AH9/AH8,0)</f>
        <v>0.5625</v>
      </c>
      <c r="AI10" s="35" t="n">
        <f aca="false">IF(AI8&gt;0,AI9/AI8,0)</f>
        <v>0.5703125</v>
      </c>
      <c r="AJ10" s="35" t="n">
        <f aca="false">IF(AJ8&gt;0,AJ9/AJ8,0)</f>
        <v>0.578125</v>
      </c>
      <c r="AK10" s="35" t="n">
        <f aca="false">IF(AK8&gt;0,AK9/AK8,0)</f>
        <v>0.5859375</v>
      </c>
      <c r="AL10" s="35" t="n">
        <f aca="false">IF(AL8&gt;0,AL9/AL8,0)</f>
        <v>0.59375</v>
      </c>
      <c r="AM10" s="35" t="n">
        <f aca="false">IF(AM8&gt;0,AM9/AM8,0)</f>
        <v>0.6015625</v>
      </c>
      <c r="AN10" s="35" t="n">
        <f aca="false">IF(AN8&gt;0,AN9/AN8,0)</f>
        <v>0.609375</v>
      </c>
      <c r="AO10" s="35" t="n">
        <f aca="false">IF(AO8&gt;0,AO9/AO8,0)</f>
        <v>0.6171875</v>
      </c>
      <c r="AP10" s="35" t="n">
        <f aca="false">IF(AP8&gt;0,AP9/AP8,0)</f>
        <v>0.625</v>
      </c>
      <c r="AQ10" s="35" t="n">
        <f aca="false">IF(AQ8&gt;0,AQ9/AQ8,0)</f>
        <v>0.6328125</v>
      </c>
      <c r="AR10" s="35" t="n">
        <f aca="false">IF(AR8&gt;0,AR9/AR8,0)</f>
        <v>0.640625</v>
      </c>
      <c r="AS10" s="35" t="n">
        <f aca="false">IF(AS8&gt;0,AS9/AS8,0)</f>
        <v>0.6484375</v>
      </c>
      <c r="AT10" s="35" t="n">
        <f aca="false">IF(AT8&gt;0,AT9/AT8,0)</f>
        <v>0.65625</v>
      </c>
      <c r="AU10" s="35" t="n">
        <f aca="false">IF(AU8&gt;0,AU9/AU8,0)</f>
        <v>0.6640625</v>
      </c>
      <c r="AV10" s="35" t="n">
        <f aca="false">IF(AV8&gt;0,AV9/AV8,0)</f>
        <v>0.671875</v>
      </c>
      <c r="AW10" s="35" t="n">
        <f aca="false">IF(AW8&gt;0,AW9/AW8,0)</f>
        <v>0.6796875</v>
      </c>
      <c r="AX10" s="35" t="n">
        <f aca="false">IF(AX8&gt;0,AX9/AX8,0)</f>
        <v>0.6875</v>
      </c>
      <c r="AY10" s="35" t="n">
        <f aca="false">IF(AY8&gt;0,AY9/AY8,0)</f>
        <v>0.6953125</v>
      </c>
      <c r="AZ10" s="35" t="n">
        <f aca="false">IF(AZ8&gt;0,AZ9/AZ8,0)</f>
        <v>0.703125</v>
      </c>
      <c r="BA10" s="35" t="n">
        <f aca="false">IF(BA8&gt;0,BA9/BA8,0)</f>
        <v>0.7109375</v>
      </c>
      <c r="BB10" s="35" t="n">
        <f aca="false">IF(BB8&gt;0,BB9/BB8,0)</f>
        <v>0.71875</v>
      </c>
      <c r="BC10" s="35" t="n">
        <f aca="false">IF(BC8&gt;0,BC9/BC8,0)</f>
        <v>0.7265625</v>
      </c>
      <c r="BD10" s="35" t="n">
        <f aca="false">IF(BD8&gt;0,BD9/BD8,0)</f>
        <v>0.734375</v>
      </c>
      <c r="BE10" s="35" t="n">
        <f aca="false">IF(BE8&gt;0,BE9/BE8,0)</f>
        <v>0.7421875</v>
      </c>
      <c r="BF10" s="35" t="n">
        <f aca="false">IF(BF8&gt;0,BF9/BF8,0)</f>
        <v>0.75</v>
      </c>
      <c r="BG10" s="35" t="n">
        <f aca="false">IF(BG8&gt;0,BG9/BG8,0)</f>
        <v>0.7578125</v>
      </c>
      <c r="BH10" s="35" t="n">
        <f aca="false">IF(BH8&gt;0,BH9/BH8,0)</f>
        <v>0.765625</v>
      </c>
      <c r="BI10" s="35" t="n">
        <f aca="false">IF(BI8&gt;0,BI9/BI8,0)</f>
        <v>0.7734375</v>
      </c>
      <c r="BJ10" s="35" t="n">
        <f aca="false">IF(BJ8&gt;0,BJ9/BJ8,0)</f>
        <v>0.78125</v>
      </c>
      <c r="BK10" s="35" t="n">
        <f aca="false">IF(BK8&gt;0,BK9/BK8,0)</f>
        <v>0.7890625</v>
      </c>
      <c r="BL10" s="35" t="n">
        <f aca="false">IF(BL8&gt;0,BL9/BL8,0)</f>
        <v>0.796875</v>
      </c>
    </row>
    <row r="11" customFormat="false" ht="15" hidden="false" customHeight="false" outlineLevel="0" collapsed="false">
      <c r="B11" s="2" t="s">
        <v>267</v>
      </c>
      <c r="C11" s="2" t="s">
        <v>268</v>
      </c>
      <c r="E11" s="27" t="n">
        <f aca="false">E9*Hypotheses!$E$17</f>
        <v>1560</v>
      </c>
      <c r="F11" s="27" t="n">
        <f aca="false">F9*Hypotheses!$E$17</f>
        <v>1927.05882352941</v>
      </c>
      <c r="G11" s="27" t="n">
        <f aca="false">G9*Hypotheses!$E$17</f>
        <v>2294.11764705882</v>
      </c>
      <c r="H11" s="27" t="n">
        <f aca="false">H9*Hypotheses!$E$17</f>
        <v>2661.17647058824</v>
      </c>
      <c r="I11" s="27" t="n">
        <f aca="false">I9*Hypotheses!$E$17</f>
        <v>3028.23529411765</v>
      </c>
      <c r="J11" s="27" t="n">
        <f aca="false">J9*Hypotheses!$E$17</f>
        <v>3395.29411764706</v>
      </c>
      <c r="K11" s="27" t="n">
        <f aca="false">K9*Hypotheses!$E$17</f>
        <v>3762.35294117647</v>
      </c>
      <c r="L11" s="27" t="n">
        <f aca="false">L9*Hypotheses!$E$17</f>
        <v>4129.41176470588</v>
      </c>
      <c r="M11" s="27" t="n">
        <f aca="false">M9*Hypotheses!$E$17</f>
        <v>4496.47058823529</v>
      </c>
      <c r="N11" s="27" t="n">
        <f aca="false">N9*Hypotheses!$E$17</f>
        <v>4863.52941176471</v>
      </c>
      <c r="O11" s="27" t="n">
        <f aca="false">O9*Hypotheses!$E$17</f>
        <v>5230.58823529412</v>
      </c>
      <c r="P11" s="27" t="n">
        <f aca="false">P9*Hypotheses!$E$17</f>
        <v>5597.64705882353</v>
      </c>
      <c r="Q11" s="27" t="n">
        <f aca="false">Q9*Hypotheses!$E$17</f>
        <v>5964.70588235294</v>
      </c>
      <c r="R11" s="27" t="n">
        <f aca="false">R9*Hypotheses!$E$17</f>
        <v>6331.76470588235</v>
      </c>
      <c r="S11" s="27" t="n">
        <f aca="false">S9*Hypotheses!$E$17</f>
        <v>6698.82352941176</v>
      </c>
      <c r="T11" s="27" t="n">
        <f aca="false">T9*Hypotheses!$E$17</f>
        <v>7065.88235294118</v>
      </c>
      <c r="U11" s="27" t="n">
        <f aca="false">U9*Hypotheses!$E$17</f>
        <v>7432.94117647059</v>
      </c>
      <c r="V11" s="27" t="n">
        <f aca="false">V9*Hypotheses!$E$17</f>
        <v>7800</v>
      </c>
      <c r="W11" s="27" t="n">
        <f aca="false">W9*Hypotheses!$E$17</f>
        <v>7930</v>
      </c>
      <c r="X11" s="27" t="n">
        <f aca="false">X9*Hypotheses!$E$17</f>
        <v>8060</v>
      </c>
      <c r="Y11" s="27" t="n">
        <f aca="false">Y9*Hypotheses!$E$17</f>
        <v>8190</v>
      </c>
      <c r="Z11" s="27" t="n">
        <f aca="false">Z9*Hypotheses!$E$17</f>
        <v>8320</v>
      </c>
      <c r="AA11" s="27" t="n">
        <f aca="false">AA9*Hypotheses!$E$17</f>
        <v>8320</v>
      </c>
      <c r="AB11" s="27" t="n">
        <f aca="false">AB9*Hypotheses!$E$17</f>
        <v>8320</v>
      </c>
      <c r="AC11" s="27" t="n">
        <f aca="false">AC9*Hypotheses!$E$17</f>
        <v>8320</v>
      </c>
      <c r="AD11" s="27" t="n">
        <f aca="false">AD9*Hypotheses!$E$17</f>
        <v>8320</v>
      </c>
      <c r="AE11" s="27" t="n">
        <f aca="false">AE9*Hypotheses!$E$17</f>
        <v>8320</v>
      </c>
      <c r="AF11" s="27" t="n">
        <f aca="false">AF9*Hypotheses!$E$17</f>
        <v>8320</v>
      </c>
      <c r="AG11" s="27" t="n">
        <f aca="false">AG9*Hypotheses!$E$17</f>
        <v>8320</v>
      </c>
      <c r="AH11" s="27" t="n">
        <f aca="false">AH9*Hypotheses!$E$17</f>
        <v>9360</v>
      </c>
      <c r="AI11" s="27" t="n">
        <f aca="false">AI9*Hypotheses!$E$17</f>
        <v>9490</v>
      </c>
      <c r="AJ11" s="27" t="n">
        <f aca="false">AJ9*Hypotheses!$E$17</f>
        <v>9620</v>
      </c>
      <c r="AK11" s="27" t="n">
        <f aca="false">AK9*Hypotheses!$E$17</f>
        <v>9750</v>
      </c>
      <c r="AL11" s="27" t="n">
        <f aca="false">AL9*Hypotheses!$E$17</f>
        <v>9880</v>
      </c>
      <c r="AM11" s="27" t="n">
        <f aca="false">AM9*Hypotheses!$E$17</f>
        <v>10010</v>
      </c>
      <c r="AN11" s="27" t="n">
        <f aca="false">AN9*Hypotheses!$E$17</f>
        <v>10140</v>
      </c>
      <c r="AO11" s="27" t="n">
        <f aca="false">AO9*Hypotheses!$E$17</f>
        <v>10270</v>
      </c>
      <c r="AP11" s="27" t="n">
        <f aca="false">AP9*Hypotheses!$E$17</f>
        <v>10400</v>
      </c>
      <c r="AQ11" s="27" t="n">
        <f aca="false">AQ9*Hypotheses!$E$17</f>
        <v>10530</v>
      </c>
      <c r="AR11" s="27" t="n">
        <f aca="false">AR9*Hypotheses!$E$17</f>
        <v>10660</v>
      </c>
      <c r="AS11" s="27" t="n">
        <f aca="false">AS9*Hypotheses!$E$17</f>
        <v>10790</v>
      </c>
      <c r="AT11" s="27" t="n">
        <f aca="false">AT9*Hypotheses!$E$17</f>
        <v>10920</v>
      </c>
      <c r="AU11" s="27" t="n">
        <f aca="false">AU9*Hypotheses!$E$17</f>
        <v>11050</v>
      </c>
      <c r="AV11" s="27" t="n">
        <f aca="false">AV9*Hypotheses!$E$17</f>
        <v>11180</v>
      </c>
      <c r="AW11" s="27" t="n">
        <f aca="false">AW9*Hypotheses!$E$17</f>
        <v>11310</v>
      </c>
      <c r="AX11" s="27" t="n">
        <f aca="false">AX9*Hypotheses!$E$17</f>
        <v>11440</v>
      </c>
      <c r="AY11" s="27" t="n">
        <f aca="false">AY9*Hypotheses!$E$17</f>
        <v>11570</v>
      </c>
      <c r="AZ11" s="27" t="n">
        <f aca="false">AZ9*Hypotheses!$E$17</f>
        <v>11700</v>
      </c>
      <c r="BA11" s="27" t="n">
        <f aca="false">BA9*Hypotheses!$E$17</f>
        <v>11830</v>
      </c>
      <c r="BB11" s="27" t="n">
        <f aca="false">BB9*Hypotheses!$E$17</f>
        <v>11960</v>
      </c>
      <c r="BC11" s="27" t="n">
        <f aca="false">BC9*Hypotheses!$E$17</f>
        <v>12090</v>
      </c>
      <c r="BD11" s="27" t="n">
        <f aca="false">BD9*Hypotheses!$E$17</f>
        <v>12220</v>
      </c>
      <c r="BE11" s="27" t="n">
        <f aca="false">BE9*Hypotheses!$E$17</f>
        <v>12350</v>
      </c>
      <c r="BF11" s="27" t="n">
        <f aca="false">BF9*Hypotheses!$E$17</f>
        <v>12480</v>
      </c>
      <c r="BG11" s="27" t="n">
        <f aca="false">BG9*Hypotheses!$E$17</f>
        <v>12610</v>
      </c>
      <c r="BH11" s="27" t="n">
        <f aca="false">BH9*Hypotheses!$E$17</f>
        <v>12740</v>
      </c>
      <c r="BI11" s="27" t="n">
        <f aca="false">BI9*Hypotheses!$E$17</f>
        <v>12870</v>
      </c>
      <c r="BJ11" s="27" t="n">
        <f aca="false">BJ9*Hypotheses!$E$17</f>
        <v>13000</v>
      </c>
      <c r="BK11" s="27" t="n">
        <f aca="false">BK9*Hypotheses!$E$17</f>
        <v>13130</v>
      </c>
      <c r="BL11" s="27" t="n">
        <f aca="false">BL9*Hypotheses!$E$17</f>
        <v>13260</v>
      </c>
    </row>
    <row r="12" customFormat="false" ht="15" hidden="false" customHeight="false" outlineLevel="0" collapsed="false">
      <c r="B12" s="2" t="s">
        <v>269</v>
      </c>
      <c r="C12" s="2" t="s">
        <v>167</v>
      </c>
      <c r="E12" s="35" t="n">
        <f aca="false">Hypotheses!$E$21*MIN(1,(E3-1)/47)</f>
        <v>0</v>
      </c>
      <c r="F12" s="35" t="n">
        <f aca="false">Hypotheses!$E$21*MIN(1,(F3-1)/47)</f>
        <v>0.0106382978723404</v>
      </c>
      <c r="G12" s="35" t="n">
        <f aca="false">Hypotheses!$E$21*MIN(1,(G3-1)/47)</f>
        <v>0.0212765957446809</v>
      </c>
      <c r="H12" s="35" t="n">
        <f aca="false">Hypotheses!$E$21*MIN(1,(H3-1)/47)</f>
        <v>0.0319148936170213</v>
      </c>
      <c r="I12" s="35" t="n">
        <f aca="false">Hypotheses!$E$21*MIN(1,(I3-1)/47)</f>
        <v>0.0425531914893617</v>
      </c>
      <c r="J12" s="35" t="n">
        <f aca="false">Hypotheses!$E$21*MIN(1,(J3-1)/47)</f>
        <v>0.0531914893617021</v>
      </c>
      <c r="K12" s="35" t="n">
        <f aca="false">Hypotheses!$E$21*MIN(1,(K3-1)/47)</f>
        <v>0.0638297872340426</v>
      </c>
      <c r="L12" s="35" t="n">
        <f aca="false">Hypotheses!$E$21*MIN(1,(L3-1)/47)</f>
        <v>0.074468085106383</v>
      </c>
      <c r="M12" s="35" t="n">
        <f aca="false">Hypotheses!$E$21*MIN(1,(M3-1)/47)</f>
        <v>0.0851063829787234</v>
      </c>
      <c r="N12" s="35" t="n">
        <f aca="false">Hypotheses!$E$21*MIN(1,(N3-1)/47)</f>
        <v>0.0957446808510638</v>
      </c>
      <c r="O12" s="35" t="n">
        <f aca="false">Hypotheses!$E$21*MIN(1,(O3-1)/47)</f>
        <v>0.106382978723404</v>
      </c>
      <c r="P12" s="35" t="n">
        <f aca="false">Hypotheses!$E$21*MIN(1,(P3-1)/47)</f>
        <v>0.117021276595745</v>
      </c>
      <c r="Q12" s="35" t="n">
        <f aca="false">Hypotheses!$E$21*MIN(1,(Q3-1)/47)</f>
        <v>0.127659574468085</v>
      </c>
      <c r="R12" s="35" t="n">
        <f aca="false">Hypotheses!$E$21*MIN(1,(R3-1)/47)</f>
        <v>0.138297872340426</v>
      </c>
      <c r="S12" s="35" t="n">
        <f aca="false">Hypotheses!$E$21*MIN(1,(S3-1)/47)</f>
        <v>0.148936170212766</v>
      </c>
      <c r="T12" s="35" t="n">
        <f aca="false">Hypotheses!$E$21*MIN(1,(T3-1)/47)</f>
        <v>0.159574468085106</v>
      </c>
      <c r="U12" s="35" t="n">
        <f aca="false">Hypotheses!$E$21*MIN(1,(U3-1)/47)</f>
        <v>0.170212765957447</v>
      </c>
      <c r="V12" s="35" t="n">
        <f aca="false">Hypotheses!$E$21*MIN(1,(V3-1)/47)</f>
        <v>0.180851063829787</v>
      </c>
      <c r="W12" s="35" t="n">
        <f aca="false">Hypotheses!$E$21*MIN(1,(W3-1)/47)</f>
        <v>0.191489361702128</v>
      </c>
      <c r="X12" s="35" t="n">
        <f aca="false">Hypotheses!$E$21*MIN(1,(X3-1)/47)</f>
        <v>0.202127659574468</v>
      </c>
      <c r="Y12" s="35" t="n">
        <f aca="false">Hypotheses!$E$21*MIN(1,(Y3-1)/47)</f>
        <v>0.212765957446809</v>
      </c>
      <c r="Z12" s="35" t="n">
        <f aca="false">Hypotheses!$E$21*MIN(1,(Z3-1)/47)</f>
        <v>0.223404255319149</v>
      </c>
      <c r="AA12" s="35" t="n">
        <f aca="false">Hypotheses!$E$21*MIN(1,(AA3-1)/47)</f>
        <v>0.234042553191489</v>
      </c>
      <c r="AB12" s="35" t="n">
        <f aca="false">Hypotheses!$E$21*MIN(1,(AB3-1)/47)</f>
        <v>0.24468085106383</v>
      </c>
      <c r="AC12" s="35" t="n">
        <f aca="false">Hypotheses!$E$21*MIN(1,(AC3-1)/47)</f>
        <v>0.25531914893617</v>
      </c>
      <c r="AD12" s="35" t="n">
        <f aca="false">Hypotheses!$E$21*MIN(1,(AD3-1)/47)</f>
        <v>0.265957446808511</v>
      </c>
      <c r="AE12" s="35" t="n">
        <f aca="false">Hypotheses!$E$21*MIN(1,(AE3-1)/47)</f>
        <v>0.276595744680851</v>
      </c>
      <c r="AF12" s="35" t="n">
        <f aca="false">Hypotheses!$E$21*MIN(1,(AF3-1)/47)</f>
        <v>0.287234042553192</v>
      </c>
      <c r="AG12" s="35" t="n">
        <f aca="false">Hypotheses!$E$21*MIN(1,(AG3-1)/47)</f>
        <v>0.297872340425532</v>
      </c>
      <c r="AH12" s="35" t="n">
        <f aca="false">Hypotheses!$E$21*MIN(1,(AH3-1)/47)</f>
        <v>0.308510638297872</v>
      </c>
      <c r="AI12" s="35" t="n">
        <f aca="false">Hypotheses!$E$21*MIN(1,(AI3-1)/47)</f>
        <v>0.319148936170213</v>
      </c>
      <c r="AJ12" s="35" t="n">
        <f aca="false">Hypotheses!$E$21*MIN(1,(AJ3-1)/47)</f>
        <v>0.329787234042553</v>
      </c>
      <c r="AK12" s="35" t="n">
        <f aca="false">Hypotheses!$E$21*MIN(1,(AK3-1)/47)</f>
        <v>0.340425531914894</v>
      </c>
      <c r="AL12" s="35" t="n">
        <f aca="false">Hypotheses!$E$21*MIN(1,(AL3-1)/47)</f>
        <v>0.351063829787234</v>
      </c>
      <c r="AM12" s="35" t="n">
        <f aca="false">Hypotheses!$E$21*MIN(1,(AM3-1)/47)</f>
        <v>0.361702127659575</v>
      </c>
      <c r="AN12" s="35" t="n">
        <f aca="false">Hypotheses!$E$21*MIN(1,(AN3-1)/47)</f>
        <v>0.372340425531915</v>
      </c>
      <c r="AO12" s="35" t="n">
        <f aca="false">Hypotheses!$E$21*MIN(1,(AO3-1)/47)</f>
        <v>0.382978723404255</v>
      </c>
      <c r="AP12" s="35" t="n">
        <f aca="false">Hypotheses!$E$21*MIN(1,(AP3-1)/47)</f>
        <v>0.393617021276596</v>
      </c>
      <c r="AQ12" s="35" t="n">
        <f aca="false">Hypotheses!$E$21*MIN(1,(AQ3-1)/47)</f>
        <v>0.404255319148936</v>
      </c>
      <c r="AR12" s="35" t="n">
        <f aca="false">Hypotheses!$E$21*MIN(1,(AR3-1)/47)</f>
        <v>0.414893617021277</v>
      </c>
      <c r="AS12" s="35" t="n">
        <f aca="false">Hypotheses!$E$21*MIN(1,(AS3-1)/47)</f>
        <v>0.425531914893617</v>
      </c>
      <c r="AT12" s="35" t="n">
        <f aca="false">Hypotheses!$E$21*MIN(1,(AT3-1)/47)</f>
        <v>0.436170212765957</v>
      </c>
      <c r="AU12" s="35" t="n">
        <f aca="false">Hypotheses!$E$21*MIN(1,(AU3-1)/47)</f>
        <v>0.446808510638298</v>
      </c>
      <c r="AV12" s="35" t="n">
        <f aca="false">Hypotheses!$E$21*MIN(1,(AV3-1)/47)</f>
        <v>0.457446808510638</v>
      </c>
      <c r="AW12" s="35" t="n">
        <f aca="false">Hypotheses!$E$21*MIN(1,(AW3-1)/47)</f>
        <v>0.468085106382979</v>
      </c>
      <c r="AX12" s="35" t="n">
        <f aca="false">Hypotheses!$E$21*MIN(1,(AX3-1)/47)</f>
        <v>0.478723404255319</v>
      </c>
      <c r="AY12" s="35" t="n">
        <f aca="false">Hypotheses!$E$21*MIN(1,(AY3-1)/47)</f>
        <v>0.48936170212766</v>
      </c>
      <c r="AZ12" s="35" t="n">
        <f aca="false">Hypotheses!$E$21*MIN(1,(AZ3-1)/47)</f>
        <v>0.5</v>
      </c>
      <c r="BA12" s="35" t="n">
        <f aca="false">Hypotheses!$E$21*MIN(1,(BA3-1)/47)</f>
        <v>0.5</v>
      </c>
      <c r="BB12" s="35" t="n">
        <f aca="false">Hypotheses!$E$21*MIN(1,(BB3-1)/47)</f>
        <v>0.5</v>
      </c>
      <c r="BC12" s="35" t="n">
        <f aca="false">Hypotheses!$E$21*MIN(1,(BC3-1)/47)</f>
        <v>0.5</v>
      </c>
      <c r="BD12" s="35" t="n">
        <f aca="false">Hypotheses!$E$21*MIN(1,(BD3-1)/47)</f>
        <v>0.5</v>
      </c>
      <c r="BE12" s="35" t="n">
        <f aca="false">Hypotheses!$E$21*MIN(1,(BE3-1)/47)</f>
        <v>0.5</v>
      </c>
      <c r="BF12" s="35" t="n">
        <f aca="false">Hypotheses!$E$21*MIN(1,(BF3-1)/47)</f>
        <v>0.5</v>
      </c>
      <c r="BG12" s="35" t="n">
        <f aca="false">Hypotheses!$E$21*MIN(1,(BG3-1)/47)</f>
        <v>0.5</v>
      </c>
      <c r="BH12" s="35" t="n">
        <f aca="false">Hypotheses!$E$21*MIN(1,(BH3-1)/47)</f>
        <v>0.5</v>
      </c>
      <c r="BI12" s="35" t="n">
        <f aca="false">Hypotheses!$E$21*MIN(1,(BI3-1)/47)</f>
        <v>0.5</v>
      </c>
      <c r="BJ12" s="35" t="n">
        <f aca="false">Hypotheses!$E$21*MIN(1,(BJ3-1)/47)</f>
        <v>0.5</v>
      </c>
      <c r="BK12" s="35" t="n">
        <f aca="false">Hypotheses!$E$21*MIN(1,(BK3-1)/47)</f>
        <v>0.5</v>
      </c>
      <c r="BL12" s="35" t="n">
        <f aca="false">Hypotheses!$E$21*MIN(1,(BL3-1)/47)</f>
        <v>0.5</v>
      </c>
    </row>
    <row r="13" customFormat="false" ht="15" hidden="false" customHeight="false" outlineLevel="0" collapsed="false">
      <c r="B13" s="2" t="s">
        <v>270</v>
      </c>
      <c r="C13" s="2" t="s">
        <v>268</v>
      </c>
      <c r="E13" s="27" t="n">
        <f aca="false">E11*(1-E12)</f>
        <v>1560</v>
      </c>
      <c r="F13" s="27" t="n">
        <f aca="false">F11*(1-F12)</f>
        <v>1906.55819774718</v>
      </c>
      <c r="G13" s="27" t="n">
        <f aca="false">G11*(1-G12)</f>
        <v>2245.30663329161</v>
      </c>
      <c r="H13" s="27" t="n">
        <f aca="false">H11*(1-H12)</f>
        <v>2576.24530663329</v>
      </c>
      <c r="I13" s="27" t="n">
        <f aca="false">I11*(1-I12)</f>
        <v>2899.37421777222</v>
      </c>
      <c r="J13" s="27" t="n">
        <f aca="false">J11*(1-J12)</f>
        <v>3214.69336670839</v>
      </c>
      <c r="K13" s="27" t="n">
        <f aca="false">K11*(1-K12)</f>
        <v>3522.2027534418</v>
      </c>
      <c r="L13" s="27" t="n">
        <f aca="false">L11*(1-L12)</f>
        <v>3821.90237797247</v>
      </c>
      <c r="M13" s="27" t="n">
        <f aca="false">M11*(1-M12)</f>
        <v>4113.79224030038</v>
      </c>
      <c r="N13" s="27" t="n">
        <f aca="false">N11*(1-N12)</f>
        <v>4397.87234042553</v>
      </c>
      <c r="O13" s="27" t="n">
        <f aca="false">O11*(1-O12)</f>
        <v>4674.14267834794</v>
      </c>
      <c r="P13" s="27" t="n">
        <f aca="false">P11*(1-P12)</f>
        <v>4942.60325406759</v>
      </c>
      <c r="Q13" s="27" t="n">
        <f aca="false">Q11*(1-Q12)</f>
        <v>5203.25406758448</v>
      </c>
      <c r="R13" s="27" t="n">
        <f aca="false">R11*(1-R12)</f>
        <v>5456.09511889862</v>
      </c>
      <c r="S13" s="27" t="n">
        <f aca="false">S11*(1-S12)</f>
        <v>5701.12640801001</v>
      </c>
      <c r="T13" s="27" t="n">
        <f aca="false">T11*(1-T12)</f>
        <v>5938.34793491865</v>
      </c>
      <c r="U13" s="27" t="n">
        <f aca="false">U11*(1-U12)</f>
        <v>6167.75969962453</v>
      </c>
      <c r="V13" s="27" t="n">
        <f aca="false">V11*(1-V12)</f>
        <v>6389.36170212766</v>
      </c>
      <c r="W13" s="27" t="n">
        <f aca="false">W11*(1-W12)</f>
        <v>6411.48936170213</v>
      </c>
      <c r="X13" s="27" t="n">
        <f aca="false">X11*(1-X12)</f>
        <v>6430.85106382979</v>
      </c>
      <c r="Y13" s="27" t="n">
        <f aca="false">Y11*(1-Y12)</f>
        <v>6447.44680851064</v>
      </c>
      <c r="Z13" s="27" t="n">
        <f aca="false">Z11*(1-Z12)</f>
        <v>6461.27659574468</v>
      </c>
      <c r="AA13" s="27" t="n">
        <f aca="false">AA11*(1-AA12)</f>
        <v>6372.76595744681</v>
      </c>
      <c r="AB13" s="27" t="n">
        <f aca="false">AB11*(1-AB12)</f>
        <v>6284.25531914894</v>
      </c>
      <c r="AC13" s="27" t="n">
        <f aca="false">AC11*(1-AC12)</f>
        <v>6195.74468085107</v>
      </c>
      <c r="AD13" s="27" t="n">
        <f aca="false">AD11*(1-AD12)</f>
        <v>6107.23404255319</v>
      </c>
      <c r="AE13" s="27" t="n">
        <f aca="false">AE11*(1-AE12)</f>
        <v>6018.72340425532</v>
      </c>
      <c r="AF13" s="27" t="n">
        <f aca="false">AF11*(1-AF12)</f>
        <v>5930.21276595745</v>
      </c>
      <c r="AG13" s="27" t="n">
        <f aca="false">AG11*(1-AG12)</f>
        <v>5841.70212765957</v>
      </c>
      <c r="AH13" s="27" t="n">
        <f aca="false">AH11*(1-AH12)</f>
        <v>6472.34042553192</v>
      </c>
      <c r="AI13" s="27" t="n">
        <f aca="false">AI11*(1-AI12)</f>
        <v>6461.27659574468</v>
      </c>
      <c r="AJ13" s="27" t="n">
        <f aca="false">AJ11*(1-AJ12)</f>
        <v>6447.44680851064</v>
      </c>
      <c r="AK13" s="27" t="n">
        <f aca="false">AK11*(1-AK12)</f>
        <v>6430.85106382979</v>
      </c>
      <c r="AL13" s="27" t="n">
        <f aca="false">AL11*(1-AL12)</f>
        <v>6411.48936170213</v>
      </c>
      <c r="AM13" s="27" t="n">
        <f aca="false">AM11*(1-AM12)</f>
        <v>6389.36170212766</v>
      </c>
      <c r="AN13" s="27" t="n">
        <f aca="false">AN11*(1-AN12)</f>
        <v>6364.46808510638</v>
      </c>
      <c r="AO13" s="27" t="n">
        <f aca="false">AO11*(1-AO12)</f>
        <v>6336.8085106383</v>
      </c>
      <c r="AP13" s="27" t="n">
        <f aca="false">AP11*(1-AP12)</f>
        <v>6306.3829787234</v>
      </c>
      <c r="AQ13" s="27" t="n">
        <f aca="false">AQ11*(1-AQ12)</f>
        <v>6273.1914893617</v>
      </c>
      <c r="AR13" s="27" t="n">
        <f aca="false">AR11*(1-AR12)</f>
        <v>6237.23404255319</v>
      </c>
      <c r="AS13" s="27" t="n">
        <f aca="false">AS11*(1-AS12)</f>
        <v>6198.51063829787</v>
      </c>
      <c r="AT13" s="27" t="n">
        <f aca="false">AT11*(1-AT12)</f>
        <v>6157.02127659575</v>
      </c>
      <c r="AU13" s="27" t="n">
        <f aca="false">AU11*(1-AU12)</f>
        <v>6112.76595744681</v>
      </c>
      <c r="AV13" s="27" t="n">
        <f aca="false">AV11*(1-AV12)</f>
        <v>6065.74468085107</v>
      </c>
      <c r="AW13" s="27" t="n">
        <f aca="false">AW11*(1-AW12)</f>
        <v>6015.95744680851</v>
      </c>
      <c r="AX13" s="27" t="n">
        <f aca="false">AX11*(1-AX12)</f>
        <v>5963.40425531915</v>
      </c>
      <c r="AY13" s="27" t="n">
        <f aca="false">AY11*(1-AY12)</f>
        <v>5908.08510638298</v>
      </c>
      <c r="AZ13" s="27" t="n">
        <f aca="false">AZ11*(1-AZ12)</f>
        <v>5850</v>
      </c>
      <c r="BA13" s="27" t="n">
        <f aca="false">BA11*(1-BA12)</f>
        <v>5915</v>
      </c>
      <c r="BB13" s="27" t="n">
        <f aca="false">BB11*(1-BB12)</f>
        <v>5980</v>
      </c>
      <c r="BC13" s="27" t="n">
        <f aca="false">BC11*(1-BC12)</f>
        <v>6045</v>
      </c>
      <c r="BD13" s="27" t="n">
        <f aca="false">BD11*(1-BD12)</f>
        <v>6110</v>
      </c>
      <c r="BE13" s="27" t="n">
        <f aca="false">BE11*(1-BE12)</f>
        <v>6175</v>
      </c>
      <c r="BF13" s="27" t="n">
        <f aca="false">BF11*(1-BF12)</f>
        <v>6240</v>
      </c>
      <c r="BG13" s="27" t="n">
        <f aca="false">BG11*(1-BG12)</f>
        <v>6305</v>
      </c>
      <c r="BH13" s="27" t="n">
        <f aca="false">BH11*(1-BH12)</f>
        <v>6370</v>
      </c>
      <c r="BI13" s="27" t="n">
        <f aca="false">BI11*(1-BI12)</f>
        <v>6435</v>
      </c>
      <c r="BJ13" s="27" t="n">
        <f aca="false">BJ11*(1-BJ12)</f>
        <v>6500</v>
      </c>
      <c r="BK13" s="27" t="n">
        <f aca="false">BK11*(1-BK12)</f>
        <v>6565</v>
      </c>
      <c r="BL13" s="27" t="n">
        <f aca="false">BL11*(1-BL12)</f>
        <v>6630</v>
      </c>
    </row>
    <row r="14" customFormat="false" ht="15" hidden="false" customHeight="false" outlineLevel="0" collapsed="false">
      <c r="B14" s="2" t="s">
        <v>271</v>
      </c>
      <c r="C14" s="2" t="s">
        <v>268</v>
      </c>
      <c r="E14" s="27" t="n">
        <f aca="false">E11*E12</f>
        <v>0</v>
      </c>
      <c r="F14" s="27" t="n">
        <f aca="false">F11*F12</f>
        <v>20.5006257822278</v>
      </c>
      <c r="G14" s="27" t="n">
        <f aca="false">G11*G12</f>
        <v>48.811013767209</v>
      </c>
      <c r="H14" s="27" t="n">
        <f aca="false">H11*H12</f>
        <v>84.9311639549437</v>
      </c>
      <c r="I14" s="27" t="n">
        <f aca="false">I11*I12</f>
        <v>128.861076345432</v>
      </c>
      <c r="J14" s="27" t="n">
        <f aca="false">J11*J12</f>
        <v>180.600750938673</v>
      </c>
      <c r="K14" s="27" t="n">
        <f aca="false">K11*K12</f>
        <v>240.150187734668</v>
      </c>
      <c r="L14" s="27" t="n">
        <f aca="false">L11*L12</f>
        <v>307.509386733417</v>
      </c>
      <c r="M14" s="27" t="n">
        <f aca="false">M11*M12</f>
        <v>382.678347934919</v>
      </c>
      <c r="N14" s="27" t="n">
        <f aca="false">N11*N12</f>
        <v>465.657071339174</v>
      </c>
      <c r="O14" s="27" t="n">
        <f aca="false">O11*O12</f>
        <v>556.445556946183</v>
      </c>
      <c r="P14" s="27" t="n">
        <f aca="false">P11*P12</f>
        <v>655.043804755945</v>
      </c>
      <c r="Q14" s="27" t="n">
        <f aca="false">Q11*Q12</f>
        <v>761.451814768461</v>
      </c>
      <c r="R14" s="27" t="n">
        <f aca="false">R11*R12</f>
        <v>875.66958698373</v>
      </c>
      <c r="S14" s="27" t="n">
        <f aca="false">S11*S12</f>
        <v>997.697121401752</v>
      </c>
      <c r="T14" s="27" t="n">
        <f aca="false">T11*T12</f>
        <v>1127.53441802253</v>
      </c>
      <c r="U14" s="27" t="n">
        <f aca="false">U11*U12</f>
        <v>1265.18147684606</v>
      </c>
      <c r="V14" s="27" t="n">
        <f aca="false">V11*V12</f>
        <v>1410.63829787234</v>
      </c>
      <c r="W14" s="27" t="n">
        <f aca="false">W11*W12</f>
        <v>1518.51063829787</v>
      </c>
      <c r="X14" s="27" t="n">
        <f aca="false">X11*X12</f>
        <v>1629.14893617021</v>
      </c>
      <c r="Y14" s="27" t="n">
        <f aca="false">Y11*Y12</f>
        <v>1742.55319148936</v>
      </c>
      <c r="Z14" s="27" t="n">
        <f aca="false">Z11*Z12</f>
        <v>1858.72340425532</v>
      </c>
      <c r="AA14" s="27" t="n">
        <f aca="false">AA11*AA12</f>
        <v>1947.23404255319</v>
      </c>
      <c r="AB14" s="27" t="n">
        <f aca="false">AB11*AB12</f>
        <v>2035.74468085106</v>
      </c>
      <c r="AC14" s="27" t="n">
        <f aca="false">AC11*AC12</f>
        <v>2124.25531914894</v>
      </c>
      <c r="AD14" s="27" t="n">
        <f aca="false">AD11*AD12</f>
        <v>2212.76595744681</v>
      </c>
      <c r="AE14" s="27" t="n">
        <f aca="false">AE11*AE12</f>
        <v>2301.27659574468</v>
      </c>
      <c r="AF14" s="27" t="n">
        <f aca="false">AF11*AF12</f>
        <v>2389.78723404255</v>
      </c>
      <c r="AG14" s="27" t="n">
        <f aca="false">AG11*AG12</f>
        <v>2478.29787234043</v>
      </c>
      <c r="AH14" s="27" t="n">
        <f aca="false">AH11*AH12</f>
        <v>2887.65957446809</v>
      </c>
      <c r="AI14" s="27" t="n">
        <f aca="false">AI11*AI12</f>
        <v>3028.72340425532</v>
      </c>
      <c r="AJ14" s="27" t="n">
        <f aca="false">AJ11*AJ12</f>
        <v>3172.55319148936</v>
      </c>
      <c r="AK14" s="27" t="n">
        <f aca="false">AK11*AK12</f>
        <v>3319.14893617021</v>
      </c>
      <c r="AL14" s="27" t="n">
        <f aca="false">AL11*AL12</f>
        <v>3468.51063829787</v>
      </c>
      <c r="AM14" s="27" t="n">
        <f aca="false">AM11*AM12</f>
        <v>3620.63829787234</v>
      </c>
      <c r="AN14" s="27" t="n">
        <f aca="false">AN11*AN12</f>
        <v>3775.53191489362</v>
      </c>
      <c r="AO14" s="27" t="n">
        <f aca="false">AO11*AO12</f>
        <v>3933.1914893617</v>
      </c>
      <c r="AP14" s="27" t="n">
        <f aca="false">AP11*AP12</f>
        <v>4093.6170212766</v>
      </c>
      <c r="AQ14" s="27" t="n">
        <f aca="false">AQ11*AQ12</f>
        <v>4256.8085106383</v>
      </c>
      <c r="AR14" s="27" t="n">
        <f aca="false">AR11*AR12</f>
        <v>4422.76595744681</v>
      </c>
      <c r="AS14" s="27" t="n">
        <f aca="false">AS11*AS12</f>
        <v>4591.48936170213</v>
      </c>
      <c r="AT14" s="27" t="n">
        <f aca="false">AT11*AT12</f>
        <v>4762.97872340426</v>
      </c>
      <c r="AU14" s="27" t="n">
        <f aca="false">AU11*AU12</f>
        <v>4937.23404255319</v>
      </c>
      <c r="AV14" s="27" t="n">
        <f aca="false">AV11*AV12</f>
        <v>5114.25531914894</v>
      </c>
      <c r="AW14" s="27" t="n">
        <f aca="false">AW11*AW12</f>
        <v>5294.04255319149</v>
      </c>
      <c r="AX14" s="27" t="n">
        <f aca="false">AX11*AX12</f>
        <v>5476.59574468085</v>
      </c>
      <c r="AY14" s="27" t="n">
        <f aca="false">AY11*AY12</f>
        <v>5661.91489361702</v>
      </c>
      <c r="AZ14" s="27" t="n">
        <f aca="false">AZ11*AZ12</f>
        <v>5850</v>
      </c>
      <c r="BA14" s="27" t="n">
        <f aca="false">BA11*BA12</f>
        <v>5915</v>
      </c>
      <c r="BB14" s="27" t="n">
        <f aca="false">BB11*BB12</f>
        <v>5980</v>
      </c>
      <c r="BC14" s="27" t="n">
        <f aca="false">BC11*BC12</f>
        <v>6045</v>
      </c>
      <c r="BD14" s="27" t="n">
        <f aca="false">BD11*BD12</f>
        <v>6110</v>
      </c>
      <c r="BE14" s="27" t="n">
        <f aca="false">BE11*BE12</f>
        <v>6175</v>
      </c>
      <c r="BF14" s="27" t="n">
        <f aca="false">BF11*BF12</f>
        <v>6240</v>
      </c>
      <c r="BG14" s="27" t="n">
        <f aca="false">BG11*BG12</f>
        <v>6305</v>
      </c>
      <c r="BH14" s="27" t="n">
        <f aca="false">BH11*BH12</f>
        <v>6370</v>
      </c>
      <c r="BI14" s="27" t="n">
        <f aca="false">BI11*BI12</f>
        <v>6435</v>
      </c>
      <c r="BJ14" s="27" t="n">
        <f aca="false">BJ11*BJ12</f>
        <v>6500</v>
      </c>
      <c r="BK14" s="27" t="n">
        <f aca="false">BK11*BK12</f>
        <v>6565</v>
      </c>
      <c r="BL14" s="27" t="n">
        <f aca="false">BL11*BL12</f>
        <v>6630</v>
      </c>
    </row>
    <row r="15" customFormat="false" ht="15" hidden="false" customHeight="false" outlineLevel="0" collapsed="false">
      <c r="B15" s="9" t="s">
        <v>272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customFormat="false" ht="15" hidden="false" customHeight="false" outlineLevel="0" collapsed="false">
      <c r="B16" s="2" t="s">
        <v>273</v>
      </c>
      <c r="C16" s="2" t="s">
        <v>141</v>
      </c>
      <c r="E16" s="27" t="n">
        <f aca="false">E13*Hypotheses!$E$19</f>
        <v>1092000</v>
      </c>
      <c r="F16" s="27" t="n">
        <f aca="false">F13*Hypotheses!$E$19</f>
        <v>1334590.73842303</v>
      </c>
      <c r="G16" s="27" t="n">
        <f aca="false">G13*Hypotheses!$E$19</f>
        <v>1571714.64330413</v>
      </c>
      <c r="H16" s="27" t="n">
        <f aca="false">H13*Hypotheses!$E$19</f>
        <v>1803371.7146433</v>
      </c>
      <c r="I16" s="27" t="n">
        <f aca="false">I13*Hypotheses!$E$19</f>
        <v>2029561.95244055</v>
      </c>
      <c r="J16" s="27" t="n">
        <f aca="false">J13*Hypotheses!$E$19</f>
        <v>2250285.35669587</v>
      </c>
      <c r="K16" s="27" t="n">
        <f aca="false">K13*Hypotheses!$E$19</f>
        <v>2465541.92740926</v>
      </c>
      <c r="L16" s="27" t="n">
        <f aca="false">L13*Hypotheses!$E$19</f>
        <v>2675331.66458073</v>
      </c>
      <c r="M16" s="27" t="n">
        <f aca="false">M13*Hypotheses!$E$19</f>
        <v>2879654.56821026</v>
      </c>
      <c r="N16" s="27" t="n">
        <f aca="false">N13*Hypotheses!$E$19</f>
        <v>3078510.63829787</v>
      </c>
      <c r="O16" s="27" t="n">
        <f aca="false">O13*Hypotheses!$E$19</f>
        <v>3271899.87484355</v>
      </c>
      <c r="P16" s="27" t="n">
        <f aca="false">P13*Hypotheses!$E$19</f>
        <v>3459822.27784731</v>
      </c>
      <c r="Q16" s="27" t="n">
        <f aca="false">Q13*Hypotheses!$E$19</f>
        <v>3642277.84730914</v>
      </c>
      <c r="R16" s="27" t="n">
        <f aca="false">R13*Hypotheses!$E$19</f>
        <v>3819266.58322904</v>
      </c>
      <c r="S16" s="27" t="n">
        <f aca="false">S13*Hypotheses!$E$19</f>
        <v>3990788.48560701</v>
      </c>
      <c r="T16" s="27" t="n">
        <f aca="false">T13*Hypotheses!$E$19</f>
        <v>4156843.55444305</v>
      </c>
      <c r="U16" s="27" t="n">
        <f aca="false">U13*Hypotheses!$E$19</f>
        <v>4317431.78973717</v>
      </c>
      <c r="V16" s="27" t="n">
        <f aca="false">V13*Hypotheses!$E$19</f>
        <v>4472553.19148936</v>
      </c>
      <c r="W16" s="27" t="n">
        <f aca="false">W13*Hypotheses!$E$19</f>
        <v>4488042.55319149</v>
      </c>
      <c r="X16" s="27" t="n">
        <f aca="false">X13*Hypotheses!$E$19</f>
        <v>4501595.74468085</v>
      </c>
      <c r="Y16" s="27" t="n">
        <f aca="false">Y13*Hypotheses!$E$19</f>
        <v>4513212.76595745</v>
      </c>
      <c r="Z16" s="27" t="n">
        <f aca="false">Z13*Hypotheses!$E$19</f>
        <v>4522893.61702128</v>
      </c>
      <c r="AA16" s="27" t="n">
        <f aca="false">AA13*Hypotheses!$E$19</f>
        <v>4460936.17021277</v>
      </c>
      <c r="AB16" s="27" t="n">
        <f aca="false">AB13*Hypotheses!$E$19</f>
        <v>4398978.72340426</v>
      </c>
      <c r="AC16" s="27" t="n">
        <f aca="false">AC13*Hypotheses!$E$19</f>
        <v>4337021.27659575</v>
      </c>
      <c r="AD16" s="27" t="n">
        <f aca="false">AD13*Hypotheses!$E$19</f>
        <v>4275063.82978723</v>
      </c>
      <c r="AE16" s="27" t="n">
        <f aca="false">AE13*Hypotheses!$E$19</f>
        <v>4213106.38297872</v>
      </c>
      <c r="AF16" s="27" t="n">
        <f aca="false">AF13*Hypotheses!$E$19</f>
        <v>4151148.93617021</v>
      </c>
      <c r="AG16" s="27" t="n">
        <f aca="false">AG13*Hypotheses!$E$19</f>
        <v>4089191.4893617</v>
      </c>
      <c r="AH16" s="27" t="n">
        <f aca="false">AH13*Hypotheses!$E$19</f>
        <v>4530638.29787234</v>
      </c>
      <c r="AI16" s="27" t="n">
        <f aca="false">AI13*Hypotheses!$E$19</f>
        <v>4522893.61702128</v>
      </c>
      <c r="AJ16" s="27" t="n">
        <f aca="false">AJ13*Hypotheses!$E$19</f>
        <v>4513212.76595745</v>
      </c>
      <c r="AK16" s="27" t="n">
        <f aca="false">AK13*Hypotheses!$E$19</f>
        <v>4501595.74468085</v>
      </c>
      <c r="AL16" s="27" t="n">
        <f aca="false">AL13*Hypotheses!$E$19</f>
        <v>4488042.55319149</v>
      </c>
      <c r="AM16" s="27" t="n">
        <f aca="false">AM13*Hypotheses!$E$19</f>
        <v>4472553.19148936</v>
      </c>
      <c r="AN16" s="27" t="n">
        <f aca="false">AN13*Hypotheses!$E$19</f>
        <v>4455127.65957447</v>
      </c>
      <c r="AO16" s="27" t="n">
        <f aca="false">AO13*Hypotheses!$E$19</f>
        <v>4435765.95744681</v>
      </c>
      <c r="AP16" s="27" t="n">
        <f aca="false">AP13*Hypotheses!$E$19</f>
        <v>4414468.08510638</v>
      </c>
      <c r="AQ16" s="27" t="n">
        <f aca="false">AQ13*Hypotheses!$E$19</f>
        <v>4391234.04255319</v>
      </c>
      <c r="AR16" s="27" t="n">
        <f aca="false">AR13*Hypotheses!$E$19</f>
        <v>4366063.82978724</v>
      </c>
      <c r="AS16" s="27" t="n">
        <f aca="false">AS13*Hypotheses!$E$19</f>
        <v>4338957.44680851</v>
      </c>
      <c r="AT16" s="27" t="n">
        <f aca="false">AT13*Hypotheses!$E$19</f>
        <v>4309914.89361702</v>
      </c>
      <c r="AU16" s="27" t="n">
        <f aca="false">AU13*Hypotheses!$E$19</f>
        <v>4278936.17021277</v>
      </c>
      <c r="AV16" s="27" t="n">
        <f aca="false">AV13*Hypotheses!$E$19</f>
        <v>4246021.27659575</v>
      </c>
      <c r="AW16" s="27" t="n">
        <f aca="false">AW13*Hypotheses!$E$19</f>
        <v>4211170.21276596</v>
      </c>
      <c r="AX16" s="27" t="n">
        <f aca="false">AX13*Hypotheses!$E$19</f>
        <v>4174382.9787234</v>
      </c>
      <c r="AY16" s="27" t="n">
        <f aca="false">AY13*Hypotheses!$E$19</f>
        <v>4135659.57446809</v>
      </c>
      <c r="AZ16" s="27" t="n">
        <f aca="false">AZ13*Hypotheses!$E$19</f>
        <v>4095000</v>
      </c>
      <c r="BA16" s="27" t="n">
        <f aca="false">BA13*Hypotheses!$E$19</f>
        <v>4140500</v>
      </c>
      <c r="BB16" s="27" t="n">
        <f aca="false">BB13*Hypotheses!$E$19</f>
        <v>4186000</v>
      </c>
      <c r="BC16" s="27" t="n">
        <f aca="false">BC13*Hypotheses!$E$19</f>
        <v>4231500</v>
      </c>
      <c r="BD16" s="27" t="n">
        <f aca="false">BD13*Hypotheses!$E$19</f>
        <v>4277000</v>
      </c>
      <c r="BE16" s="27" t="n">
        <f aca="false">BE13*Hypotheses!$E$19</f>
        <v>4322500</v>
      </c>
      <c r="BF16" s="27" t="n">
        <f aca="false">BF13*Hypotheses!$E$19</f>
        <v>4368000</v>
      </c>
      <c r="BG16" s="27" t="n">
        <f aca="false">BG13*Hypotheses!$E$19</f>
        <v>4413500</v>
      </c>
      <c r="BH16" s="27" t="n">
        <f aca="false">BH13*Hypotheses!$E$19</f>
        <v>4459000</v>
      </c>
      <c r="BI16" s="27" t="n">
        <f aca="false">BI13*Hypotheses!$E$19</f>
        <v>4504500</v>
      </c>
      <c r="BJ16" s="27" t="n">
        <f aca="false">BJ13*Hypotheses!$E$19</f>
        <v>4550000</v>
      </c>
      <c r="BK16" s="27" t="n">
        <f aca="false">BK13*Hypotheses!$E$19</f>
        <v>4595500</v>
      </c>
      <c r="BL16" s="27" t="n">
        <f aca="false">BL13*Hypotheses!$E$19</f>
        <v>4641000</v>
      </c>
    </row>
    <row r="17" customFormat="false" ht="15" hidden="false" customHeight="false" outlineLevel="0" collapsed="false">
      <c r="B17" s="2" t="s">
        <v>274</v>
      </c>
      <c r="C17" s="2" t="s">
        <v>141</v>
      </c>
      <c r="E17" s="27" t="n">
        <f aca="false">E14*Hypotheses!$E$20</f>
        <v>0</v>
      </c>
      <c r="F17" s="27" t="n">
        <f aca="false">F14*Hypotheses!$E$20</f>
        <v>22550.6883604506</v>
      </c>
      <c r="G17" s="27" t="n">
        <f aca="false">G14*Hypotheses!$E$20</f>
        <v>53692.1151439299</v>
      </c>
      <c r="H17" s="27" t="n">
        <f aca="false">H14*Hypotheses!$E$20</f>
        <v>93424.2803504381</v>
      </c>
      <c r="I17" s="27" t="n">
        <f aca="false">I14*Hypotheses!$E$20</f>
        <v>141747.183979975</v>
      </c>
      <c r="J17" s="27" t="n">
        <f aca="false">J14*Hypotheses!$E$20</f>
        <v>198660.826032541</v>
      </c>
      <c r="K17" s="27" t="n">
        <f aca="false">K14*Hypotheses!$E$20</f>
        <v>264165.206508135</v>
      </c>
      <c r="L17" s="27" t="n">
        <f aca="false">L14*Hypotheses!$E$20</f>
        <v>338260.325406758</v>
      </c>
      <c r="M17" s="27" t="n">
        <f aca="false">M14*Hypotheses!$E$20</f>
        <v>420946.18272841</v>
      </c>
      <c r="N17" s="27" t="n">
        <f aca="false">N14*Hypotheses!$E$20</f>
        <v>512222.778473091</v>
      </c>
      <c r="O17" s="27" t="n">
        <f aca="false">O14*Hypotheses!$E$20</f>
        <v>612090.112640801</v>
      </c>
      <c r="P17" s="27" t="n">
        <f aca="false">P14*Hypotheses!$E$20</f>
        <v>720548.185231539</v>
      </c>
      <c r="Q17" s="27" t="n">
        <f aca="false">Q14*Hypotheses!$E$20</f>
        <v>837596.996245307</v>
      </c>
      <c r="R17" s="27" t="n">
        <f aca="false">R14*Hypotheses!$E$20</f>
        <v>963236.545682103</v>
      </c>
      <c r="S17" s="27" t="n">
        <f aca="false">S14*Hypotheses!$E$20</f>
        <v>1097466.83354193</v>
      </c>
      <c r="T17" s="27" t="n">
        <f aca="false">T14*Hypotheses!$E$20</f>
        <v>1240287.85982478</v>
      </c>
      <c r="U17" s="27" t="n">
        <f aca="false">U14*Hypotheses!$E$20</f>
        <v>1391699.62453066</v>
      </c>
      <c r="V17" s="27" t="n">
        <f aca="false">V14*Hypotheses!$E$20</f>
        <v>1551702.12765957</v>
      </c>
      <c r="W17" s="27" t="n">
        <f aca="false">W14*Hypotheses!$E$20</f>
        <v>1670361.70212766</v>
      </c>
      <c r="X17" s="27" t="n">
        <f aca="false">X14*Hypotheses!$E$20</f>
        <v>1792063.82978723</v>
      </c>
      <c r="Y17" s="27" t="n">
        <f aca="false">Y14*Hypotheses!$E$20</f>
        <v>1916808.5106383</v>
      </c>
      <c r="Z17" s="27" t="n">
        <f aca="false">Z14*Hypotheses!$E$20</f>
        <v>2044595.74468085</v>
      </c>
      <c r="AA17" s="27" t="n">
        <f aca="false">AA14*Hypotheses!$E$20</f>
        <v>2141957.44680851</v>
      </c>
      <c r="AB17" s="27" t="n">
        <f aca="false">AB14*Hypotheses!$E$20</f>
        <v>2239319.14893617</v>
      </c>
      <c r="AC17" s="27" t="n">
        <f aca="false">AC14*Hypotheses!$E$20</f>
        <v>2336680.85106383</v>
      </c>
      <c r="AD17" s="27" t="n">
        <f aca="false">AD14*Hypotheses!$E$20</f>
        <v>2434042.55319149</v>
      </c>
      <c r="AE17" s="27" t="n">
        <f aca="false">AE14*Hypotheses!$E$20</f>
        <v>2531404.25531915</v>
      </c>
      <c r="AF17" s="27" t="n">
        <f aca="false">AF14*Hypotheses!$E$20</f>
        <v>2628765.95744681</v>
      </c>
      <c r="AG17" s="27" t="n">
        <f aca="false">AG14*Hypotheses!$E$20</f>
        <v>2726127.65957447</v>
      </c>
      <c r="AH17" s="27" t="n">
        <f aca="false">AH14*Hypotheses!$E$20</f>
        <v>3176425.53191489</v>
      </c>
      <c r="AI17" s="27" t="n">
        <f aca="false">AI14*Hypotheses!$E$20</f>
        <v>3331595.74468085</v>
      </c>
      <c r="AJ17" s="27" t="n">
        <f aca="false">AJ14*Hypotheses!$E$20</f>
        <v>3489808.5106383</v>
      </c>
      <c r="AK17" s="27" t="n">
        <f aca="false">AK14*Hypotheses!$E$20</f>
        <v>3651063.82978723</v>
      </c>
      <c r="AL17" s="27" t="n">
        <f aca="false">AL14*Hypotheses!$E$20</f>
        <v>3815361.70212766</v>
      </c>
      <c r="AM17" s="27" t="n">
        <f aca="false">AM14*Hypotheses!$E$20</f>
        <v>3982702.12765957</v>
      </c>
      <c r="AN17" s="27" t="n">
        <f aca="false">AN14*Hypotheses!$E$20</f>
        <v>4153085.10638298</v>
      </c>
      <c r="AO17" s="27" t="n">
        <f aca="false">AO14*Hypotheses!$E$20</f>
        <v>4326510.63829787</v>
      </c>
      <c r="AP17" s="27" t="n">
        <f aca="false">AP14*Hypotheses!$E$20</f>
        <v>4502978.72340426</v>
      </c>
      <c r="AQ17" s="27" t="n">
        <f aca="false">AQ14*Hypotheses!$E$20</f>
        <v>4682489.36170213</v>
      </c>
      <c r="AR17" s="27" t="n">
        <f aca="false">AR14*Hypotheses!$E$20</f>
        <v>4865042.55319149</v>
      </c>
      <c r="AS17" s="27" t="n">
        <f aca="false">AS14*Hypotheses!$E$20</f>
        <v>5050638.29787234</v>
      </c>
      <c r="AT17" s="27" t="n">
        <f aca="false">AT14*Hypotheses!$E$20</f>
        <v>5239276.59574468</v>
      </c>
      <c r="AU17" s="27" t="n">
        <f aca="false">AU14*Hypotheses!$E$20</f>
        <v>5430957.44680851</v>
      </c>
      <c r="AV17" s="27" t="n">
        <f aca="false">AV14*Hypotheses!$E$20</f>
        <v>5625680.85106383</v>
      </c>
      <c r="AW17" s="27" t="n">
        <f aca="false">AW14*Hypotheses!$E$20</f>
        <v>5823446.80851064</v>
      </c>
      <c r="AX17" s="27" t="n">
        <f aca="false">AX14*Hypotheses!$E$20</f>
        <v>6024255.31914894</v>
      </c>
      <c r="AY17" s="27" t="n">
        <f aca="false">AY14*Hypotheses!$E$20</f>
        <v>6228106.38297872</v>
      </c>
      <c r="AZ17" s="27" t="n">
        <f aca="false">AZ14*Hypotheses!$E$20</f>
        <v>6435000</v>
      </c>
      <c r="BA17" s="27" t="n">
        <f aca="false">BA14*Hypotheses!$E$20</f>
        <v>6506500</v>
      </c>
      <c r="BB17" s="27" t="n">
        <f aca="false">BB14*Hypotheses!$E$20</f>
        <v>6578000</v>
      </c>
      <c r="BC17" s="27" t="n">
        <f aca="false">BC14*Hypotheses!$E$20</f>
        <v>6649500</v>
      </c>
      <c r="BD17" s="27" t="n">
        <f aca="false">BD14*Hypotheses!$E$20</f>
        <v>6721000</v>
      </c>
      <c r="BE17" s="27" t="n">
        <f aca="false">BE14*Hypotheses!$E$20</f>
        <v>6792500</v>
      </c>
      <c r="BF17" s="27" t="n">
        <f aca="false">BF14*Hypotheses!$E$20</f>
        <v>6864000</v>
      </c>
      <c r="BG17" s="27" t="n">
        <f aca="false">BG14*Hypotheses!$E$20</f>
        <v>6935500</v>
      </c>
      <c r="BH17" s="27" t="n">
        <f aca="false">BH14*Hypotheses!$E$20</f>
        <v>7007000</v>
      </c>
      <c r="BI17" s="27" t="n">
        <f aca="false">BI14*Hypotheses!$E$20</f>
        <v>7078500</v>
      </c>
      <c r="BJ17" s="27" t="n">
        <f aca="false">BJ14*Hypotheses!$E$20</f>
        <v>7150000</v>
      </c>
      <c r="BK17" s="27" t="n">
        <f aca="false">BK14*Hypotheses!$E$20</f>
        <v>7221500</v>
      </c>
      <c r="BL17" s="27" t="n">
        <f aca="false">BL14*Hypotheses!$E$20</f>
        <v>7293000</v>
      </c>
    </row>
    <row r="18" customFormat="false" ht="15" hidden="false" customHeight="false" outlineLevel="0" collapsed="false">
      <c r="B18" s="3" t="s">
        <v>36</v>
      </c>
      <c r="C18" s="2" t="s">
        <v>141</v>
      </c>
      <c r="E18" s="28" t="n">
        <f aca="false">E16+E17</f>
        <v>1092000</v>
      </c>
      <c r="F18" s="28" t="n">
        <f aca="false">F16+F17</f>
        <v>1357141.42678348</v>
      </c>
      <c r="G18" s="28" t="n">
        <f aca="false">G16+G17</f>
        <v>1625406.75844806</v>
      </c>
      <c r="H18" s="28" t="n">
        <f aca="false">H16+H17</f>
        <v>1896795.99499374</v>
      </c>
      <c r="I18" s="28" t="n">
        <f aca="false">I16+I17</f>
        <v>2171309.13642053</v>
      </c>
      <c r="J18" s="28" t="n">
        <f aca="false">J16+J17</f>
        <v>2448946.18272841</v>
      </c>
      <c r="K18" s="28" t="n">
        <f aca="false">K16+K17</f>
        <v>2729707.1339174</v>
      </c>
      <c r="L18" s="28" t="n">
        <f aca="false">L16+L17</f>
        <v>3013591.98998748</v>
      </c>
      <c r="M18" s="28" t="n">
        <f aca="false">M16+M17</f>
        <v>3300600.75093867</v>
      </c>
      <c r="N18" s="28" t="n">
        <f aca="false">N16+N17</f>
        <v>3590733.41677096</v>
      </c>
      <c r="O18" s="28" t="n">
        <f aca="false">O16+O17</f>
        <v>3883989.98748436</v>
      </c>
      <c r="P18" s="28" t="n">
        <f aca="false">P16+P17</f>
        <v>4180370.46307885</v>
      </c>
      <c r="Q18" s="28" t="n">
        <f aca="false">Q16+Q17</f>
        <v>4479874.84355444</v>
      </c>
      <c r="R18" s="28" t="n">
        <f aca="false">R16+R17</f>
        <v>4782503.12891114</v>
      </c>
      <c r="S18" s="28" t="n">
        <f aca="false">S16+S17</f>
        <v>5088255.31914894</v>
      </c>
      <c r="T18" s="28" t="n">
        <f aca="false">T16+T17</f>
        <v>5397131.41426784</v>
      </c>
      <c r="U18" s="28" t="n">
        <f aca="false">U16+U17</f>
        <v>5709131.41426784</v>
      </c>
      <c r="V18" s="28" t="n">
        <f aca="false">V16+V17</f>
        <v>6024255.31914894</v>
      </c>
      <c r="W18" s="28" t="n">
        <f aca="false">W16+W17</f>
        <v>6158404.25531915</v>
      </c>
      <c r="X18" s="28" t="n">
        <f aca="false">X16+X17</f>
        <v>6293659.57446809</v>
      </c>
      <c r="Y18" s="28" t="n">
        <f aca="false">Y16+Y17</f>
        <v>6430021.27659575</v>
      </c>
      <c r="Z18" s="28" t="n">
        <f aca="false">Z16+Z17</f>
        <v>6567489.36170213</v>
      </c>
      <c r="AA18" s="28" t="n">
        <f aca="false">AA16+AA17</f>
        <v>6602893.61702128</v>
      </c>
      <c r="AB18" s="28" t="n">
        <f aca="false">AB16+AB17</f>
        <v>6638297.87234043</v>
      </c>
      <c r="AC18" s="28" t="n">
        <f aca="false">AC16+AC17</f>
        <v>6673702.12765957</v>
      </c>
      <c r="AD18" s="28" t="n">
        <f aca="false">AD16+AD17</f>
        <v>6709106.38297872</v>
      </c>
      <c r="AE18" s="28" t="n">
        <f aca="false">AE16+AE17</f>
        <v>6744510.63829787</v>
      </c>
      <c r="AF18" s="28" t="n">
        <f aca="false">AF16+AF17</f>
        <v>6779914.89361702</v>
      </c>
      <c r="AG18" s="28" t="n">
        <f aca="false">AG16+AG17</f>
        <v>6815319.14893617</v>
      </c>
      <c r="AH18" s="28" t="n">
        <f aca="false">AH16+AH17</f>
        <v>7707063.82978723</v>
      </c>
      <c r="AI18" s="28" t="n">
        <f aca="false">AI16+AI17</f>
        <v>7854489.36170213</v>
      </c>
      <c r="AJ18" s="28" t="n">
        <f aca="false">AJ16+AJ17</f>
        <v>8003021.27659574</v>
      </c>
      <c r="AK18" s="28" t="n">
        <f aca="false">AK16+AK17</f>
        <v>8152659.57446809</v>
      </c>
      <c r="AL18" s="28" t="n">
        <f aca="false">AL16+AL17</f>
        <v>8303404.25531915</v>
      </c>
      <c r="AM18" s="28" t="n">
        <f aca="false">AM16+AM17</f>
        <v>8455255.31914894</v>
      </c>
      <c r="AN18" s="28" t="n">
        <f aca="false">AN16+AN17</f>
        <v>8608212.76595745</v>
      </c>
      <c r="AO18" s="28" t="n">
        <f aca="false">AO16+AO17</f>
        <v>8762276.59574468</v>
      </c>
      <c r="AP18" s="28" t="n">
        <f aca="false">AP16+AP17</f>
        <v>8917446.80851064</v>
      </c>
      <c r="AQ18" s="28" t="n">
        <f aca="false">AQ16+AQ17</f>
        <v>9073723.40425532</v>
      </c>
      <c r="AR18" s="28" t="n">
        <f aca="false">AR16+AR17</f>
        <v>9231106.38297872</v>
      </c>
      <c r="AS18" s="28" t="n">
        <f aca="false">AS16+AS17</f>
        <v>9389595.74468085</v>
      </c>
      <c r="AT18" s="28" t="n">
        <f aca="false">AT16+AT17</f>
        <v>9549191.4893617</v>
      </c>
      <c r="AU18" s="28" t="n">
        <f aca="false">AU16+AU17</f>
        <v>9709893.61702128</v>
      </c>
      <c r="AV18" s="28" t="n">
        <f aca="false">AV16+AV17</f>
        <v>9871702.12765957</v>
      </c>
      <c r="AW18" s="28" t="n">
        <f aca="false">AW16+AW17</f>
        <v>10034617.0212766</v>
      </c>
      <c r="AX18" s="28" t="n">
        <f aca="false">AX16+AX17</f>
        <v>10198638.2978723</v>
      </c>
      <c r="AY18" s="28" t="n">
        <f aca="false">AY16+AY17</f>
        <v>10363765.9574468</v>
      </c>
      <c r="AZ18" s="28" t="n">
        <f aca="false">AZ16+AZ17</f>
        <v>10530000</v>
      </c>
      <c r="BA18" s="28" t="n">
        <f aca="false">BA16+BA17</f>
        <v>10647000</v>
      </c>
      <c r="BB18" s="28" t="n">
        <f aca="false">BB16+BB17</f>
        <v>10764000</v>
      </c>
      <c r="BC18" s="28" t="n">
        <f aca="false">BC16+BC17</f>
        <v>10881000</v>
      </c>
      <c r="BD18" s="28" t="n">
        <f aca="false">BD16+BD17</f>
        <v>10998000</v>
      </c>
      <c r="BE18" s="28" t="n">
        <f aca="false">BE16+BE17</f>
        <v>11115000</v>
      </c>
      <c r="BF18" s="28" t="n">
        <f aca="false">BF16+BF17</f>
        <v>11232000</v>
      </c>
      <c r="BG18" s="28" t="n">
        <f aca="false">BG16+BG17</f>
        <v>11349000</v>
      </c>
      <c r="BH18" s="28" t="n">
        <f aca="false">BH16+BH17</f>
        <v>11466000</v>
      </c>
      <c r="BI18" s="28" t="n">
        <f aca="false">BI16+BI17</f>
        <v>11583000</v>
      </c>
      <c r="BJ18" s="28" t="n">
        <f aca="false">BJ16+BJ17</f>
        <v>11700000</v>
      </c>
      <c r="BK18" s="28" t="n">
        <f aca="false">BK16+BK17</f>
        <v>11817000</v>
      </c>
      <c r="BL18" s="28" t="n">
        <f aca="false">BL16+BL17</f>
        <v>11934000</v>
      </c>
    </row>
    <row r="19" customFormat="false" ht="15" hidden="false" customHeight="false" outlineLevel="0" collapsed="false">
      <c r="B19" s="2" t="s">
        <v>275</v>
      </c>
      <c r="C19" s="2" t="s">
        <v>141</v>
      </c>
      <c r="E19" s="27" t="n">
        <f aca="false">-E11*(Hypotheses!$E$23*Hypotheses!$E$24/1000+Hypotheses!$E$25*Hypotheses!$E$26+Hypotheses!$E$27+Hypotheses!$E$28+Hypotheses!$E$29+Hypotheses!$E$30)</f>
        <v>-354900</v>
      </c>
      <c r="F19" s="27" t="n">
        <f aca="false">-F11*(Hypotheses!$E$23*Hypotheses!$E$24/1000+Hypotheses!$E$25*Hypotheses!$E$26+Hypotheses!$E$27+Hypotheses!$E$28+Hypotheses!$E$29+Hypotheses!$E$30)</f>
        <v>-438405.882352941</v>
      </c>
      <c r="G19" s="27" t="n">
        <f aca="false">-G11*(Hypotheses!$E$23*Hypotheses!$E$24/1000+Hypotheses!$E$25*Hypotheses!$E$26+Hypotheses!$E$27+Hypotheses!$E$28+Hypotheses!$E$29+Hypotheses!$E$30)</f>
        <v>-521911.764705882</v>
      </c>
      <c r="H19" s="27" t="n">
        <f aca="false">-H11*(Hypotheses!$E$23*Hypotheses!$E$24/1000+Hypotheses!$E$25*Hypotheses!$E$26+Hypotheses!$E$27+Hypotheses!$E$28+Hypotheses!$E$29+Hypotheses!$E$30)</f>
        <v>-605417.647058824</v>
      </c>
      <c r="I19" s="27" t="n">
        <f aca="false">-I11*(Hypotheses!$E$23*Hypotheses!$E$24/1000+Hypotheses!$E$25*Hypotheses!$E$26+Hypotheses!$E$27+Hypotheses!$E$28+Hypotheses!$E$29+Hypotheses!$E$30)</f>
        <v>-688923.529411765</v>
      </c>
      <c r="J19" s="27" t="n">
        <f aca="false">-J11*(Hypotheses!$E$23*Hypotheses!$E$24/1000+Hypotheses!$E$25*Hypotheses!$E$26+Hypotheses!$E$27+Hypotheses!$E$28+Hypotheses!$E$29+Hypotheses!$E$30)</f>
        <v>-772429.411764706</v>
      </c>
      <c r="K19" s="27" t="n">
        <f aca="false">-K11*(Hypotheses!$E$23*Hypotheses!$E$24/1000+Hypotheses!$E$25*Hypotheses!$E$26+Hypotheses!$E$27+Hypotheses!$E$28+Hypotheses!$E$29+Hypotheses!$E$30)</f>
        <v>-855935.294117647</v>
      </c>
      <c r="L19" s="27" t="n">
        <f aca="false">-L11*(Hypotheses!$E$23*Hypotheses!$E$24/1000+Hypotheses!$E$25*Hypotheses!$E$26+Hypotheses!$E$27+Hypotheses!$E$28+Hypotheses!$E$29+Hypotheses!$E$30)</f>
        <v>-939441.176470588</v>
      </c>
      <c r="M19" s="27" t="n">
        <f aca="false">-M11*(Hypotheses!$E$23*Hypotheses!$E$24/1000+Hypotheses!$E$25*Hypotheses!$E$26+Hypotheses!$E$27+Hypotheses!$E$28+Hypotheses!$E$29+Hypotheses!$E$30)</f>
        <v>-1022947.05882353</v>
      </c>
      <c r="N19" s="27" t="n">
        <f aca="false">-N11*(Hypotheses!$E$23*Hypotheses!$E$24/1000+Hypotheses!$E$25*Hypotheses!$E$26+Hypotheses!$E$27+Hypotheses!$E$28+Hypotheses!$E$29+Hypotheses!$E$30)</f>
        <v>-1106452.94117647</v>
      </c>
      <c r="O19" s="27" t="n">
        <f aca="false">-O11*(Hypotheses!$E$23*Hypotheses!$E$24/1000+Hypotheses!$E$25*Hypotheses!$E$26+Hypotheses!$E$27+Hypotheses!$E$28+Hypotheses!$E$29+Hypotheses!$E$30)</f>
        <v>-1189958.82352941</v>
      </c>
      <c r="P19" s="27" t="n">
        <f aca="false">-P11*(Hypotheses!$E$23*Hypotheses!$E$24/1000+Hypotheses!$E$25*Hypotheses!$E$26+Hypotheses!$E$27+Hypotheses!$E$28+Hypotheses!$E$29+Hypotheses!$E$30)</f>
        <v>-1273464.70588235</v>
      </c>
      <c r="Q19" s="27" t="n">
        <f aca="false">-Q11*(Hypotheses!$E$23*Hypotheses!$E$24/1000+Hypotheses!$E$25*Hypotheses!$E$26+Hypotheses!$E$27+Hypotheses!$E$28+Hypotheses!$E$29+Hypotheses!$E$30)</f>
        <v>-1356970.58823529</v>
      </c>
      <c r="R19" s="27" t="n">
        <f aca="false">-R11*(Hypotheses!$E$23*Hypotheses!$E$24/1000+Hypotheses!$E$25*Hypotheses!$E$26+Hypotheses!$E$27+Hypotheses!$E$28+Hypotheses!$E$29+Hypotheses!$E$30)</f>
        <v>-1440476.47058824</v>
      </c>
      <c r="S19" s="27" t="n">
        <f aca="false">-S11*(Hypotheses!$E$23*Hypotheses!$E$24/1000+Hypotheses!$E$25*Hypotheses!$E$26+Hypotheses!$E$27+Hypotheses!$E$28+Hypotheses!$E$29+Hypotheses!$E$30)</f>
        <v>-1523982.35294118</v>
      </c>
      <c r="T19" s="27" t="n">
        <f aca="false">-T11*(Hypotheses!$E$23*Hypotheses!$E$24/1000+Hypotheses!$E$25*Hypotheses!$E$26+Hypotheses!$E$27+Hypotheses!$E$28+Hypotheses!$E$29+Hypotheses!$E$30)</f>
        <v>-1607488.23529412</v>
      </c>
      <c r="U19" s="27" t="n">
        <f aca="false">-U11*(Hypotheses!$E$23*Hypotheses!$E$24/1000+Hypotheses!$E$25*Hypotheses!$E$26+Hypotheses!$E$27+Hypotheses!$E$28+Hypotheses!$E$29+Hypotheses!$E$30)</f>
        <v>-1690994.11764706</v>
      </c>
      <c r="V19" s="27" t="n">
        <f aca="false">-V11*(Hypotheses!$E$23*Hypotheses!$E$24/1000+Hypotheses!$E$25*Hypotheses!$E$26+Hypotheses!$E$27+Hypotheses!$E$28+Hypotheses!$E$29+Hypotheses!$E$30)</f>
        <v>-1774500</v>
      </c>
      <c r="W19" s="27" t="n">
        <f aca="false">-W11*(Hypotheses!$E$23*Hypotheses!$E$24/1000+Hypotheses!$E$25*Hypotheses!$E$26+Hypotheses!$E$27+Hypotheses!$E$28+Hypotheses!$E$29+Hypotheses!$E$30)</f>
        <v>-1804075</v>
      </c>
      <c r="X19" s="27" t="n">
        <f aca="false">-X11*(Hypotheses!$E$23*Hypotheses!$E$24/1000+Hypotheses!$E$25*Hypotheses!$E$26+Hypotheses!$E$27+Hypotheses!$E$28+Hypotheses!$E$29+Hypotheses!$E$30)</f>
        <v>-1833650</v>
      </c>
      <c r="Y19" s="27" t="n">
        <f aca="false">-Y11*(Hypotheses!$E$23*Hypotheses!$E$24/1000+Hypotheses!$E$25*Hypotheses!$E$26+Hypotheses!$E$27+Hypotheses!$E$28+Hypotheses!$E$29+Hypotheses!$E$30)</f>
        <v>-1863225</v>
      </c>
      <c r="Z19" s="27" t="n">
        <f aca="false">-Z11*(Hypotheses!$E$23*Hypotheses!$E$24/1000+Hypotheses!$E$25*Hypotheses!$E$26+Hypotheses!$E$27+Hypotheses!$E$28+Hypotheses!$E$29+Hypotheses!$E$30)</f>
        <v>-1892800</v>
      </c>
      <c r="AA19" s="27" t="n">
        <f aca="false">-AA11*(Hypotheses!$E$23*Hypotheses!$E$24/1000+Hypotheses!$E$25*Hypotheses!$E$26+Hypotheses!$E$27+Hypotheses!$E$28+Hypotheses!$E$29+Hypotheses!$E$30)</f>
        <v>-1892800</v>
      </c>
      <c r="AB19" s="27" t="n">
        <f aca="false">-AB11*(Hypotheses!$E$23*Hypotheses!$E$24/1000+Hypotheses!$E$25*Hypotheses!$E$26+Hypotheses!$E$27+Hypotheses!$E$28+Hypotheses!$E$29+Hypotheses!$E$30)</f>
        <v>-1892800</v>
      </c>
      <c r="AC19" s="27" t="n">
        <f aca="false">-AC11*(Hypotheses!$E$23*Hypotheses!$E$24/1000+Hypotheses!$E$25*Hypotheses!$E$26+Hypotheses!$E$27+Hypotheses!$E$28+Hypotheses!$E$29+Hypotheses!$E$30)</f>
        <v>-1892800</v>
      </c>
      <c r="AD19" s="27" t="n">
        <f aca="false">-AD11*(Hypotheses!$E$23*Hypotheses!$E$24/1000+Hypotheses!$E$25*Hypotheses!$E$26+Hypotheses!$E$27+Hypotheses!$E$28+Hypotheses!$E$29+Hypotheses!$E$30)</f>
        <v>-1892800</v>
      </c>
      <c r="AE19" s="27" t="n">
        <f aca="false">-AE11*(Hypotheses!$E$23*Hypotheses!$E$24/1000+Hypotheses!$E$25*Hypotheses!$E$26+Hypotheses!$E$27+Hypotheses!$E$28+Hypotheses!$E$29+Hypotheses!$E$30)</f>
        <v>-1892800</v>
      </c>
      <c r="AF19" s="27" t="n">
        <f aca="false">-AF11*(Hypotheses!$E$23*Hypotheses!$E$24/1000+Hypotheses!$E$25*Hypotheses!$E$26+Hypotheses!$E$27+Hypotheses!$E$28+Hypotheses!$E$29+Hypotheses!$E$30)</f>
        <v>-1892800</v>
      </c>
      <c r="AG19" s="27" t="n">
        <f aca="false">-AG11*(Hypotheses!$E$23*Hypotheses!$E$24/1000+Hypotheses!$E$25*Hypotheses!$E$26+Hypotheses!$E$27+Hypotheses!$E$28+Hypotheses!$E$29+Hypotheses!$E$30)</f>
        <v>-1892800</v>
      </c>
      <c r="AH19" s="27" t="n">
        <f aca="false">-AH11*(Hypotheses!$E$23*Hypotheses!$E$24/1000+Hypotheses!$E$25*Hypotheses!$E$26+Hypotheses!$E$27+Hypotheses!$E$28+Hypotheses!$E$29+Hypotheses!$E$30)</f>
        <v>-2129400</v>
      </c>
      <c r="AI19" s="27" t="n">
        <f aca="false">-AI11*(Hypotheses!$E$23*Hypotheses!$E$24/1000+Hypotheses!$E$25*Hypotheses!$E$26+Hypotheses!$E$27+Hypotheses!$E$28+Hypotheses!$E$29+Hypotheses!$E$30)</f>
        <v>-2158975</v>
      </c>
      <c r="AJ19" s="27" t="n">
        <f aca="false">-AJ11*(Hypotheses!$E$23*Hypotheses!$E$24/1000+Hypotheses!$E$25*Hypotheses!$E$26+Hypotheses!$E$27+Hypotheses!$E$28+Hypotheses!$E$29+Hypotheses!$E$30)</f>
        <v>-2188550</v>
      </c>
      <c r="AK19" s="27" t="n">
        <f aca="false">-AK11*(Hypotheses!$E$23*Hypotheses!$E$24/1000+Hypotheses!$E$25*Hypotheses!$E$26+Hypotheses!$E$27+Hypotheses!$E$28+Hypotheses!$E$29+Hypotheses!$E$30)</f>
        <v>-2218125</v>
      </c>
      <c r="AL19" s="27" t="n">
        <f aca="false">-AL11*(Hypotheses!$E$23*Hypotheses!$E$24/1000+Hypotheses!$E$25*Hypotheses!$E$26+Hypotheses!$E$27+Hypotheses!$E$28+Hypotheses!$E$29+Hypotheses!$E$30)</f>
        <v>-2247700</v>
      </c>
      <c r="AM19" s="27" t="n">
        <f aca="false">-AM11*(Hypotheses!$E$23*Hypotheses!$E$24/1000+Hypotheses!$E$25*Hypotheses!$E$26+Hypotheses!$E$27+Hypotheses!$E$28+Hypotheses!$E$29+Hypotheses!$E$30)</f>
        <v>-2277275</v>
      </c>
      <c r="AN19" s="27" t="n">
        <f aca="false">-AN11*(Hypotheses!$E$23*Hypotheses!$E$24/1000+Hypotheses!$E$25*Hypotheses!$E$26+Hypotheses!$E$27+Hypotheses!$E$28+Hypotheses!$E$29+Hypotheses!$E$30)</f>
        <v>-2306850</v>
      </c>
      <c r="AO19" s="27" t="n">
        <f aca="false">-AO11*(Hypotheses!$E$23*Hypotheses!$E$24/1000+Hypotheses!$E$25*Hypotheses!$E$26+Hypotheses!$E$27+Hypotheses!$E$28+Hypotheses!$E$29+Hypotheses!$E$30)</f>
        <v>-2336425</v>
      </c>
      <c r="AP19" s="27" t="n">
        <f aca="false">-AP11*(Hypotheses!$E$23*Hypotheses!$E$24/1000+Hypotheses!$E$25*Hypotheses!$E$26+Hypotheses!$E$27+Hypotheses!$E$28+Hypotheses!$E$29+Hypotheses!$E$30)</f>
        <v>-2366000</v>
      </c>
      <c r="AQ19" s="27" t="n">
        <f aca="false">-AQ11*(Hypotheses!$E$23*Hypotheses!$E$24/1000+Hypotheses!$E$25*Hypotheses!$E$26+Hypotheses!$E$27+Hypotheses!$E$28+Hypotheses!$E$29+Hypotheses!$E$30)</f>
        <v>-2395575</v>
      </c>
      <c r="AR19" s="27" t="n">
        <f aca="false">-AR11*(Hypotheses!$E$23*Hypotheses!$E$24/1000+Hypotheses!$E$25*Hypotheses!$E$26+Hypotheses!$E$27+Hypotheses!$E$28+Hypotheses!$E$29+Hypotheses!$E$30)</f>
        <v>-2425150</v>
      </c>
      <c r="AS19" s="27" t="n">
        <f aca="false">-AS11*(Hypotheses!$E$23*Hypotheses!$E$24/1000+Hypotheses!$E$25*Hypotheses!$E$26+Hypotheses!$E$27+Hypotheses!$E$28+Hypotheses!$E$29+Hypotheses!$E$30)</f>
        <v>-2454725</v>
      </c>
      <c r="AT19" s="27" t="n">
        <f aca="false">-AT11*(Hypotheses!$E$23*Hypotheses!$E$24/1000+Hypotheses!$E$25*Hypotheses!$E$26+Hypotheses!$E$27+Hypotheses!$E$28+Hypotheses!$E$29+Hypotheses!$E$30)</f>
        <v>-2484300</v>
      </c>
      <c r="AU19" s="27" t="n">
        <f aca="false">-AU11*(Hypotheses!$E$23*Hypotheses!$E$24/1000+Hypotheses!$E$25*Hypotheses!$E$26+Hypotheses!$E$27+Hypotheses!$E$28+Hypotheses!$E$29+Hypotheses!$E$30)</f>
        <v>-2513875</v>
      </c>
      <c r="AV19" s="27" t="n">
        <f aca="false">-AV11*(Hypotheses!$E$23*Hypotheses!$E$24/1000+Hypotheses!$E$25*Hypotheses!$E$26+Hypotheses!$E$27+Hypotheses!$E$28+Hypotheses!$E$29+Hypotheses!$E$30)</f>
        <v>-2543450</v>
      </c>
      <c r="AW19" s="27" t="n">
        <f aca="false">-AW11*(Hypotheses!$E$23*Hypotheses!$E$24/1000+Hypotheses!$E$25*Hypotheses!$E$26+Hypotheses!$E$27+Hypotheses!$E$28+Hypotheses!$E$29+Hypotheses!$E$30)</f>
        <v>-2573025</v>
      </c>
      <c r="AX19" s="27" t="n">
        <f aca="false">-AX11*(Hypotheses!$E$23*Hypotheses!$E$24/1000+Hypotheses!$E$25*Hypotheses!$E$26+Hypotheses!$E$27+Hypotheses!$E$28+Hypotheses!$E$29+Hypotheses!$E$30)</f>
        <v>-2602600</v>
      </c>
      <c r="AY19" s="27" t="n">
        <f aca="false">-AY11*(Hypotheses!$E$23*Hypotheses!$E$24/1000+Hypotheses!$E$25*Hypotheses!$E$26+Hypotheses!$E$27+Hypotheses!$E$28+Hypotheses!$E$29+Hypotheses!$E$30)</f>
        <v>-2632175</v>
      </c>
      <c r="AZ19" s="27" t="n">
        <f aca="false">-AZ11*(Hypotheses!$E$23*Hypotheses!$E$24/1000+Hypotheses!$E$25*Hypotheses!$E$26+Hypotheses!$E$27+Hypotheses!$E$28+Hypotheses!$E$29+Hypotheses!$E$30)</f>
        <v>-2661750</v>
      </c>
      <c r="BA19" s="27" t="n">
        <f aca="false">-BA11*(Hypotheses!$E$23*Hypotheses!$E$24/1000+Hypotheses!$E$25*Hypotheses!$E$26+Hypotheses!$E$27+Hypotheses!$E$28+Hypotheses!$E$29+Hypotheses!$E$30)</f>
        <v>-2691325</v>
      </c>
      <c r="BB19" s="27" t="n">
        <f aca="false">-BB11*(Hypotheses!$E$23*Hypotheses!$E$24/1000+Hypotheses!$E$25*Hypotheses!$E$26+Hypotheses!$E$27+Hypotheses!$E$28+Hypotheses!$E$29+Hypotheses!$E$30)</f>
        <v>-2720900</v>
      </c>
      <c r="BC19" s="27" t="n">
        <f aca="false">-BC11*(Hypotheses!$E$23*Hypotheses!$E$24/1000+Hypotheses!$E$25*Hypotheses!$E$26+Hypotheses!$E$27+Hypotheses!$E$28+Hypotheses!$E$29+Hypotheses!$E$30)</f>
        <v>-2750475</v>
      </c>
      <c r="BD19" s="27" t="n">
        <f aca="false">-BD11*(Hypotheses!$E$23*Hypotheses!$E$24/1000+Hypotheses!$E$25*Hypotheses!$E$26+Hypotheses!$E$27+Hypotheses!$E$28+Hypotheses!$E$29+Hypotheses!$E$30)</f>
        <v>-2780050</v>
      </c>
      <c r="BE19" s="27" t="n">
        <f aca="false">-BE11*(Hypotheses!$E$23*Hypotheses!$E$24/1000+Hypotheses!$E$25*Hypotheses!$E$26+Hypotheses!$E$27+Hypotheses!$E$28+Hypotheses!$E$29+Hypotheses!$E$30)</f>
        <v>-2809625</v>
      </c>
      <c r="BF19" s="27" t="n">
        <f aca="false">-BF11*(Hypotheses!$E$23*Hypotheses!$E$24/1000+Hypotheses!$E$25*Hypotheses!$E$26+Hypotheses!$E$27+Hypotheses!$E$28+Hypotheses!$E$29+Hypotheses!$E$30)</f>
        <v>-2839200</v>
      </c>
      <c r="BG19" s="27" t="n">
        <f aca="false">-BG11*(Hypotheses!$E$23*Hypotheses!$E$24/1000+Hypotheses!$E$25*Hypotheses!$E$26+Hypotheses!$E$27+Hypotheses!$E$28+Hypotheses!$E$29+Hypotheses!$E$30)</f>
        <v>-2868775</v>
      </c>
      <c r="BH19" s="27" t="n">
        <f aca="false">-BH11*(Hypotheses!$E$23*Hypotheses!$E$24/1000+Hypotheses!$E$25*Hypotheses!$E$26+Hypotheses!$E$27+Hypotheses!$E$28+Hypotheses!$E$29+Hypotheses!$E$30)</f>
        <v>-2898350</v>
      </c>
      <c r="BI19" s="27" t="n">
        <f aca="false">-BI11*(Hypotheses!$E$23*Hypotheses!$E$24/1000+Hypotheses!$E$25*Hypotheses!$E$26+Hypotheses!$E$27+Hypotheses!$E$28+Hypotheses!$E$29+Hypotheses!$E$30)</f>
        <v>-2927925</v>
      </c>
      <c r="BJ19" s="27" t="n">
        <f aca="false">-BJ11*(Hypotheses!$E$23*Hypotheses!$E$24/1000+Hypotheses!$E$25*Hypotheses!$E$26+Hypotheses!$E$27+Hypotheses!$E$28+Hypotheses!$E$29+Hypotheses!$E$30)</f>
        <v>-2957500</v>
      </c>
      <c r="BK19" s="27" t="n">
        <f aca="false">-BK11*(Hypotheses!$E$23*Hypotheses!$E$24/1000+Hypotheses!$E$25*Hypotheses!$E$26+Hypotheses!$E$27+Hypotheses!$E$28+Hypotheses!$E$29+Hypotheses!$E$30)</f>
        <v>-2987075</v>
      </c>
      <c r="BL19" s="27" t="n">
        <f aca="false">-BL11*(Hypotheses!$E$23*Hypotheses!$E$24/1000+Hypotheses!$E$25*Hypotheses!$E$26+Hypotheses!$E$27+Hypotheses!$E$28+Hypotheses!$E$29+Hypotheses!$E$30)</f>
        <v>-3016650</v>
      </c>
    </row>
    <row r="20" customFormat="false" ht="15" hidden="false" customHeight="false" outlineLevel="0" collapsed="false">
      <c r="B20" s="2" t="s">
        <v>276</v>
      </c>
      <c r="C20" s="2" t="s">
        <v>141</v>
      </c>
      <c r="D20" s="27" t="n">
        <f aca="false">0</f>
        <v>0</v>
      </c>
      <c r="E20" s="27" t="n">
        <f aca="false">E14/Hypotheses!$E$17*Hypotheses!$E$33*Hypotheses!$E$32</f>
        <v>0</v>
      </c>
      <c r="F20" s="27" t="n">
        <f aca="false">F14/Hypotheses!$E$17*Hypotheses!$E$33*Hypotheses!$E$32</f>
        <v>24837.296620776</v>
      </c>
      <c r="G20" s="27" t="n">
        <f aca="false">G14/Hypotheses!$E$17*Hypotheses!$E$33*Hypotheses!$E$32</f>
        <v>59136.4205256571</v>
      </c>
      <c r="H20" s="27" t="n">
        <f aca="false">H14/Hypotheses!$E$17*Hypotheses!$E$33*Hypotheses!$E$32</f>
        <v>102897.371714643</v>
      </c>
      <c r="I20" s="27" t="n">
        <f aca="false">I14/Hypotheses!$E$17*Hypotheses!$E$33*Hypotheses!$E$32</f>
        <v>156120.150187735</v>
      </c>
      <c r="J20" s="27" t="n">
        <f aca="false">J14/Hypotheses!$E$17*Hypotheses!$E$33*Hypotheses!$E$32</f>
        <v>218804.755944931</v>
      </c>
      <c r="K20" s="27" t="n">
        <f aca="false">K14/Hypotheses!$E$17*Hypotheses!$E$33*Hypotheses!$E$32</f>
        <v>290951.188986233</v>
      </c>
      <c r="L20" s="27" t="n">
        <f aca="false">L14/Hypotheses!$E$17*Hypotheses!$E$33*Hypotheses!$E$32</f>
        <v>372559.44931164</v>
      </c>
      <c r="M20" s="27" t="n">
        <f aca="false">M14/Hypotheses!$E$17*Hypotheses!$E$33*Hypotheses!$E$32</f>
        <v>463629.536921151</v>
      </c>
      <c r="N20" s="27" t="n">
        <f aca="false">N14/Hypotheses!$E$17*Hypotheses!$E$33*Hypotheses!$E$32</f>
        <v>564161.451814769</v>
      </c>
      <c r="O20" s="27" t="n">
        <f aca="false">O14/Hypotheses!$E$17*Hypotheses!$E$33*Hypotheses!$E$32</f>
        <v>674155.193992491</v>
      </c>
      <c r="P20" s="27" t="n">
        <f aca="false">P14/Hypotheses!$E$17*Hypotheses!$E$33*Hypotheses!$E$32</f>
        <v>793610.763454318</v>
      </c>
      <c r="Q20" s="27" t="n">
        <f aca="false">Q14/Hypotheses!$E$17*Hypotheses!$E$33*Hypotheses!$E$32</f>
        <v>922528.16020025</v>
      </c>
      <c r="R20" s="27" t="n">
        <f aca="false">R14/Hypotheses!$E$17*Hypotheses!$E$33*Hypotheses!$E$32</f>
        <v>1060907.38423029</v>
      </c>
      <c r="S20" s="27" t="n">
        <f aca="false">S14/Hypotheses!$E$17*Hypotheses!$E$33*Hypotheses!$E$32</f>
        <v>1208748.43554443</v>
      </c>
      <c r="T20" s="27" t="n">
        <f aca="false">T14/Hypotheses!$E$17*Hypotheses!$E$33*Hypotheses!$E$32</f>
        <v>1366051.31414268</v>
      </c>
      <c r="U20" s="27" t="n">
        <f aca="false">U14/Hypotheses!$E$17*Hypotheses!$E$33*Hypotheses!$E$32</f>
        <v>1532816.02002503</v>
      </c>
      <c r="V20" s="27" t="n">
        <f aca="false">V14/Hypotheses!$E$17*Hypotheses!$E$33*Hypotheses!$E$32</f>
        <v>1709042.55319149</v>
      </c>
      <c r="W20" s="27" t="n">
        <f aca="false">W14/Hypotheses!$E$17*Hypotheses!$E$33*Hypotheses!$E$32</f>
        <v>1839734.04255319</v>
      </c>
      <c r="X20" s="27" t="n">
        <f aca="false">X14/Hypotheses!$E$17*Hypotheses!$E$33*Hypotheses!$E$32</f>
        <v>1973776.59574468</v>
      </c>
      <c r="Y20" s="27" t="n">
        <f aca="false">Y14/Hypotheses!$E$17*Hypotheses!$E$33*Hypotheses!$E$32</f>
        <v>2111170.21276596</v>
      </c>
      <c r="Z20" s="27" t="n">
        <f aca="false">Z14/Hypotheses!$E$17*Hypotheses!$E$33*Hypotheses!$E$32</f>
        <v>2251914.89361702</v>
      </c>
      <c r="AA20" s="27" t="n">
        <f aca="false">AA14/Hypotheses!$E$17*Hypotheses!$E$33*Hypotheses!$E$32</f>
        <v>2359148.93617021</v>
      </c>
      <c r="AB20" s="27" t="n">
        <f aca="false">AB14/Hypotheses!$E$17*Hypotheses!$E$33*Hypotheses!$E$32</f>
        <v>2466382.9787234</v>
      </c>
      <c r="AC20" s="27" t="n">
        <f aca="false">AC14/Hypotheses!$E$17*Hypotheses!$E$33*Hypotheses!$E$32</f>
        <v>2573617.0212766</v>
      </c>
      <c r="AD20" s="27" t="n">
        <f aca="false">AD14/Hypotheses!$E$17*Hypotheses!$E$33*Hypotheses!$E$32</f>
        <v>2680851.06382979</v>
      </c>
      <c r="AE20" s="27" t="n">
        <f aca="false">AE14/Hypotheses!$E$17*Hypotheses!$E$33*Hypotheses!$E$32</f>
        <v>2788085.10638298</v>
      </c>
      <c r="AF20" s="27" t="n">
        <f aca="false">AF14/Hypotheses!$E$17*Hypotheses!$E$33*Hypotheses!$E$32</f>
        <v>2895319.14893617</v>
      </c>
      <c r="AG20" s="27" t="n">
        <f aca="false">AG14/Hypotheses!$E$17*Hypotheses!$E$33*Hypotheses!$E$32</f>
        <v>3002553.19148936</v>
      </c>
      <c r="AH20" s="27" t="n">
        <f aca="false">AH14/Hypotheses!$E$17*Hypotheses!$E$33*Hypotheses!$E$32</f>
        <v>3498510.63829787</v>
      </c>
      <c r="AI20" s="27" t="n">
        <f aca="false">AI14/Hypotheses!$E$17*Hypotheses!$E$33*Hypotheses!$E$32</f>
        <v>3669414.89361702</v>
      </c>
      <c r="AJ20" s="27" t="n">
        <f aca="false">AJ14/Hypotheses!$E$17*Hypotheses!$E$33*Hypotheses!$E$32</f>
        <v>3843670.21276596</v>
      </c>
      <c r="AK20" s="27" t="n">
        <f aca="false">AK14/Hypotheses!$E$17*Hypotheses!$E$33*Hypotheses!$E$32</f>
        <v>4021276.59574468</v>
      </c>
      <c r="AL20" s="27" t="n">
        <f aca="false">AL14/Hypotheses!$E$17*Hypotheses!$E$33*Hypotheses!$E$32</f>
        <v>4202234.04255319</v>
      </c>
      <c r="AM20" s="27" t="n">
        <f aca="false">AM14/Hypotheses!$E$17*Hypotheses!$E$33*Hypotheses!$E$32</f>
        <v>4386542.55319149</v>
      </c>
      <c r="AN20" s="27" t="n">
        <f aca="false">AN14/Hypotheses!$E$17*Hypotheses!$E$33*Hypotheses!$E$32</f>
        <v>4574202.12765957</v>
      </c>
      <c r="AO20" s="27" t="n">
        <f aca="false">AO14/Hypotheses!$E$17*Hypotheses!$E$33*Hypotheses!$E$32</f>
        <v>4765212.76595745</v>
      </c>
      <c r="AP20" s="27" t="n">
        <f aca="false">AP14/Hypotheses!$E$17*Hypotheses!$E$33*Hypotheses!$E$32</f>
        <v>4959574.46808511</v>
      </c>
      <c r="AQ20" s="27" t="n">
        <f aca="false">AQ14/Hypotheses!$E$17*Hypotheses!$E$33*Hypotheses!$E$32</f>
        <v>5157287.23404255</v>
      </c>
      <c r="AR20" s="27" t="n">
        <f aca="false">AR14/Hypotheses!$E$17*Hypotheses!$E$33*Hypotheses!$E$32</f>
        <v>5358351.06382979</v>
      </c>
      <c r="AS20" s="27" t="n">
        <f aca="false">AS14/Hypotheses!$E$17*Hypotheses!$E$33*Hypotheses!$E$32</f>
        <v>5562765.95744681</v>
      </c>
      <c r="AT20" s="27" t="n">
        <f aca="false">AT14/Hypotheses!$E$17*Hypotheses!$E$33*Hypotheses!$E$32</f>
        <v>5770531.91489362</v>
      </c>
      <c r="AU20" s="27" t="n">
        <f aca="false">AU14/Hypotheses!$E$17*Hypotheses!$E$33*Hypotheses!$E$32</f>
        <v>5981648.93617021</v>
      </c>
      <c r="AV20" s="27" t="n">
        <f aca="false">AV14/Hypotheses!$E$17*Hypotheses!$E$33*Hypotheses!$E$32</f>
        <v>6196117.0212766</v>
      </c>
      <c r="AW20" s="27" t="n">
        <f aca="false">AW14/Hypotheses!$E$17*Hypotheses!$E$33*Hypotheses!$E$32</f>
        <v>6413936.17021277</v>
      </c>
      <c r="AX20" s="27" t="n">
        <f aca="false">AX14/Hypotheses!$E$17*Hypotheses!$E$33*Hypotheses!$E$32</f>
        <v>6635106.38297872</v>
      </c>
      <c r="AY20" s="27" t="n">
        <f aca="false">AY14/Hypotheses!$E$17*Hypotheses!$E$33*Hypotheses!$E$32</f>
        <v>6859627.65957447</v>
      </c>
      <c r="AZ20" s="27" t="n">
        <f aca="false">AZ14/Hypotheses!$E$17*Hypotheses!$E$33*Hypotheses!$E$32</f>
        <v>7087500</v>
      </c>
      <c r="BA20" s="27" t="n">
        <f aca="false">BA14/Hypotheses!$E$17*Hypotheses!$E$33*Hypotheses!$E$32</f>
        <v>7166250</v>
      </c>
      <c r="BB20" s="27" t="n">
        <f aca="false">BB14/Hypotheses!$E$17*Hypotheses!$E$33*Hypotheses!$E$32</f>
        <v>7245000</v>
      </c>
      <c r="BC20" s="27" t="n">
        <f aca="false">BC14/Hypotheses!$E$17*Hypotheses!$E$33*Hypotheses!$E$32</f>
        <v>7323750</v>
      </c>
      <c r="BD20" s="27" t="n">
        <f aca="false">BD14/Hypotheses!$E$17*Hypotheses!$E$33*Hypotheses!$E$32</f>
        <v>7402500</v>
      </c>
      <c r="BE20" s="27" t="n">
        <f aca="false">BE14/Hypotheses!$E$17*Hypotheses!$E$33*Hypotheses!$E$32</f>
        <v>7481250</v>
      </c>
      <c r="BF20" s="27" t="n">
        <f aca="false">BF14/Hypotheses!$E$17*Hypotheses!$E$33*Hypotheses!$E$32</f>
        <v>7560000</v>
      </c>
      <c r="BG20" s="27" t="n">
        <f aca="false">BG14/Hypotheses!$E$17*Hypotheses!$E$33*Hypotheses!$E$32</f>
        <v>7638750</v>
      </c>
      <c r="BH20" s="27" t="n">
        <f aca="false">BH14/Hypotheses!$E$17*Hypotheses!$E$33*Hypotheses!$E$32</f>
        <v>7717500</v>
      </c>
      <c r="BI20" s="27" t="n">
        <f aca="false">BI14/Hypotheses!$E$17*Hypotheses!$E$33*Hypotheses!$E$32</f>
        <v>7796250</v>
      </c>
      <c r="BJ20" s="27" t="n">
        <f aca="false">BJ14/Hypotheses!$E$17*Hypotheses!$E$33*Hypotheses!$E$32</f>
        <v>7875000</v>
      </c>
      <c r="BK20" s="27" t="n">
        <f aca="false">BK14/Hypotheses!$E$17*Hypotheses!$E$33*Hypotheses!$E$32</f>
        <v>7953750</v>
      </c>
      <c r="BL20" s="27" t="n">
        <f aca="false">BL14/Hypotheses!$E$17*Hypotheses!$E$33*Hypotheses!$E$32</f>
        <v>8032500</v>
      </c>
    </row>
    <row r="21" customFormat="false" ht="15" hidden="false" customHeight="false" outlineLevel="0" collapsed="false">
      <c r="B21" s="2" t="s">
        <v>277</v>
      </c>
      <c r="C21" s="2" t="s">
        <v>141</v>
      </c>
      <c r="E21" s="27" t="n">
        <f aca="false">-(E14/Hypotheses!$E$34*Hypotheses!$E$32+E20*Hypotheses!$E$35)</f>
        <v>-0</v>
      </c>
      <c r="F21" s="27" t="n">
        <f aca="false">-(F14/Hypotheses!$E$34*Hypotheses!$E$32+F20*Hypotheses!$E$35)</f>
        <v>-1478.41051314143</v>
      </c>
      <c r="G21" s="27" t="n">
        <f aca="false">-(G14/Hypotheses!$E$34*Hypotheses!$E$32+G20*Hypotheses!$E$35)</f>
        <v>-3520.02503128911</v>
      </c>
      <c r="H21" s="27" t="n">
        <f aca="false">-(H14/Hypotheses!$E$34*Hypotheses!$E$32+H20*Hypotheses!$E$35)</f>
        <v>-6124.84355444305</v>
      </c>
      <c r="I21" s="27" t="n">
        <f aca="false">-(I14/Hypotheses!$E$34*Hypotheses!$E$32+I20*Hypotheses!$E$35)</f>
        <v>-9292.86608260325</v>
      </c>
      <c r="J21" s="27" t="n">
        <f aca="false">-(J14/Hypotheses!$E$34*Hypotheses!$E$32+J20*Hypotheses!$E$35)</f>
        <v>-13024.0926157697</v>
      </c>
      <c r="K21" s="27" t="n">
        <f aca="false">-(K14/Hypotheses!$E$34*Hypotheses!$E$32+K20*Hypotheses!$E$35)</f>
        <v>-17318.5231539424</v>
      </c>
      <c r="L21" s="27" t="n">
        <f aca="false">-(L14/Hypotheses!$E$34*Hypotheses!$E$32+L20*Hypotheses!$E$35)</f>
        <v>-22176.1576971214</v>
      </c>
      <c r="M21" s="27" t="n">
        <f aca="false">-(M14/Hypotheses!$E$34*Hypotheses!$E$32+M20*Hypotheses!$E$35)</f>
        <v>-27596.9962453066</v>
      </c>
      <c r="N21" s="27" t="n">
        <f aca="false">-(N14/Hypotheses!$E$34*Hypotheses!$E$32+N20*Hypotheses!$E$35)</f>
        <v>-33581.0387984981</v>
      </c>
      <c r="O21" s="27" t="n">
        <f aca="false">-(O14/Hypotheses!$E$34*Hypotheses!$E$32+O20*Hypotheses!$E$35)</f>
        <v>-40128.2853566959</v>
      </c>
      <c r="P21" s="27" t="n">
        <f aca="false">-(P14/Hypotheses!$E$34*Hypotheses!$E$32+P20*Hypotheses!$E$35)</f>
        <v>-47238.7359198999</v>
      </c>
      <c r="Q21" s="27" t="n">
        <f aca="false">-(Q14/Hypotheses!$E$34*Hypotheses!$E$32+Q20*Hypotheses!$E$35)</f>
        <v>-54912.3904881101</v>
      </c>
      <c r="R21" s="27" t="n">
        <f aca="false">-(R14/Hypotheses!$E$34*Hypotheses!$E$32+R20*Hypotheses!$E$35)</f>
        <v>-63149.2490613267</v>
      </c>
      <c r="S21" s="27" t="n">
        <f aca="false">-(S14/Hypotheses!$E$34*Hypotheses!$E$32+S20*Hypotheses!$E$35)</f>
        <v>-71949.3116395494</v>
      </c>
      <c r="T21" s="27" t="n">
        <f aca="false">-(T14/Hypotheses!$E$34*Hypotheses!$E$32+T20*Hypotheses!$E$35)</f>
        <v>-81312.5782227785</v>
      </c>
      <c r="U21" s="27" t="n">
        <f aca="false">-(U14/Hypotheses!$E$34*Hypotheses!$E$32+U20*Hypotheses!$E$35)</f>
        <v>-91239.0488110138</v>
      </c>
      <c r="V21" s="27" t="n">
        <f aca="false">-(V14/Hypotheses!$E$34*Hypotheses!$E$32+V20*Hypotheses!$E$35)</f>
        <v>-101728.723404255</v>
      </c>
      <c r="W21" s="27" t="n">
        <f aca="false">-(W14/Hypotheses!$E$34*Hypotheses!$E$32+W20*Hypotheses!$E$35)</f>
        <v>-109507.978723404</v>
      </c>
      <c r="X21" s="27" t="n">
        <f aca="false">-(X14/Hypotheses!$E$34*Hypotheses!$E$32+X20*Hypotheses!$E$35)</f>
        <v>-117486.70212766</v>
      </c>
      <c r="Y21" s="27" t="n">
        <f aca="false">-(Y14/Hypotheses!$E$34*Hypotheses!$E$32+Y20*Hypotheses!$E$35)</f>
        <v>-125664.893617021</v>
      </c>
      <c r="Z21" s="27" t="n">
        <f aca="false">-(Z14/Hypotheses!$E$34*Hypotheses!$E$32+Z20*Hypotheses!$E$35)</f>
        <v>-134042.553191489</v>
      </c>
      <c r="AA21" s="27" t="n">
        <f aca="false">-(AA14/Hypotheses!$E$34*Hypotheses!$E$32+AA20*Hypotheses!$E$35)</f>
        <v>-140425.531914894</v>
      </c>
      <c r="AB21" s="27" t="n">
        <f aca="false">-(AB14/Hypotheses!$E$34*Hypotheses!$E$32+AB20*Hypotheses!$E$35)</f>
        <v>-146808.510638298</v>
      </c>
      <c r="AC21" s="27" t="n">
        <f aca="false">-(AC14/Hypotheses!$E$34*Hypotheses!$E$32+AC20*Hypotheses!$E$35)</f>
        <v>-153191.489361702</v>
      </c>
      <c r="AD21" s="27" t="n">
        <f aca="false">-(AD14/Hypotheses!$E$34*Hypotheses!$E$32+AD20*Hypotheses!$E$35)</f>
        <v>-159574.468085106</v>
      </c>
      <c r="AE21" s="27" t="n">
        <f aca="false">-(AE14/Hypotheses!$E$34*Hypotheses!$E$32+AE20*Hypotheses!$E$35)</f>
        <v>-165957.446808511</v>
      </c>
      <c r="AF21" s="27" t="n">
        <f aca="false">-(AF14/Hypotheses!$E$34*Hypotheses!$E$32+AF20*Hypotheses!$E$35)</f>
        <v>-172340.425531915</v>
      </c>
      <c r="AG21" s="27" t="n">
        <f aca="false">-(AG14/Hypotheses!$E$34*Hypotheses!$E$32+AG20*Hypotheses!$E$35)</f>
        <v>-178723.404255319</v>
      </c>
      <c r="AH21" s="27" t="n">
        <f aca="false">-(AH14/Hypotheses!$E$34*Hypotheses!$E$32+AH20*Hypotheses!$E$35)</f>
        <v>-208244.680851064</v>
      </c>
      <c r="AI21" s="27" t="n">
        <f aca="false">-(AI14/Hypotheses!$E$34*Hypotheses!$E$32+AI20*Hypotheses!$E$35)</f>
        <v>-218417.553191489</v>
      </c>
      <c r="AJ21" s="27" t="n">
        <f aca="false">-(AJ14/Hypotheses!$E$34*Hypotheses!$E$32+AJ20*Hypotheses!$E$35)</f>
        <v>-228789.893617021</v>
      </c>
      <c r="AK21" s="27" t="n">
        <f aca="false">-(AK14/Hypotheses!$E$34*Hypotheses!$E$32+AK20*Hypotheses!$E$35)</f>
        <v>-239361.70212766</v>
      </c>
      <c r="AL21" s="27" t="n">
        <f aca="false">-(AL14/Hypotheses!$E$34*Hypotheses!$E$32+AL20*Hypotheses!$E$35)</f>
        <v>-250132.978723404</v>
      </c>
      <c r="AM21" s="27" t="n">
        <f aca="false">-(AM14/Hypotheses!$E$34*Hypotheses!$E$32+AM20*Hypotheses!$E$35)</f>
        <v>-261103.723404255</v>
      </c>
      <c r="AN21" s="27" t="n">
        <f aca="false">-(AN14/Hypotheses!$E$34*Hypotheses!$E$32+AN20*Hypotheses!$E$35)</f>
        <v>-272273.936170213</v>
      </c>
      <c r="AO21" s="27" t="n">
        <f aca="false">-(AO14/Hypotheses!$E$34*Hypotheses!$E$32+AO20*Hypotheses!$E$35)</f>
        <v>-283643.617021277</v>
      </c>
      <c r="AP21" s="27" t="n">
        <f aca="false">-(AP14/Hypotheses!$E$34*Hypotheses!$E$32+AP20*Hypotheses!$E$35)</f>
        <v>-295212.765957447</v>
      </c>
      <c r="AQ21" s="27" t="n">
        <f aca="false">-(AQ14/Hypotheses!$E$34*Hypotheses!$E$32+AQ20*Hypotheses!$E$35)</f>
        <v>-306981.382978723</v>
      </c>
      <c r="AR21" s="27" t="n">
        <f aca="false">-(AR14/Hypotheses!$E$34*Hypotheses!$E$32+AR20*Hypotheses!$E$35)</f>
        <v>-318949.468085106</v>
      </c>
      <c r="AS21" s="27" t="n">
        <f aca="false">-(AS14/Hypotheses!$E$34*Hypotheses!$E$32+AS20*Hypotheses!$E$35)</f>
        <v>-331117.021276596</v>
      </c>
      <c r="AT21" s="27" t="n">
        <f aca="false">-(AT14/Hypotheses!$E$34*Hypotheses!$E$32+AT20*Hypotheses!$E$35)</f>
        <v>-343484.042553191</v>
      </c>
      <c r="AU21" s="27" t="n">
        <f aca="false">-(AU14/Hypotheses!$E$34*Hypotheses!$E$32+AU20*Hypotheses!$E$35)</f>
        <v>-356050.531914894</v>
      </c>
      <c r="AV21" s="27" t="n">
        <f aca="false">-(AV14/Hypotheses!$E$34*Hypotheses!$E$32+AV20*Hypotheses!$E$35)</f>
        <v>-368816.489361702</v>
      </c>
      <c r="AW21" s="27" t="n">
        <f aca="false">-(AW14/Hypotheses!$E$34*Hypotheses!$E$32+AW20*Hypotheses!$E$35)</f>
        <v>-381781.914893617</v>
      </c>
      <c r="AX21" s="27" t="n">
        <f aca="false">-(AX14/Hypotheses!$E$34*Hypotheses!$E$32+AX20*Hypotheses!$E$35)</f>
        <v>-394946.808510638</v>
      </c>
      <c r="AY21" s="27" t="n">
        <f aca="false">-(AY14/Hypotheses!$E$34*Hypotheses!$E$32+AY20*Hypotheses!$E$35)</f>
        <v>-408311.170212766</v>
      </c>
      <c r="AZ21" s="27" t="n">
        <f aca="false">-(AZ14/Hypotheses!$E$34*Hypotheses!$E$32+AZ20*Hypotheses!$E$35)</f>
        <v>-421875</v>
      </c>
      <c r="BA21" s="27" t="n">
        <f aca="false">-(BA14/Hypotheses!$E$34*Hypotheses!$E$32+BA20*Hypotheses!$E$35)</f>
        <v>-426562.5</v>
      </c>
      <c r="BB21" s="27" t="n">
        <f aca="false">-(BB14/Hypotheses!$E$34*Hypotheses!$E$32+BB20*Hypotheses!$E$35)</f>
        <v>-431250</v>
      </c>
      <c r="BC21" s="27" t="n">
        <f aca="false">-(BC14/Hypotheses!$E$34*Hypotheses!$E$32+BC20*Hypotheses!$E$35)</f>
        <v>-435937.5</v>
      </c>
      <c r="BD21" s="27" t="n">
        <f aca="false">-(BD14/Hypotheses!$E$34*Hypotheses!$E$32+BD20*Hypotheses!$E$35)</f>
        <v>-440625</v>
      </c>
      <c r="BE21" s="27" t="n">
        <f aca="false">-(BE14/Hypotheses!$E$34*Hypotheses!$E$32+BE20*Hypotheses!$E$35)</f>
        <v>-445312.5</v>
      </c>
      <c r="BF21" s="27" t="n">
        <f aca="false">-(BF14/Hypotheses!$E$34*Hypotheses!$E$32+BF20*Hypotheses!$E$35)</f>
        <v>-450000</v>
      </c>
      <c r="BG21" s="27" t="n">
        <f aca="false">-(BG14/Hypotheses!$E$34*Hypotheses!$E$32+BG20*Hypotheses!$E$35)</f>
        <v>-454687.5</v>
      </c>
      <c r="BH21" s="27" t="n">
        <f aca="false">-(BH14/Hypotheses!$E$34*Hypotheses!$E$32+BH20*Hypotheses!$E$35)</f>
        <v>-459375</v>
      </c>
      <c r="BI21" s="27" t="n">
        <f aca="false">-(BI14/Hypotheses!$E$34*Hypotheses!$E$32+BI20*Hypotheses!$E$35)</f>
        <v>-464062.5</v>
      </c>
      <c r="BJ21" s="27" t="n">
        <f aca="false">-(BJ14/Hypotheses!$E$34*Hypotheses!$E$32+BJ20*Hypotheses!$E$35)</f>
        <v>-468750</v>
      </c>
      <c r="BK21" s="27" t="n">
        <f aca="false">-(BK14/Hypotheses!$E$34*Hypotheses!$E$32+BK20*Hypotheses!$E$35)</f>
        <v>-473437.5</v>
      </c>
      <c r="BL21" s="27" t="n">
        <f aca="false">-(BL14/Hypotheses!$E$34*Hypotheses!$E$32+BL20*Hypotheses!$E$35)</f>
        <v>-478125</v>
      </c>
    </row>
    <row r="22" customFormat="false" ht="15" hidden="false" customHeight="false" outlineLevel="0" collapsed="false">
      <c r="B22" s="3" t="s">
        <v>278</v>
      </c>
      <c r="C22" s="2" t="s">
        <v>141</v>
      </c>
      <c r="E22" s="28" t="n">
        <f aca="false">E18+E19+E21</f>
        <v>737100</v>
      </c>
      <c r="F22" s="28" t="n">
        <f aca="false">F18+F19+F21</f>
        <v>917257.133917397</v>
      </c>
      <c r="G22" s="28" t="n">
        <f aca="false">G18+G19+G21</f>
        <v>1099974.96871089</v>
      </c>
      <c r="H22" s="28" t="n">
        <f aca="false">H18+H19+H21</f>
        <v>1285253.50438048</v>
      </c>
      <c r="I22" s="28" t="n">
        <f aca="false">I18+I19+I21</f>
        <v>1473092.74092616</v>
      </c>
      <c r="J22" s="28" t="n">
        <f aca="false">J18+J19+J21</f>
        <v>1663492.67834794</v>
      </c>
      <c r="K22" s="28" t="n">
        <f aca="false">K18+K19+K21</f>
        <v>1856453.31664581</v>
      </c>
      <c r="L22" s="28" t="n">
        <f aca="false">L18+L19+L21</f>
        <v>2051974.65581977</v>
      </c>
      <c r="M22" s="28" t="n">
        <f aca="false">M18+M19+M21</f>
        <v>2250056.69586984</v>
      </c>
      <c r="N22" s="28" t="n">
        <f aca="false">N18+N19+N21</f>
        <v>2450699.436796</v>
      </c>
      <c r="O22" s="28" t="n">
        <f aca="false">O18+O19+O21</f>
        <v>2653902.87859825</v>
      </c>
      <c r="P22" s="28" t="n">
        <f aca="false">P18+P19+P21</f>
        <v>2859667.0212766</v>
      </c>
      <c r="Q22" s="28" t="n">
        <f aca="false">Q18+Q19+Q21</f>
        <v>3067991.86483104</v>
      </c>
      <c r="R22" s="28" t="n">
        <f aca="false">R18+R19+R21</f>
        <v>3278877.40926158</v>
      </c>
      <c r="S22" s="28" t="n">
        <f aca="false">S18+S19+S21</f>
        <v>3492323.65456821</v>
      </c>
      <c r="T22" s="28" t="n">
        <f aca="false">T18+T19+T21</f>
        <v>3708330.60075094</v>
      </c>
      <c r="U22" s="28" t="n">
        <f aca="false">U18+U19+U21</f>
        <v>3926898.24780976</v>
      </c>
      <c r="V22" s="28" t="n">
        <f aca="false">V18+V19+V21</f>
        <v>4148026.59574468</v>
      </c>
      <c r="W22" s="28" t="n">
        <f aca="false">W18+W19+W21</f>
        <v>4244821.27659575</v>
      </c>
      <c r="X22" s="28" t="n">
        <f aca="false">X18+X19+X21</f>
        <v>4342522.87234043</v>
      </c>
      <c r="Y22" s="28" t="n">
        <f aca="false">Y18+Y19+Y21</f>
        <v>4441131.38297872</v>
      </c>
      <c r="Z22" s="28" t="n">
        <f aca="false">Z18+Z19+Z21</f>
        <v>4540646.80851064</v>
      </c>
      <c r="AA22" s="28" t="n">
        <f aca="false">AA18+AA19+AA21</f>
        <v>4569668.08510638</v>
      </c>
      <c r="AB22" s="28" t="n">
        <f aca="false">AB18+AB19+AB21</f>
        <v>4598689.36170213</v>
      </c>
      <c r="AC22" s="28" t="n">
        <f aca="false">AC18+AC19+AC21</f>
        <v>4627710.63829787</v>
      </c>
      <c r="AD22" s="28" t="n">
        <f aca="false">AD18+AD19+AD21</f>
        <v>4656731.91489362</v>
      </c>
      <c r="AE22" s="28" t="n">
        <f aca="false">AE18+AE19+AE21</f>
        <v>4685753.19148936</v>
      </c>
      <c r="AF22" s="28" t="n">
        <f aca="false">AF18+AF19+AF21</f>
        <v>4714774.46808511</v>
      </c>
      <c r="AG22" s="28" t="n">
        <f aca="false">AG18+AG19+AG21</f>
        <v>4743795.74468085</v>
      </c>
      <c r="AH22" s="28" t="n">
        <f aca="false">AH18+AH19+AH21</f>
        <v>5369419.14893617</v>
      </c>
      <c r="AI22" s="28" t="n">
        <f aca="false">AI18+AI19+AI21</f>
        <v>5477096.80851064</v>
      </c>
      <c r="AJ22" s="28" t="n">
        <f aca="false">AJ18+AJ19+AJ21</f>
        <v>5585681.38297872</v>
      </c>
      <c r="AK22" s="28" t="n">
        <f aca="false">AK18+AK19+AK21</f>
        <v>5695172.87234043</v>
      </c>
      <c r="AL22" s="28" t="n">
        <f aca="false">AL18+AL19+AL21</f>
        <v>5805571.27659575</v>
      </c>
      <c r="AM22" s="28" t="n">
        <f aca="false">AM18+AM19+AM21</f>
        <v>5916876.59574468</v>
      </c>
      <c r="AN22" s="28" t="n">
        <f aca="false">AN18+AN19+AN21</f>
        <v>6029088.82978723</v>
      </c>
      <c r="AO22" s="28" t="n">
        <f aca="false">AO18+AO19+AO21</f>
        <v>6142207.9787234</v>
      </c>
      <c r="AP22" s="28" t="n">
        <f aca="false">AP18+AP19+AP21</f>
        <v>6256234.04255319</v>
      </c>
      <c r="AQ22" s="28" t="n">
        <f aca="false">AQ18+AQ19+AQ21</f>
        <v>6371167.0212766</v>
      </c>
      <c r="AR22" s="28" t="n">
        <f aca="false">AR18+AR19+AR21</f>
        <v>6487006.91489362</v>
      </c>
      <c r="AS22" s="28" t="n">
        <f aca="false">AS18+AS19+AS21</f>
        <v>6603753.72340426</v>
      </c>
      <c r="AT22" s="28" t="n">
        <f aca="false">AT18+AT19+AT21</f>
        <v>6721407.44680851</v>
      </c>
      <c r="AU22" s="28" t="n">
        <f aca="false">AU18+AU19+AU21</f>
        <v>6839968.08510638</v>
      </c>
      <c r="AV22" s="28" t="n">
        <f aca="false">AV18+AV19+AV21</f>
        <v>6959435.63829787</v>
      </c>
      <c r="AW22" s="28" t="n">
        <f aca="false">AW18+AW19+AW21</f>
        <v>7079810.10638298</v>
      </c>
      <c r="AX22" s="28" t="n">
        <f aca="false">AX18+AX19+AX21</f>
        <v>7201091.4893617</v>
      </c>
      <c r="AY22" s="28" t="n">
        <f aca="false">AY18+AY19+AY21</f>
        <v>7323279.78723404</v>
      </c>
      <c r="AZ22" s="28" t="n">
        <f aca="false">AZ18+AZ19+AZ21</f>
        <v>7446375</v>
      </c>
      <c r="BA22" s="28" t="n">
        <f aca="false">BA18+BA19+BA21</f>
        <v>7529112.5</v>
      </c>
      <c r="BB22" s="28" t="n">
        <f aca="false">BB18+BB19+BB21</f>
        <v>7611850</v>
      </c>
      <c r="BC22" s="28" t="n">
        <f aca="false">BC18+BC19+BC21</f>
        <v>7694587.5</v>
      </c>
      <c r="BD22" s="28" t="n">
        <f aca="false">BD18+BD19+BD21</f>
        <v>7777325</v>
      </c>
      <c r="BE22" s="28" t="n">
        <f aca="false">BE18+BE19+BE21</f>
        <v>7860062.5</v>
      </c>
      <c r="BF22" s="28" t="n">
        <f aca="false">BF18+BF19+BF21</f>
        <v>7942800</v>
      </c>
      <c r="BG22" s="28" t="n">
        <f aca="false">BG18+BG19+BG21</f>
        <v>8025537.5</v>
      </c>
      <c r="BH22" s="28" t="n">
        <f aca="false">BH18+BH19+BH21</f>
        <v>8108275</v>
      </c>
      <c r="BI22" s="28" t="n">
        <f aca="false">BI18+BI19+BI21</f>
        <v>8191012.5</v>
      </c>
      <c r="BJ22" s="28" t="n">
        <f aca="false">BJ18+BJ19+BJ21</f>
        <v>8273750</v>
      </c>
      <c r="BK22" s="28" t="n">
        <f aca="false">BK18+BK19+BK21</f>
        <v>8356487.5</v>
      </c>
      <c r="BL22" s="28" t="n">
        <f aca="false">BL18+BL19+BL21</f>
        <v>8439225</v>
      </c>
    </row>
    <row r="23" customFormat="false" ht="15" hidden="false" customHeight="false" outlineLevel="0" collapsed="false">
      <c r="B23" s="2" t="s">
        <v>279</v>
      </c>
      <c r="C23" s="2" t="s">
        <v>133</v>
      </c>
      <c r="E23" s="34" t="n">
        <f aca="false">IF(E9&gt;=Hypotheses!$E$43,Hypotheses!$E$42,Hypotheses!$E$41)+IF(E3&gt;=Hypotheses!$E$16,Hypotheses!$E$46,0)</f>
        <v>2</v>
      </c>
      <c r="F23" s="34" t="n">
        <f aca="false">IF(F9&gt;=Hypotheses!$E$43,Hypotheses!$E$42,Hypotheses!$E$41)+IF(F3&gt;=Hypotheses!$E$16,Hypotheses!$E$46,0)</f>
        <v>2</v>
      </c>
      <c r="G23" s="34" t="n">
        <f aca="false">IF(G9&gt;=Hypotheses!$E$43,Hypotheses!$E$42,Hypotheses!$E$41)+IF(G3&gt;=Hypotheses!$E$16,Hypotheses!$E$46,0)</f>
        <v>2</v>
      </c>
      <c r="H23" s="34" t="n">
        <f aca="false">IF(H9&gt;=Hypotheses!$E$43,Hypotheses!$E$42,Hypotheses!$E$41)+IF(H3&gt;=Hypotheses!$E$16,Hypotheses!$E$46,0)</f>
        <v>2</v>
      </c>
      <c r="I23" s="34" t="n">
        <f aca="false">IF(I9&gt;=Hypotheses!$E$43,Hypotheses!$E$42,Hypotheses!$E$41)+IF(I3&gt;=Hypotheses!$E$16,Hypotheses!$E$46,0)</f>
        <v>2</v>
      </c>
      <c r="J23" s="34" t="n">
        <f aca="false">IF(J9&gt;=Hypotheses!$E$43,Hypotheses!$E$42,Hypotheses!$E$41)+IF(J3&gt;=Hypotheses!$E$16,Hypotheses!$E$46,0)</f>
        <v>2</v>
      </c>
      <c r="K23" s="34" t="n">
        <f aca="false">IF(K9&gt;=Hypotheses!$E$43,Hypotheses!$E$42,Hypotheses!$E$41)+IF(K3&gt;=Hypotheses!$E$16,Hypotheses!$E$46,0)</f>
        <v>2</v>
      </c>
      <c r="L23" s="34" t="n">
        <f aca="false">IF(L9&gt;=Hypotheses!$E$43,Hypotheses!$E$42,Hypotheses!$E$41)+IF(L3&gt;=Hypotheses!$E$16,Hypotheses!$E$46,0)</f>
        <v>2</v>
      </c>
      <c r="M23" s="34" t="n">
        <f aca="false">IF(M9&gt;=Hypotheses!$E$43,Hypotheses!$E$42,Hypotheses!$E$41)+IF(M3&gt;=Hypotheses!$E$16,Hypotheses!$E$46,0)</f>
        <v>2</v>
      </c>
      <c r="N23" s="34" t="n">
        <f aca="false">IF(N9&gt;=Hypotheses!$E$43,Hypotheses!$E$42,Hypotheses!$E$41)+IF(N3&gt;=Hypotheses!$E$16,Hypotheses!$E$46,0)</f>
        <v>2</v>
      </c>
      <c r="O23" s="34" t="n">
        <f aca="false">IF(O9&gt;=Hypotheses!$E$43,Hypotheses!$E$42,Hypotheses!$E$41)+IF(O3&gt;=Hypotheses!$E$16,Hypotheses!$E$46,0)</f>
        <v>4</v>
      </c>
      <c r="P23" s="34" t="n">
        <f aca="false">IF(P9&gt;=Hypotheses!$E$43,Hypotheses!$E$42,Hypotheses!$E$41)+IF(P3&gt;=Hypotheses!$E$16,Hypotheses!$E$46,0)</f>
        <v>4</v>
      </c>
      <c r="Q23" s="34" t="n">
        <f aca="false">IF(Q9&gt;=Hypotheses!$E$43,Hypotheses!$E$42,Hypotheses!$E$41)+IF(Q3&gt;=Hypotheses!$E$16,Hypotheses!$E$46,0)</f>
        <v>4</v>
      </c>
      <c r="R23" s="34" t="n">
        <f aca="false">IF(R9&gt;=Hypotheses!$E$43,Hypotheses!$E$42,Hypotheses!$E$41)+IF(R3&gt;=Hypotheses!$E$16,Hypotheses!$E$46,0)</f>
        <v>4</v>
      </c>
      <c r="S23" s="34" t="n">
        <f aca="false">IF(S9&gt;=Hypotheses!$E$43,Hypotheses!$E$42,Hypotheses!$E$41)+IF(S3&gt;=Hypotheses!$E$16,Hypotheses!$E$46,0)</f>
        <v>4</v>
      </c>
      <c r="T23" s="34" t="n">
        <f aca="false">IF(T9&gt;=Hypotheses!$E$43,Hypotheses!$E$42,Hypotheses!$E$41)+IF(T3&gt;=Hypotheses!$E$16,Hypotheses!$E$46,0)</f>
        <v>4</v>
      </c>
      <c r="U23" s="34" t="n">
        <f aca="false">IF(U9&gt;=Hypotheses!$E$43,Hypotheses!$E$42,Hypotheses!$E$41)+IF(U3&gt;=Hypotheses!$E$16,Hypotheses!$E$46,0)</f>
        <v>4</v>
      </c>
      <c r="V23" s="34" t="n">
        <f aca="false">IF(V9&gt;=Hypotheses!$E$43,Hypotheses!$E$42,Hypotheses!$E$41)+IF(V3&gt;=Hypotheses!$E$16,Hypotheses!$E$46,0)</f>
        <v>4</v>
      </c>
      <c r="W23" s="34" t="n">
        <f aca="false">IF(W9&gt;=Hypotheses!$E$43,Hypotheses!$E$42,Hypotheses!$E$41)+IF(W3&gt;=Hypotheses!$E$16,Hypotheses!$E$46,0)</f>
        <v>4</v>
      </c>
      <c r="X23" s="34" t="n">
        <f aca="false">IF(X9&gt;=Hypotheses!$E$43,Hypotheses!$E$42,Hypotheses!$E$41)+IF(X3&gt;=Hypotheses!$E$16,Hypotheses!$E$46,0)</f>
        <v>4</v>
      </c>
      <c r="Y23" s="34" t="n">
        <f aca="false">IF(Y9&gt;=Hypotheses!$E$43,Hypotheses!$E$42,Hypotheses!$E$41)+IF(Y3&gt;=Hypotheses!$E$16,Hypotheses!$E$46,0)</f>
        <v>4</v>
      </c>
      <c r="Z23" s="34" t="n">
        <f aca="false">IF(Z9&gt;=Hypotheses!$E$43,Hypotheses!$E$42,Hypotheses!$E$41)+IF(Z3&gt;=Hypotheses!$E$16,Hypotheses!$E$46,0)</f>
        <v>4</v>
      </c>
      <c r="AA23" s="34" t="n">
        <f aca="false">IF(AA9&gt;=Hypotheses!$E$43,Hypotheses!$E$42,Hypotheses!$E$41)+IF(AA3&gt;=Hypotheses!$E$16,Hypotheses!$E$46,0)</f>
        <v>4</v>
      </c>
      <c r="AB23" s="34" t="n">
        <f aca="false">IF(AB9&gt;=Hypotheses!$E$43,Hypotheses!$E$42,Hypotheses!$E$41)+IF(AB3&gt;=Hypotheses!$E$16,Hypotheses!$E$46,0)</f>
        <v>4</v>
      </c>
      <c r="AC23" s="34" t="n">
        <f aca="false">IF(AC9&gt;=Hypotheses!$E$43,Hypotheses!$E$42,Hypotheses!$E$41)+IF(AC3&gt;=Hypotheses!$E$16,Hypotheses!$E$46,0)</f>
        <v>4</v>
      </c>
      <c r="AD23" s="34" t="n">
        <f aca="false">IF(AD9&gt;=Hypotheses!$E$43,Hypotheses!$E$42,Hypotheses!$E$41)+IF(AD3&gt;=Hypotheses!$E$16,Hypotheses!$E$46,0)</f>
        <v>4</v>
      </c>
      <c r="AE23" s="34" t="n">
        <f aca="false">IF(AE9&gt;=Hypotheses!$E$43,Hypotheses!$E$42,Hypotheses!$E$41)+IF(AE3&gt;=Hypotheses!$E$16,Hypotheses!$E$46,0)</f>
        <v>4</v>
      </c>
      <c r="AF23" s="34" t="n">
        <f aca="false">IF(AF9&gt;=Hypotheses!$E$43,Hypotheses!$E$42,Hypotheses!$E$41)+IF(AF3&gt;=Hypotheses!$E$16,Hypotheses!$E$46,0)</f>
        <v>4</v>
      </c>
      <c r="AG23" s="34" t="n">
        <f aca="false">IF(AG9&gt;=Hypotheses!$E$43,Hypotheses!$E$42,Hypotheses!$E$41)+IF(AG3&gt;=Hypotheses!$E$16,Hypotheses!$E$46,0)</f>
        <v>4</v>
      </c>
      <c r="AH23" s="34" t="n">
        <f aca="false">IF(AH9&gt;=Hypotheses!$E$43,Hypotheses!$E$42,Hypotheses!$E$41)+IF(AH3&gt;=Hypotheses!$E$16,Hypotheses!$E$46,0)</f>
        <v>8</v>
      </c>
      <c r="AI23" s="34" t="n">
        <f aca="false">IF(AI9&gt;=Hypotheses!$E$43,Hypotheses!$E$42,Hypotheses!$E$41)+IF(AI3&gt;=Hypotheses!$E$16,Hypotheses!$E$46,0)</f>
        <v>8</v>
      </c>
      <c r="AJ23" s="34" t="n">
        <f aca="false">IF(AJ9&gt;=Hypotheses!$E$43,Hypotheses!$E$42,Hypotheses!$E$41)+IF(AJ3&gt;=Hypotheses!$E$16,Hypotheses!$E$46,0)</f>
        <v>8</v>
      </c>
      <c r="AK23" s="34" t="n">
        <f aca="false">IF(AK9&gt;=Hypotheses!$E$43,Hypotheses!$E$42,Hypotheses!$E$41)+IF(AK3&gt;=Hypotheses!$E$16,Hypotheses!$E$46,0)</f>
        <v>8</v>
      </c>
      <c r="AL23" s="34" t="n">
        <f aca="false">IF(AL9&gt;=Hypotheses!$E$43,Hypotheses!$E$42,Hypotheses!$E$41)+IF(AL3&gt;=Hypotheses!$E$16,Hypotheses!$E$46,0)</f>
        <v>8</v>
      </c>
      <c r="AM23" s="34" t="n">
        <f aca="false">IF(AM9&gt;=Hypotheses!$E$43,Hypotheses!$E$42,Hypotheses!$E$41)+IF(AM3&gt;=Hypotheses!$E$16,Hypotheses!$E$46,0)</f>
        <v>8</v>
      </c>
      <c r="AN23" s="34" t="n">
        <f aca="false">IF(AN9&gt;=Hypotheses!$E$43,Hypotheses!$E$42,Hypotheses!$E$41)+IF(AN3&gt;=Hypotheses!$E$16,Hypotheses!$E$46,0)</f>
        <v>8</v>
      </c>
      <c r="AO23" s="34" t="n">
        <f aca="false">IF(AO9&gt;=Hypotheses!$E$43,Hypotheses!$E$42,Hypotheses!$E$41)+IF(AO3&gt;=Hypotheses!$E$16,Hypotheses!$E$46,0)</f>
        <v>8</v>
      </c>
      <c r="AP23" s="34" t="n">
        <f aca="false">IF(AP9&gt;=Hypotheses!$E$43,Hypotheses!$E$42,Hypotheses!$E$41)+IF(AP3&gt;=Hypotheses!$E$16,Hypotheses!$E$46,0)</f>
        <v>8</v>
      </c>
      <c r="AQ23" s="34" t="n">
        <f aca="false">IF(AQ9&gt;=Hypotheses!$E$43,Hypotheses!$E$42,Hypotheses!$E$41)+IF(AQ3&gt;=Hypotheses!$E$16,Hypotheses!$E$46,0)</f>
        <v>8</v>
      </c>
      <c r="AR23" s="34" t="n">
        <f aca="false">IF(AR9&gt;=Hypotheses!$E$43,Hypotheses!$E$42,Hypotheses!$E$41)+IF(AR3&gt;=Hypotheses!$E$16,Hypotheses!$E$46,0)</f>
        <v>8</v>
      </c>
      <c r="AS23" s="34" t="n">
        <f aca="false">IF(AS9&gt;=Hypotheses!$E$43,Hypotheses!$E$42,Hypotheses!$E$41)+IF(AS3&gt;=Hypotheses!$E$16,Hypotheses!$E$46,0)</f>
        <v>8</v>
      </c>
      <c r="AT23" s="34" t="n">
        <f aca="false">IF(AT9&gt;=Hypotheses!$E$43,Hypotheses!$E$42,Hypotheses!$E$41)+IF(AT3&gt;=Hypotheses!$E$16,Hypotheses!$E$46,0)</f>
        <v>8</v>
      </c>
      <c r="AU23" s="34" t="n">
        <f aca="false">IF(AU9&gt;=Hypotheses!$E$43,Hypotheses!$E$42,Hypotheses!$E$41)+IF(AU3&gt;=Hypotheses!$E$16,Hypotheses!$E$46,0)</f>
        <v>8</v>
      </c>
      <c r="AV23" s="34" t="n">
        <f aca="false">IF(AV9&gt;=Hypotheses!$E$43,Hypotheses!$E$42,Hypotheses!$E$41)+IF(AV3&gt;=Hypotheses!$E$16,Hypotheses!$E$46,0)</f>
        <v>8</v>
      </c>
      <c r="AW23" s="34" t="n">
        <f aca="false">IF(AW9&gt;=Hypotheses!$E$43,Hypotheses!$E$42,Hypotheses!$E$41)+IF(AW3&gt;=Hypotheses!$E$16,Hypotheses!$E$46,0)</f>
        <v>8</v>
      </c>
      <c r="AX23" s="34" t="n">
        <f aca="false">IF(AX9&gt;=Hypotheses!$E$43,Hypotheses!$E$42,Hypotheses!$E$41)+IF(AX3&gt;=Hypotheses!$E$16,Hypotheses!$E$46,0)</f>
        <v>8</v>
      </c>
      <c r="AY23" s="34" t="n">
        <f aca="false">IF(AY9&gt;=Hypotheses!$E$43,Hypotheses!$E$42,Hypotheses!$E$41)+IF(AY3&gt;=Hypotheses!$E$16,Hypotheses!$E$46,0)</f>
        <v>8</v>
      </c>
      <c r="AZ23" s="34" t="n">
        <f aca="false">IF(AZ9&gt;=Hypotheses!$E$43,Hypotheses!$E$42,Hypotheses!$E$41)+IF(AZ3&gt;=Hypotheses!$E$16,Hypotheses!$E$46,0)</f>
        <v>8</v>
      </c>
      <c r="BA23" s="34" t="n">
        <f aca="false">IF(BA9&gt;=Hypotheses!$E$43,Hypotheses!$E$42,Hypotheses!$E$41)+IF(BA3&gt;=Hypotheses!$E$16,Hypotheses!$E$46,0)</f>
        <v>8</v>
      </c>
      <c r="BB23" s="34" t="n">
        <f aca="false">IF(BB9&gt;=Hypotheses!$E$43,Hypotheses!$E$42,Hypotheses!$E$41)+IF(BB3&gt;=Hypotheses!$E$16,Hypotheses!$E$46,0)</f>
        <v>8</v>
      </c>
      <c r="BC23" s="34" t="n">
        <f aca="false">IF(BC9&gt;=Hypotheses!$E$43,Hypotheses!$E$42,Hypotheses!$E$41)+IF(BC3&gt;=Hypotheses!$E$16,Hypotheses!$E$46,0)</f>
        <v>8</v>
      </c>
      <c r="BD23" s="34" t="n">
        <f aca="false">IF(BD9&gt;=Hypotheses!$E$43,Hypotheses!$E$42,Hypotheses!$E$41)+IF(BD3&gt;=Hypotheses!$E$16,Hypotheses!$E$46,0)</f>
        <v>8</v>
      </c>
      <c r="BE23" s="34" t="n">
        <f aca="false">IF(BE9&gt;=Hypotheses!$E$43,Hypotheses!$E$42,Hypotheses!$E$41)+IF(BE3&gt;=Hypotheses!$E$16,Hypotheses!$E$46,0)</f>
        <v>8</v>
      </c>
      <c r="BF23" s="34" t="n">
        <f aca="false">IF(BF9&gt;=Hypotheses!$E$43,Hypotheses!$E$42,Hypotheses!$E$41)+IF(BF3&gt;=Hypotheses!$E$16,Hypotheses!$E$46,0)</f>
        <v>8</v>
      </c>
      <c r="BG23" s="34" t="n">
        <f aca="false">IF(BG9&gt;=Hypotheses!$E$43,Hypotheses!$E$42,Hypotheses!$E$41)+IF(BG3&gt;=Hypotheses!$E$16,Hypotheses!$E$46,0)</f>
        <v>8</v>
      </c>
      <c r="BH23" s="34" t="n">
        <f aca="false">IF(BH9&gt;=Hypotheses!$E$43,Hypotheses!$E$42,Hypotheses!$E$41)+IF(BH3&gt;=Hypotheses!$E$16,Hypotheses!$E$46,0)</f>
        <v>8</v>
      </c>
      <c r="BI23" s="34" t="n">
        <f aca="false">IF(BI9&gt;=Hypotheses!$E$43,Hypotheses!$E$42,Hypotheses!$E$41)+IF(BI3&gt;=Hypotheses!$E$16,Hypotheses!$E$46,0)</f>
        <v>8</v>
      </c>
      <c r="BJ23" s="34" t="n">
        <f aca="false">IF(BJ9&gt;=Hypotheses!$E$43,Hypotheses!$E$42,Hypotheses!$E$41)+IF(BJ3&gt;=Hypotheses!$E$16,Hypotheses!$E$46,0)</f>
        <v>8</v>
      </c>
      <c r="BK23" s="34" t="n">
        <f aca="false">IF(BK9&gt;=Hypotheses!$E$43,Hypotheses!$E$42,Hypotheses!$E$41)+IF(BK3&gt;=Hypotheses!$E$16,Hypotheses!$E$46,0)</f>
        <v>8</v>
      </c>
      <c r="BL23" s="34" t="n">
        <f aca="false">IF(BL9&gt;=Hypotheses!$E$43,Hypotheses!$E$42,Hypotheses!$E$41)+IF(BL3&gt;=Hypotheses!$E$16,Hypotheses!$E$46,0)</f>
        <v>8</v>
      </c>
    </row>
    <row r="24" customFormat="false" ht="15" hidden="false" customHeight="false" outlineLevel="0" collapsed="false">
      <c r="B24" s="2" t="s">
        <v>280</v>
      </c>
      <c r="C24" s="2"/>
      <c r="D24" s="34" t="n">
        <f aca="false">0</f>
        <v>0</v>
      </c>
      <c r="E24" s="34" t="n">
        <f aca="false">IF(OR(E9&gt;=Hypotheses!$E$44,D24=1),1,0)</f>
        <v>0</v>
      </c>
      <c r="F24" s="34" t="n">
        <f aca="false">IF(OR(F9&gt;=Hypotheses!$E$44,E24=1),1,0)</f>
        <v>0</v>
      </c>
      <c r="G24" s="34" t="n">
        <f aca="false">IF(OR(G9&gt;=Hypotheses!$E$44,F24=1),1,0)</f>
        <v>0</v>
      </c>
      <c r="H24" s="34" t="n">
        <f aca="false">IF(OR(H9&gt;=Hypotheses!$E$44,G24=1),1,0)</f>
        <v>0</v>
      </c>
      <c r="I24" s="34" t="n">
        <f aca="false">IF(OR(I9&gt;=Hypotheses!$E$44,H24=1),1,0)</f>
        <v>0</v>
      </c>
      <c r="J24" s="34" t="n">
        <f aca="false">IF(OR(J9&gt;=Hypotheses!$E$44,I24=1),1,0)</f>
        <v>0</v>
      </c>
      <c r="K24" s="34" t="n">
        <f aca="false">IF(OR(K9&gt;=Hypotheses!$E$44,J24=1),1,0)</f>
        <v>0</v>
      </c>
      <c r="L24" s="34" t="n">
        <f aca="false">IF(OR(L9&gt;=Hypotheses!$E$44,K24=1),1,0)</f>
        <v>0</v>
      </c>
      <c r="M24" s="34" t="n">
        <f aca="false">IF(OR(M9&gt;=Hypotheses!$E$44,L24=1),1,0)</f>
        <v>0</v>
      </c>
      <c r="N24" s="34" t="n">
        <f aca="false">IF(OR(N9&gt;=Hypotheses!$E$44,M24=1),1,0)</f>
        <v>0</v>
      </c>
      <c r="O24" s="34" t="n">
        <f aca="false">IF(OR(O9&gt;=Hypotheses!$E$44,N24=1),1,0)</f>
        <v>0</v>
      </c>
      <c r="P24" s="34" t="n">
        <f aca="false">IF(OR(P9&gt;=Hypotheses!$E$44,O24=1),1,0)</f>
        <v>0</v>
      </c>
      <c r="Q24" s="34" t="n">
        <f aca="false">IF(OR(Q9&gt;=Hypotheses!$E$44,P24=1),1,0)</f>
        <v>0</v>
      </c>
      <c r="R24" s="34" t="n">
        <f aca="false">IF(OR(R9&gt;=Hypotheses!$E$44,Q24=1),1,0)</f>
        <v>0</v>
      </c>
      <c r="S24" s="34" t="n">
        <f aca="false">IF(OR(S9&gt;=Hypotheses!$E$44,R24=1),1,0)</f>
        <v>0</v>
      </c>
      <c r="T24" s="34" t="n">
        <f aca="false">IF(OR(T9&gt;=Hypotheses!$E$44,S24=1),1,0)</f>
        <v>0</v>
      </c>
      <c r="U24" s="34" t="n">
        <f aca="false">IF(OR(U9&gt;=Hypotheses!$E$44,T24=1),1,0)</f>
        <v>0</v>
      </c>
      <c r="V24" s="34" t="n">
        <f aca="false">IF(OR(V9&gt;=Hypotheses!$E$44,U24=1),1,0)</f>
        <v>0</v>
      </c>
      <c r="W24" s="34" t="n">
        <f aca="false">IF(OR(W9&gt;=Hypotheses!$E$44,V24=1),1,0)</f>
        <v>0</v>
      </c>
      <c r="X24" s="34" t="n">
        <f aca="false">IF(OR(X9&gt;=Hypotheses!$E$44,W24=1),1,0)</f>
        <v>0</v>
      </c>
      <c r="Y24" s="34" t="n">
        <f aca="false">IF(OR(Y9&gt;=Hypotheses!$E$44,X24=1),1,0)</f>
        <v>0</v>
      </c>
      <c r="Z24" s="34" t="n">
        <f aca="false">IF(OR(Z9&gt;=Hypotheses!$E$44,Y24=1),1,0)</f>
        <v>0</v>
      </c>
      <c r="AA24" s="34" t="n">
        <f aca="false">IF(OR(AA9&gt;=Hypotheses!$E$44,Z24=1),1,0)</f>
        <v>0</v>
      </c>
      <c r="AB24" s="34" t="n">
        <f aca="false">IF(OR(AB9&gt;=Hypotheses!$E$44,AA24=1),1,0)</f>
        <v>0</v>
      </c>
      <c r="AC24" s="34" t="n">
        <f aca="false">IF(OR(AC9&gt;=Hypotheses!$E$44,AB24=1),1,0)</f>
        <v>0</v>
      </c>
      <c r="AD24" s="34" t="n">
        <f aca="false">IF(OR(AD9&gt;=Hypotheses!$E$44,AC24=1),1,0)</f>
        <v>0</v>
      </c>
      <c r="AE24" s="34" t="n">
        <f aca="false">IF(OR(AE9&gt;=Hypotheses!$E$44,AD24=1),1,0)</f>
        <v>0</v>
      </c>
      <c r="AF24" s="34" t="n">
        <f aca="false">IF(OR(AF9&gt;=Hypotheses!$E$44,AE24=1),1,0)</f>
        <v>0</v>
      </c>
      <c r="AG24" s="34" t="n">
        <f aca="false">IF(OR(AG9&gt;=Hypotheses!$E$44,AF24=1),1,0)</f>
        <v>0</v>
      </c>
      <c r="AH24" s="34" t="n">
        <f aca="false">IF(OR(AH9&gt;=Hypotheses!$E$44,AG24=1),1,0)</f>
        <v>0</v>
      </c>
      <c r="AI24" s="34" t="n">
        <f aca="false">IF(OR(AI9&gt;=Hypotheses!$E$44,AH24=1),1,0)</f>
        <v>0</v>
      </c>
      <c r="AJ24" s="34" t="n">
        <f aca="false">IF(OR(AJ9&gt;=Hypotheses!$E$44,AI24=1),1,0)</f>
        <v>0</v>
      </c>
      <c r="AK24" s="34" t="n">
        <f aca="false">IF(OR(AK9&gt;=Hypotheses!$E$44,AJ24=1),1,0)</f>
        <v>0</v>
      </c>
      <c r="AL24" s="34" t="n">
        <f aca="false">IF(OR(AL9&gt;=Hypotheses!$E$44,AK24=1),1,0)</f>
        <v>0</v>
      </c>
      <c r="AM24" s="34" t="n">
        <f aca="false">IF(OR(AM9&gt;=Hypotheses!$E$44,AL24=1),1,0)</f>
        <v>0</v>
      </c>
      <c r="AN24" s="34" t="n">
        <f aca="false">IF(OR(AN9&gt;=Hypotheses!$E$44,AM24=1),1,0)</f>
        <v>0</v>
      </c>
      <c r="AO24" s="34" t="n">
        <f aca="false">IF(OR(AO9&gt;=Hypotheses!$E$44,AN24=1),1,0)</f>
        <v>0</v>
      </c>
      <c r="AP24" s="34" t="n">
        <f aca="false">IF(OR(AP9&gt;=Hypotheses!$E$44,AO24=1),1,0)</f>
        <v>1</v>
      </c>
      <c r="AQ24" s="34" t="n">
        <f aca="false">IF(OR(AQ9&gt;=Hypotheses!$E$44,AP24=1),1,0)</f>
        <v>1</v>
      </c>
      <c r="AR24" s="34" t="n">
        <f aca="false">IF(OR(AR9&gt;=Hypotheses!$E$44,AQ24=1),1,0)</f>
        <v>1</v>
      </c>
      <c r="AS24" s="34" t="n">
        <f aca="false">IF(OR(AS9&gt;=Hypotheses!$E$44,AR24=1),1,0)</f>
        <v>1</v>
      </c>
      <c r="AT24" s="34" t="n">
        <f aca="false">IF(OR(AT9&gt;=Hypotheses!$E$44,AS24=1),1,0)</f>
        <v>1</v>
      </c>
      <c r="AU24" s="34" t="n">
        <f aca="false">IF(OR(AU9&gt;=Hypotheses!$E$44,AT24=1),1,0)</f>
        <v>1</v>
      </c>
      <c r="AV24" s="34" t="n">
        <f aca="false">IF(OR(AV9&gt;=Hypotheses!$E$44,AU24=1),1,0)</f>
        <v>1</v>
      </c>
      <c r="AW24" s="34" t="n">
        <f aca="false">IF(OR(AW9&gt;=Hypotheses!$E$44,AV24=1),1,0)</f>
        <v>1</v>
      </c>
      <c r="AX24" s="34" t="n">
        <f aca="false">IF(OR(AX9&gt;=Hypotheses!$E$44,AW24=1),1,0)</f>
        <v>1</v>
      </c>
      <c r="AY24" s="34" t="n">
        <f aca="false">IF(OR(AY9&gt;=Hypotheses!$E$44,AX24=1),1,0)</f>
        <v>1</v>
      </c>
      <c r="AZ24" s="34" t="n">
        <f aca="false">IF(OR(AZ9&gt;=Hypotheses!$E$44,AY24=1),1,0)</f>
        <v>1</v>
      </c>
      <c r="BA24" s="34" t="n">
        <f aca="false">IF(OR(BA9&gt;=Hypotheses!$E$44,AZ24=1),1,0)</f>
        <v>1</v>
      </c>
      <c r="BB24" s="34" t="n">
        <f aca="false">IF(OR(BB9&gt;=Hypotheses!$E$44,BA24=1),1,0)</f>
        <v>1</v>
      </c>
      <c r="BC24" s="34" t="n">
        <f aca="false">IF(OR(BC9&gt;=Hypotheses!$E$44,BB24=1),1,0)</f>
        <v>1</v>
      </c>
      <c r="BD24" s="34" t="n">
        <f aca="false">IF(OR(BD9&gt;=Hypotheses!$E$44,BC24=1),1,0)</f>
        <v>1</v>
      </c>
      <c r="BE24" s="34" t="n">
        <f aca="false">IF(OR(BE9&gt;=Hypotheses!$E$44,BD24=1),1,0)</f>
        <v>1</v>
      </c>
      <c r="BF24" s="34" t="n">
        <f aca="false">IF(OR(BF9&gt;=Hypotheses!$E$44,BE24=1),1,0)</f>
        <v>1</v>
      </c>
      <c r="BG24" s="34" t="n">
        <f aca="false">IF(OR(BG9&gt;=Hypotheses!$E$44,BF24=1),1,0)</f>
        <v>1</v>
      </c>
      <c r="BH24" s="34" t="n">
        <f aca="false">IF(OR(BH9&gt;=Hypotheses!$E$44,BG24=1),1,0)</f>
        <v>1</v>
      </c>
      <c r="BI24" s="34" t="n">
        <f aca="false">IF(OR(BI9&gt;=Hypotheses!$E$44,BH24=1),1,0)</f>
        <v>1</v>
      </c>
      <c r="BJ24" s="34" t="n">
        <f aca="false">IF(OR(BJ9&gt;=Hypotheses!$E$44,BI24=1),1,0)</f>
        <v>1</v>
      </c>
      <c r="BK24" s="34" t="n">
        <f aca="false">IF(OR(BK9&gt;=Hypotheses!$E$44,BJ24=1),1,0)</f>
        <v>1</v>
      </c>
      <c r="BL24" s="34" t="n">
        <f aca="false">IF(OR(BL9&gt;=Hypotheses!$E$44,BK24=1),1,0)</f>
        <v>1</v>
      </c>
    </row>
    <row r="25" customFormat="false" ht="15" hidden="false" customHeight="false" outlineLevel="0" collapsed="false">
      <c r="B25" s="2" t="s">
        <v>281</v>
      </c>
      <c r="C25" s="2" t="s">
        <v>141</v>
      </c>
      <c r="E25" s="27" t="n">
        <f aca="false">-(Hypotheses!$E$37+Hypotheses!$E$39*(1+E24)+E23*Hypotheses!$E$38)*(1+Hypotheses!$E$40)*Hypotheses!$E$47/12</f>
        <v>-713700</v>
      </c>
      <c r="F25" s="27" t="n">
        <f aca="false">-(Hypotheses!$E$37+Hypotheses!$E$39*(1+F24)+F23*Hypotheses!$E$38)*(1+Hypotheses!$E$40)*Hypotheses!$E$47/12</f>
        <v>-713700</v>
      </c>
      <c r="G25" s="27" t="n">
        <f aca="false">-(Hypotheses!$E$37+Hypotheses!$E$39*(1+G24)+G23*Hypotheses!$E$38)*(1+Hypotheses!$E$40)*Hypotheses!$E$47/12</f>
        <v>-713700</v>
      </c>
      <c r="H25" s="27" t="n">
        <f aca="false">-(Hypotheses!$E$37+Hypotheses!$E$39*(1+H24)+H23*Hypotheses!$E$38)*(1+Hypotheses!$E$40)*Hypotheses!$E$47/12</f>
        <v>-713700</v>
      </c>
      <c r="I25" s="27" t="n">
        <f aca="false">-(Hypotheses!$E$37+Hypotheses!$E$39*(1+I24)+I23*Hypotheses!$E$38)*(1+Hypotheses!$E$40)*Hypotheses!$E$47/12</f>
        <v>-713700</v>
      </c>
      <c r="J25" s="27" t="n">
        <f aca="false">-(Hypotheses!$E$37+Hypotheses!$E$39*(1+J24)+J23*Hypotheses!$E$38)*(1+Hypotheses!$E$40)*Hypotheses!$E$47/12</f>
        <v>-713700</v>
      </c>
      <c r="K25" s="27" t="n">
        <f aca="false">-(Hypotheses!$E$37+Hypotheses!$E$39*(1+K24)+K23*Hypotheses!$E$38)*(1+Hypotheses!$E$40)*Hypotheses!$E$47/12</f>
        <v>-713700</v>
      </c>
      <c r="L25" s="27" t="n">
        <f aca="false">-(Hypotheses!$E$37+Hypotheses!$E$39*(1+L24)+L23*Hypotheses!$E$38)*(1+Hypotheses!$E$40)*Hypotheses!$E$47/12</f>
        <v>-713700</v>
      </c>
      <c r="M25" s="27" t="n">
        <f aca="false">-(Hypotheses!$E$37+Hypotheses!$E$39*(1+M24)+M23*Hypotheses!$E$38)*(1+Hypotheses!$E$40)*Hypotheses!$E$47/12</f>
        <v>-713700</v>
      </c>
      <c r="N25" s="27" t="n">
        <f aca="false">-(Hypotheses!$E$37+Hypotheses!$E$39*(1+N24)+N23*Hypotheses!$E$38)*(1+Hypotheses!$E$40)*Hypotheses!$E$47/12</f>
        <v>-713700</v>
      </c>
      <c r="O25" s="27" t="n">
        <f aca="false">-(Hypotheses!$E$37+Hypotheses!$E$39*(1+O24)+O23*Hypotheses!$E$38)*(1+Hypotheses!$E$40)*Hypotheses!$E$47/12</f>
        <v>-991250</v>
      </c>
      <c r="P25" s="27" t="n">
        <f aca="false">-(Hypotheses!$E$37+Hypotheses!$E$39*(1+P24)+P23*Hypotheses!$E$38)*(1+Hypotheses!$E$40)*Hypotheses!$E$47/12</f>
        <v>-991250</v>
      </c>
      <c r="Q25" s="27" t="n">
        <f aca="false">-(Hypotheses!$E$37+Hypotheses!$E$39*(1+Q24)+Q23*Hypotheses!$E$38)*(1+Hypotheses!$E$40)*Hypotheses!$E$47/12</f>
        <v>-991250</v>
      </c>
      <c r="R25" s="27" t="n">
        <f aca="false">-(Hypotheses!$E$37+Hypotheses!$E$39*(1+R24)+R23*Hypotheses!$E$38)*(1+Hypotheses!$E$40)*Hypotheses!$E$47/12</f>
        <v>-991250</v>
      </c>
      <c r="S25" s="27" t="n">
        <f aca="false">-(Hypotheses!$E$37+Hypotheses!$E$39*(1+S24)+S23*Hypotheses!$E$38)*(1+Hypotheses!$E$40)*Hypotheses!$E$47/12</f>
        <v>-991250</v>
      </c>
      <c r="T25" s="27" t="n">
        <f aca="false">-(Hypotheses!$E$37+Hypotheses!$E$39*(1+T24)+T23*Hypotheses!$E$38)*(1+Hypotheses!$E$40)*Hypotheses!$E$47/12</f>
        <v>-991250</v>
      </c>
      <c r="U25" s="27" t="n">
        <f aca="false">-(Hypotheses!$E$37+Hypotheses!$E$39*(1+U24)+U23*Hypotheses!$E$38)*(1+Hypotheses!$E$40)*Hypotheses!$E$47/12</f>
        <v>-991250</v>
      </c>
      <c r="V25" s="27" t="n">
        <f aca="false">-(Hypotheses!$E$37+Hypotheses!$E$39*(1+V24)+V23*Hypotheses!$E$38)*(1+Hypotheses!$E$40)*Hypotheses!$E$47/12</f>
        <v>-991250</v>
      </c>
      <c r="W25" s="27" t="n">
        <f aca="false">-(Hypotheses!$E$37+Hypotheses!$E$39*(1+W24)+W23*Hypotheses!$E$38)*(1+Hypotheses!$E$40)*Hypotheses!$E$47/12</f>
        <v>-991250</v>
      </c>
      <c r="X25" s="27" t="n">
        <f aca="false">-(Hypotheses!$E$37+Hypotheses!$E$39*(1+X24)+X23*Hypotheses!$E$38)*(1+Hypotheses!$E$40)*Hypotheses!$E$47/12</f>
        <v>-991250</v>
      </c>
      <c r="Y25" s="27" t="n">
        <f aca="false">-(Hypotheses!$E$37+Hypotheses!$E$39*(1+Y24)+Y23*Hypotheses!$E$38)*(1+Hypotheses!$E$40)*Hypotheses!$E$47/12</f>
        <v>-991250</v>
      </c>
      <c r="Z25" s="27" t="n">
        <f aca="false">-(Hypotheses!$E$37+Hypotheses!$E$39*(1+Z24)+Z23*Hypotheses!$E$38)*(1+Hypotheses!$E$40)*Hypotheses!$E$47/12</f>
        <v>-991250</v>
      </c>
      <c r="AA25" s="27" t="n">
        <f aca="false">-(Hypotheses!$E$37+Hypotheses!$E$39*(1+AA24)+AA23*Hypotheses!$E$38)*(1+Hypotheses!$E$40)*Hypotheses!$E$47/12</f>
        <v>-991250</v>
      </c>
      <c r="AB25" s="27" t="n">
        <f aca="false">-(Hypotheses!$E$37+Hypotheses!$E$39*(1+AB24)+AB23*Hypotheses!$E$38)*(1+Hypotheses!$E$40)*Hypotheses!$E$47/12</f>
        <v>-991250</v>
      </c>
      <c r="AC25" s="27" t="n">
        <f aca="false">-(Hypotheses!$E$37+Hypotheses!$E$39*(1+AC24)+AC23*Hypotheses!$E$38)*(1+Hypotheses!$E$40)*Hypotheses!$E$47/12</f>
        <v>-991250</v>
      </c>
      <c r="AD25" s="27" t="n">
        <f aca="false">-(Hypotheses!$E$37+Hypotheses!$E$39*(1+AD24)+AD23*Hypotheses!$E$38)*(1+Hypotheses!$E$40)*Hypotheses!$E$47/12</f>
        <v>-991250</v>
      </c>
      <c r="AE25" s="27" t="n">
        <f aca="false">-(Hypotheses!$E$37+Hypotheses!$E$39*(1+AE24)+AE23*Hypotheses!$E$38)*(1+Hypotheses!$E$40)*Hypotheses!$E$47/12</f>
        <v>-991250</v>
      </c>
      <c r="AF25" s="27" t="n">
        <f aca="false">-(Hypotheses!$E$37+Hypotheses!$E$39*(1+AF24)+AF23*Hypotheses!$E$38)*(1+Hypotheses!$E$40)*Hypotheses!$E$47/12</f>
        <v>-991250</v>
      </c>
      <c r="AG25" s="27" t="n">
        <f aca="false">-(Hypotheses!$E$37+Hypotheses!$E$39*(1+AG24)+AG23*Hypotheses!$E$38)*(1+Hypotheses!$E$40)*Hypotheses!$E$47/12</f>
        <v>-991250</v>
      </c>
      <c r="AH25" s="27" t="n">
        <f aca="false">-(Hypotheses!$E$37+Hypotheses!$E$39*(1+AH24)+AH23*Hypotheses!$E$38)*(1+Hypotheses!$E$40)*Hypotheses!$E$47/12</f>
        <v>-1546350</v>
      </c>
      <c r="AI25" s="27" t="n">
        <f aca="false">-(Hypotheses!$E$37+Hypotheses!$E$39*(1+AI24)+AI23*Hypotheses!$E$38)*(1+Hypotheses!$E$40)*Hypotheses!$E$47/12</f>
        <v>-1546350</v>
      </c>
      <c r="AJ25" s="27" t="n">
        <f aca="false">-(Hypotheses!$E$37+Hypotheses!$E$39*(1+AJ24)+AJ23*Hypotheses!$E$38)*(1+Hypotheses!$E$40)*Hypotheses!$E$47/12</f>
        <v>-1546350</v>
      </c>
      <c r="AK25" s="27" t="n">
        <f aca="false">-(Hypotheses!$E$37+Hypotheses!$E$39*(1+AK24)+AK23*Hypotheses!$E$38)*(1+Hypotheses!$E$40)*Hypotheses!$E$47/12</f>
        <v>-1546350</v>
      </c>
      <c r="AL25" s="27" t="n">
        <f aca="false">-(Hypotheses!$E$37+Hypotheses!$E$39*(1+AL24)+AL23*Hypotheses!$E$38)*(1+Hypotheses!$E$40)*Hypotheses!$E$47/12</f>
        <v>-1546350</v>
      </c>
      <c r="AM25" s="27" t="n">
        <f aca="false">-(Hypotheses!$E$37+Hypotheses!$E$39*(1+AM24)+AM23*Hypotheses!$E$38)*(1+Hypotheses!$E$40)*Hypotheses!$E$47/12</f>
        <v>-1546350</v>
      </c>
      <c r="AN25" s="27" t="n">
        <f aca="false">-(Hypotheses!$E$37+Hypotheses!$E$39*(1+AN24)+AN23*Hypotheses!$E$38)*(1+Hypotheses!$E$40)*Hypotheses!$E$47/12</f>
        <v>-1546350</v>
      </c>
      <c r="AO25" s="27" t="n">
        <f aca="false">-(Hypotheses!$E$37+Hypotheses!$E$39*(1+AO24)+AO23*Hypotheses!$E$38)*(1+Hypotheses!$E$40)*Hypotheses!$E$47/12</f>
        <v>-1546350</v>
      </c>
      <c r="AP25" s="27" t="n">
        <f aca="false">-(Hypotheses!$E$37+Hypotheses!$E$39*(1+AP24)+AP23*Hypotheses!$E$38)*(1+Hypotheses!$E$40)*Hypotheses!$E$47/12</f>
        <v>-1718166.66666667</v>
      </c>
      <c r="AQ25" s="27" t="n">
        <f aca="false">-(Hypotheses!$E$37+Hypotheses!$E$39*(1+AQ24)+AQ23*Hypotheses!$E$38)*(1+Hypotheses!$E$40)*Hypotheses!$E$47/12</f>
        <v>-1718166.66666667</v>
      </c>
      <c r="AR25" s="27" t="n">
        <f aca="false">-(Hypotheses!$E$37+Hypotheses!$E$39*(1+AR24)+AR23*Hypotheses!$E$38)*(1+Hypotheses!$E$40)*Hypotheses!$E$47/12</f>
        <v>-1718166.66666667</v>
      </c>
      <c r="AS25" s="27" t="n">
        <f aca="false">-(Hypotheses!$E$37+Hypotheses!$E$39*(1+AS24)+AS23*Hypotheses!$E$38)*(1+Hypotheses!$E$40)*Hypotheses!$E$47/12</f>
        <v>-1718166.66666667</v>
      </c>
      <c r="AT25" s="27" t="n">
        <f aca="false">-(Hypotheses!$E$37+Hypotheses!$E$39*(1+AT24)+AT23*Hypotheses!$E$38)*(1+Hypotheses!$E$40)*Hypotheses!$E$47/12</f>
        <v>-1718166.66666667</v>
      </c>
      <c r="AU25" s="27" t="n">
        <f aca="false">-(Hypotheses!$E$37+Hypotheses!$E$39*(1+AU24)+AU23*Hypotheses!$E$38)*(1+Hypotheses!$E$40)*Hypotheses!$E$47/12</f>
        <v>-1718166.66666667</v>
      </c>
      <c r="AV25" s="27" t="n">
        <f aca="false">-(Hypotheses!$E$37+Hypotheses!$E$39*(1+AV24)+AV23*Hypotheses!$E$38)*(1+Hypotheses!$E$40)*Hypotheses!$E$47/12</f>
        <v>-1718166.66666667</v>
      </c>
      <c r="AW25" s="27" t="n">
        <f aca="false">-(Hypotheses!$E$37+Hypotheses!$E$39*(1+AW24)+AW23*Hypotheses!$E$38)*(1+Hypotheses!$E$40)*Hypotheses!$E$47/12</f>
        <v>-1718166.66666667</v>
      </c>
      <c r="AX25" s="27" t="n">
        <f aca="false">-(Hypotheses!$E$37+Hypotheses!$E$39*(1+AX24)+AX23*Hypotheses!$E$38)*(1+Hypotheses!$E$40)*Hypotheses!$E$47/12</f>
        <v>-1718166.66666667</v>
      </c>
      <c r="AY25" s="27" t="n">
        <f aca="false">-(Hypotheses!$E$37+Hypotheses!$E$39*(1+AY24)+AY23*Hypotheses!$E$38)*(1+Hypotheses!$E$40)*Hypotheses!$E$47/12</f>
        <v>-1718166.66666667</v>
      </c>
      <c r="AZ25" s="27" t="n">
        <f aca="false">-(Hypotheses!$E$37+Hypotheses!$E$39*(1+AZ24)+AZ23*Hypotheses!$E$38)*(1+Hypotheses!$E$40)*Hypotheses!$E$47/12</f>
        <v>-1718166.66666667</v>
      </c>
      <c r="BA25" s="27" t="n">
        <f aca="false">-(Hypotheses!$E$37+Hypotheses!$E$39*(1+BA24)+BA23*Hypotheses!$E$38)*(1+Hypotheses!$E$40)*Hypotheses!$E$47/12</f>
        <v>-1718166.66666667</v>
      </c>
      <c r="BB25" s="27" t="n">
        <f aca="false">-(Hypotheses!$E$37+Hypotheses!$E$39*(1+BB24)+BB23*Hypotheses!$E$38)*(1+Hypotheses!$E$40)*Hypotheses!$E$47/12</f>
        <v>-1718166.66666667</v>
      </c>
      <c r="BC25" s="27" t="n">
        <f aca="false">-(Hypotheses!$E$37+Hypotheses!$E$39*(1+BC24)+BC23*Hypotheses!$E$38)*(1+Hypotheses!$E$40)*Hypotheses!$E$47/12</f>
        <v>-1718166.66666667</v>
      </c>
      <c r="BD25" s="27" t="n">
        <f aca="false">-(Hypotheses!$E$37+Hypotheses!$E$39*(1+BD24)+BD23*Hypotheses!$E$38)*(1+Hypotheses!$E$40)*Hypotheses!$E$47/12</f>
        <v>-1718166.66666667</v>
      </c>
      <c r="BE25" s="27" t="n">
        <f aca="false">-(Hypotheses!$E$37+Hypotheses!$E$39*(1+BE24)+BE23*Hypotheses!$E$38)*(1+Hypotheses!$E$40)*Hypotheses!$E$47/12</f>
        <v>-1718166.66666667</v>
      </c>
      <c r="BF25" s="27" t="n">
        <f aca="false">-(Hypotheses!$E$37+Hypotheses!$E$39*(1+BF24)+BF23*Hypotheses!$E$38)*(1+Hypotheses!$E$40)*Hypotheses!$E$47/12</f>
        <v>-1718166.66666667</v>
      </c>
      <c r="BG25" s="27" t="n">
        <f aca="false">-(Hypotheses!$E$37+Hypotheses!$E$39*(1+BG24)+BG23*Hypotheses!$E$38)*(1+Hypotheses!$E$40)*Hypotheses!$E$47/12</f>
        <v>-1718166.66666667</v>
      </c>
      <c r="BH25" s="27" t="n">
        <f aca="false">-(Hypotheses!$E$37+Hypotheses!$E$39*(1+BH24)+BH23*Hypotheses!$E$38)*(1+Hypotheses!$E$40)*Hypotheses!$E$47/12</f>
        <v>-1718166.66666667</v>
      </c>
      <c r="BI25" s="27" t="n">
        <f aca="false">-(Hypotheses!$E$37+Hypotheses!$E$39*(1+BI24)+BI23*Hypotheses!$E$38)*(1+Hypotheses!$E$40)*Hypotheses!$E$47/12</f>
        <v>-1718166.66666667</v>
      </c>
      <c r="BJ25" s="27" t="n">
        <f aca="false">-(Hypotheses!$E$37+Hypotheses!$E$39*(1+BJ24)+BJ23*Hypotheses!$E$38)*(1+Hypotheses!$E$40)*Hypotheses!$E$47/12</f>
        <v>-1718166.66666667</v>
      </c>
      <c r="BK25" s="27" t="n">
        <f aca="false">-(Hypotheses!$E$37+Hypotheses!$E$39*(1+BK24)+BK23*Hypotheses!$E$38)*(1+Hypotheses!$E$40)*Hypotheses!$E$47/12</f>
        <v>-1718166.66666667</v>
      </c>
      <c r="BL25" s="27" t="n">
        <f aca="false">-(Hypotheses!$E$37+Hypotheses!$E$39*(1+BL24)+BL23*Hypotheses!$E$38)*(1+Hypotheses!$E$40)*Hypotheses!$E$47/12</f>
        <v>-1718166.66666667</v>
      </c>
    </row>
    <row r="26" customFormat="false" ht="15" hidden="false" customHeight="false" outlineLevel="0" collapsed="false">
      <c r="B26" s="2" t="s">
        <v>150</v>
      </c>
      <c r="C26" s="2" t="s">
        <v>141</v>
      </c>
      <c r="E26" s="27" t="n">
        <f aca="false">-Hypotheses!$E$49*Hypotheses!$E$50</f>
        <v>-450000</v>
      </c>
      <c r="F26" s="27" t="n">
        <f aca="false">-Hypotheses!$E$49*Hypotheses!$E$50</f>
        <v>-450000</v>
      </c>
      <c r="G26" s="27" t="n">
        <f aca="false">-Hypotheses!$E$49*Hypotheses!$E$50</f>
        <v>-450000</v>
      </c>
      <c r="H26" s="27" t="n">
        <f aca="false">-Hypotheses!$E$49*Hypotheses!$E$50</f>
        <v>-450000</v>
      </c>
      <c r="I26" s="27" t="n">
        <f aca="false">-Hypotheses!$E$49*Hypotheses!$E$50</f>
        <v>-450000</v>
      </c>
      <c r="J26" s="27" t="n">
        <f aca="false">-Hypotheses!$E$49*Hypotheses!$E$50</f>
        <v>-450000</v>
      </c>
      <c r="K26" s="27" t="n">
        <f aca="false">-Hypotheses!$E$49*Hypotheses!$E$50</f>
        <v>-450000</v>
      </c>
      <c r="L26" s="27" t="n">
        <f aca="false">-Hypotheses!$E$49*Hypotheses!$E$50</f>
        <v>-450000</v>
      </c>
      <c r="M26" s="27" t="n">
        <f aca="false">-Hypotheses!$E$49*Hypotheses!$E$50</f>
        <v>-450000</v>
      </c>
      <c r="N26" s="27" t="n">
        <f aca="false">-Hypotheses!$E$49*Hypotheses!$E$50</f>
        <v>-450000</v>
      </c>
      <c r="O26" s="27" t="n">
        <f aca="false">-Hypotheses!$E$49*Hypotheses!$E$50</f>
        <v>-450000</v>
      </c>
      <c r="P26" s="27" t="n">
        <f aca="false">-Hypotheses!$E$49*Hypotheses!$E$50</f>
        <v>-450000</v>
      </c>
      <c r="Q26" s="27" t="n">
        <f aca="false">-Hypotheses!$E$49*Hypotheses!$E$50</f>
        <v>-450000</v>
      </c>
      <c r="R26" s="27" t="n">
        <f aca="false">-Hypotheses!$E$49*Hypotheses!$E$50</f>
        <v>-450000</v>
      </c>
      <c r="S26" s="27" t="n">
        <f aca="false">-Hypotheses!$E$49*Hypotheses!$E$50</f>
        <v>-450000</v>
      </c>
      <c r="T26" s="27" t="n">
        <f aca="false">-Hypotheses!$E$49*Hypotheses!$E$50</f>
        <v>-450000</v>
      </c>
      <c r="U26" s="27" t="n">
        <f aca="false">-Hypotheses!$E$49*Hypotheses!$E$50</f>
        <v>-450000</v>
      </c>
      <c r="V26" s="27" t="n">
        <f aca="false">-Hypotheses!$E$49*Hypotheses!$E$50</f>
        <v>-450000</v>
      </c>
      <c r="W26" s="27" t="n">
        <f aca="false">-Hypotheses!$E$49*Hypotheses!$E$50</f>
        <v>-450000</v>
      </c>
      <c r="X26" s="27" t="n">
        <f aca="false">-Hypotheses!$E$49*Hypotheses!$E$50</f>
        <v>-450000</v>
      </c>
      <c r="Y26" s="27" t="n">
        <f aca="false">-Hypotheses!$E$49*Hypotheses!$E$50</f>
        <v>-450000</v>
      </c>
      <c r="Z26" s="27" t="n">
        <f aca="false">-Hypotheses!$E$49*Hypotheses!$E$50</f>
        <v>-450000</v>
      </c>
      <c r="AA26" s="27" t="n">
        <f aca="false">-Hypotheses!$E$49*Hypotheses!$E$50</f>
        <v>-450000</v>
      </c>
      <c r="AB26" s="27" t="n">
        <f aca="false">-Hypotheses!$E$49*Hypotheses!$E$50</f>
        <v>-450000</v>
      </c>
      <c r="AC26" s="27" t="n">
        <f aca="false">-Hypotheses!$E$49*Hypotheses!$E$50</f>
        <v>-450000</v>
      </c>
      <c r="AD26" s="27" t="n">
        <f aca="false">-Hypotheses!$E$49*Hypotheses!$E$50</f>
        <v>-450000</v>
      </c>
      <c r="AE26" s="27" t="n">
        <f aca="false">-Hypotheses!$E$49*Hypotheses!$E$50</f>
        <v>-450000</v>
      </c>
      <c r="AF26" s="27" t="n">
        <f aca="false">-Hypotheses!$E$49*Hypotheses!$E$50</f>
        <v>-450000</v>
      </c>
      <c r="AG26" s="27" t="n">
        <f aca="false">-Hypotheses!$E$49*Hypotheses!$E$50</f>
        <v>-450000</v>
      </c>
      <c r="AH26" s="27" t="n">
        <f aca="false">-Hypotheses!$E$49*Hypotheses!$E$50</f>
        <v>-450000</v>
      </c>
      <c r="AI26" s="27" t="n">
        <f aca="false">-Hypotheses!$E$49*Hypotheses!$E$50</f>
        <v>-450000</v>
      </c>
      <c r="AJ26" s="27" t="n">
        <f aca="false">-Hypotheses!$E$49*Hypotheses!$E$50</f>
        <v>-450000</v>
      </c>
      <c r="AK26" s="27" t="n">
        <f aca="false">-Hypotheses!$E$49*Hypotheses!$E$50</f>
        <v>-450000</v>
      </c>
      <c r="AL26" s="27" t="n">
        <f aca="false">-Hypotheses!$E$49*Hypotheses!$E$50</f>
        <v>-450000</v>
      </c>
      <c r="AM26" s="27" t="n">
        <f aca="false">-Hypotheses!$E$49*Hypotheses!$E$50</f>
        <v>-450000</v>
      </c>
      <c r="AN26" s="27" t="n">
        <f aca="false">-Hypotheses!$E$49*Hypotheses!$E$50</f>
        <v>-450000</v>
      </c>
      <c r="AO26" s="27" t="n">
        <f aca="false">-Hypotheses!$E$49*Hypotheses!$E$50</f>
        <v>-450000</v>
      </c>
      <c r="AP26" s="27" t="n">
        <f aca="false">-Hypotheses!$E$49*Hypotheses!$E$50</f>
        <v>-450000</v>
      </c>
      <c r="AQ26" s="27" t="n">
        <f aca="false">-Hypotheses!$E$49*Hypotheses!$E$50</f>
        <v>-450000</v>
      </c>
      <c r="AR26" s="27" t="n">
        <f aca="false">-Hypotheses!$E$49*Hypotheses!$E$50</f>
        <v>-450000</v>
      </c>
      <c r="AS26" s="27" t="n">
        <f aca="false">-Hypotheses!$E$49*Hypotheses!$E$50</f>
        <v>-450000</v>
      </c>
      <c r="AT26" s="27" t="n">
        <f aca="false">-Hypotheses!$E$49*Hypotheses!$E$50</f>
        <v>-450000</v>
      </c>
      <c r="AU26" s="27" t="n">
        <f aca="false">-Hypotheses!$E$49*Hypotheses!$E$50</f>
        <v>-450000</v>
      </c>
      <c r="AV26" s="27" t="n">
        <f aca="false">-Hypotheses!$E$49*Hypotheses!$E$50</f>
        <v>-450000</v>
      </c>
      <c r="AW26" s="27" t="n">
        <f aca="false">-Hypotheses!$E$49*Hypotheses!$E$50</f>
        <v>-450000</v>
      </c>
      <c r="AX26" s="27" t="n">
        <f aca="false">-Hypotheses!$E$49*Hypotheses!$E$50</f>
        <v>-450000</v>
      </c>
      <c r="AY26" s="27" t="n">
        <f aca="false">-Hypotheses!$E$49*Hypotheses!$E$50</f>
        <v>-450000</v>
      </c>
      <c r="AZ26" s="27" t="n">
        <f aca="false">-Hypotheses!$E$49*Hypotheses!$E$50</f>
        <v>-450000</v>
      </c>
      <c r="BA26" s="27" t="n">
        <f aca="false">-Hypotheses!$E$49*Hypotheses!$E$50</f>
        <v>-450000</v>
      </c>
      <c r="BB26" s="27" t="n">
        <f aca="false">-Hypotheses!$E$49*Hypotheses!$E$50</f>
        <v>-450000</v>
      </c>
      <c r="BC26" s="27" t="n">
        <f aca="false">-Hypotheses!$E$49*Hypotheses!$E$50</f>
        <v>-450000</v>
      </c>
      <c r="BD26" s="27" t="n">
        <f aca="false">-Hypotheses!$E$49*Hypotheses!$E$50</f>
        <v>-450000</v>
      </c>
      <c r="BE26" s="27" t="n">
        <f aca="false">-Hypotheses!$E$49*Hypotheses!$E$50</f>
        <v>-450000</v>
      </c>
      <c r="BF26" s="27" t="n">
        <f aca="false">-Hypotheses!$E$49*Hypotheses!$E$50</f>
        <v>-450000</v>
      </c>
      <c r="BG26" s="27" t="n">
        <f aca="false">-Hypotheses!$E$49*Hypotheses!$E$50</f>
        <v>-450000</v>
      </c>
      <c r="BH26" s="27" t="n">
        <f aca="false">-Hypotheses!$E$49*Hypotheses!$E$50</f>
        <v>-450000</v>
      </c>
      <c r="BI26" s="27" t="n">
        <f aca="false">-Hypotheses!$E$49*Hypotheses!$E$50</f>
        <v>-450000</v>
      </c>
      <c r="BJ26" s="27" t="n">
        <f aca="false">-Hypotheses!$E$49*Hypotheses!$E$50</f>
        <v>-450000</v>
      </c>
      <c r="BK26" s="27" t="n">
        <f aca="false">-Hypotheses!$E$49*Hypotheses!$E$50</f>
        <v>-450000</v>
      </c>
      <c r="BL26" s="27" t="n">
        <f aca="false">-Hypotheses!$E$49*Hypotheses!$E$50</f>
        <v>-450000</v>
      </c>
    </row>
    <row r="27" customFormat="false" ht="15" hidden="false" customHeight="false" outlineLevel="0" collapsed="false">
      <c r="B27" s="2" t="s">
        <v>282</v>
      </c>
      <c r="C27" s="2" t="s">
        <v>141</v>
      </c>
      <c r="E27" s="27" t="n">
        <f aca="false">-(Hypotheses!$E$51*(1+E24)+Investissements!$E$18*(1+Hypotheses!$E$60)*(Hypotheses!$E$52+Hypotheses!$E$53)/12+Hypotheses!$E$54+Hypotheses!$E$55+Hypotheses!$E$56+Hypotheses!$E$57+Hypotheses!$E$58)</f>
        <v>-970156.25</v>
      </c>
      <c r="F27" s="27" t="n">
        <f aca="false">-(Hypotheses!$E$51*(1+F24)+Investissements!$E$18*(1+Hypotheses!$E$60)*(Hypotheses!$E$52+Hypotheses!$E$53)/12+Hypotheses!$E$54+Hypotheses!$E$55+Hypotheses!$E$56+Hypotheses!$E$57+Hypotheses!$E$58)</f>
        <v>-970156.25</v>
      </c>
      <c r="G27" s="27" t="n">
        <f aca="false">-(Hypotheses!$E$51*(1+G24)+Investissements!$E$18*(1+Hypotheses!$E$60)*(Hypotheses!$E$52+Hypotheses!$E$53)/12+Hypotheses!$E$54+Hypotheses!$E$55+Hypotheses!$E$56+Hypotheses!$E$57+Hypotheses!$E$58)</f>
        <v>-970156.25</v>
      </c>
      <c r="H27" s="27" t="n">
        <f aca="false">-(Hypotheses!$E$51*(1+H24)+Investissements!$E$18*(1+Hypotheses!$E$60)*(Hypotheses!$E$52+Hypotheses!$E$53)/12+Hypotheses!$E$54+Hypotheses!$E$55+Hypotheses!$E$56+Hypotheses!$E$57+Hypotheses!$E$58)</f>
        <v>-970156.25</v>
      </c>
      <c r="I27" s="27" t="n">
        <f aca="false">-(Hypotheses!$E$51*(1+I24)+Investissements!$E$18*(1+Hypotheses!$E$60)*(Hypotheses!$E$52+Hypotheses!$E$53)/12+Hypotheses!$E$54+Hypotheses!$E$55+Hypotheses!$E$56+Hypotheses!$E$57+Hypotheses!$E$58)</f>
        <v>-970156.25</v>
      </c>
      <c r="J27" s="27" t="n">
        <f aca="false">-(Hypotheses!$E$51*(1+J24)+Investissements!$E$18*(1+Hypotheses!$E$60)*(Hypotheses!$E$52+Hypotheses!$E$53)/12+Hypotheses!$E$54+Hypotheses!$E$55+Hypotheses!$E$56+Hypotheses!$E$57+Hypotheses!$E$58)</f>
        <v>-970156.25</v>
      </c>
      <c r="K27" s="27" t="n">
        <f aca="false">-(Hypotheses!$E$51*(1+K24)+Investissements!$E$18*(1+Hypotheses!$E$60)*(Hypotheses!$E$52+Hypotheses!$E$53)/12+Hypotheses!$E$54+Hypotheses!$E$55+Hypotheses!$E$56+Hypotheses!$E$57+Hypotheses!$E$58)</f>
        <v>-970156.25</v>
      </c>
      <c r="L27" s="27" t="n">
        <f aca="false">-(Hypotheses!$E$51*(1+L24)+Investissements!$E$18*(1+Hypotheses!$E$60)*(Hypotheses!$E$52+Hypotheses!$E$53)/12+Hypotheses!$E$54+Hypotheses!$E$55+Hypotheses!$E$56+Hypotheses!$E$57+Hypotheses!$E$58)</f>
        <v>-970156.25</v>
      </c>
      <c r="M27" s="27" t="n">
        <f aca="false">-(Hypotheses!$E$51*(1+M24)+Investissements!$E$18*(1+Hypotheses!$E$60)*(Hypotheses!$E$52+Hypotheses!$E$53)/12+Hypotheses!$E$54+Hypotheses!$E$55+Hypotheses!$E$56+Hypotheses!$E$57+Hypotheses!$E$58)</f>
        <v>-970156.25</v>
      </c>
      <c r="N27" s="27" t="n">
        <f aca="false">-(Hypotheses!$E$51*(1+N24)+Investissements!$E$18*(1+Hypotheses!$E$60)*(Hypotheses!$E$52+Hypotheses!$E$53)/12+Hypotheses!$E$54+Hypotheses!$E$55+Hypotheses!$E$56+Hypotheses!$E$57+Hypotheses!$E$58)</f>
        <v>-970156.25</v>
      </c>
      <c r="O27" s="27" t="n">
        <f aca="false">-(Hypotheses!$E$51*(1+O24)+Investissements!$E$18*(1+Hypotheses!$E$60)*(Hypotheses!$E$52+Hypotheses!$E$53)/12+Hypotheses!$E$54+Hypotheses!$E$55+Hypotheses!$E$56+Hypotheses!$E$57+Hypotheses!$E$58)</f>
        <v>-970156.25</v>
      </c>
      <c r="P27" s="27" t="n">
        <f aca="false">-(Hypotheses!$E$51*(1+P24)+Investissements!$E$18*(1+Hypotheses!$E$60)*(Hypotheses!$E$52+Hypotheses!$E$53)/12+Hypotheses!$E$54+Hypotheses!$E$55+Hypotheses!$E$56+Hypotheses!$E$57+Hypotheses!$E$58)</f>
        <v>-970156.25</v>
      </c>
      <c r="Q27" s="27" t="n">
        <f aca="false">-(Hypotheses!$E$51*(1+Q24)+Investissements!$E$18*(1+Hypotheses!$E$60)*(Hypotheses!$E$52+Hypotheses!$E$53)/12+Hypotheses!$E$54+Hypotheses!$E$55+Hypotheses!$E$56+Hypotheses!$E$57+Hypotheses!$E$58)</f>
        <v>-970156.25</v>
      </c>
      <c r="R27" s="27" t="n">
        <f aca="false">-(Hypotheses!$E$51*(1+R24)+Investissements!$E$18*(1+Hypotheses!$E$60)*(Hypotheses!$E$52+Hypotheses!$E$53)/12+Hypotheses!$E$54+Hypotheses!$E$55+Hypotheses!$E$56+Hypotheses!$E$57+Hypotheses!$E$58)</f>
        <v>-970156.25</v>
      </c>
      <c r="S27" s="27" t="n">
        <f aca="false">-(Hypotheses!$E$51*(1+S24)+Investissements!$E$18*(1+Hypotheses!$E$60)*(Hypotheses!$E$52+Hypotheses!$E$53)/12+Hypotheses!$E$54+Hypotheses!$E$55+Hypotheses!$E$56+Hypotheses!$E$57+Hypotheses!$E$58)</f>
        <v>-970156.25</v>
      </c>
      <c r="T27" s="27" t="n">
        <f aca="false">-(Hypotheses!$E$51*(1+T24)+Investissements!$E$18*(1+Hypotheses!$E$60)*(Hypotheses!$E$52+Hypotheses!$E$53)/12+Hypotheses!$E$54+Hypotheses!$E$55+Hypotheses!$E$56+Hypotheses!$E$57+Hypotheses!$E$58)</f>
        <v>-970156.25</v>
      </c>
      <c r="U27" s="27" t="n">
        <f aca="false">-(Hypotheses!$E$51*(1+U24)+Investissements!$E$18*(1+Hypotheses!$E$60)*(Hypotheses!$E$52+Hypotheses!$E$53)/12+Hypotheses!$E$54+Hypotheses!$E$55+Hypotheses!$E$56+Hypotheses!$E$57+Hypotheses!$E$58)</f>
        <v>-970156.25</v>
      </c>
      <c r="V27" s="27" t="n">
        <f aca="false">-(Hypotheses!$E$51*(1+V24)+Investissements!$E$18*(1+Hypotheses!$E$60)*(Hypotheses!$E$52+Hypotheses!$E$53)/12+Hypotheses!$E$54+Hypotheses!$E$55+Hypotheses!$E$56+Hypotheses!$E$57+Hypotheses!$E$58)</f>
        <v>-970156.25</v>
      </c>
      <c r="W27" s="27" t="n">
        <f aca="false">-(Hypotheses!$E$51*(1+W24)+Investissements!$E$18*(1+Hypotheses!$E$60)*(Hypotheses!$E$52+Hypotheses!$E$53)/12+Hypotheses!$E$54+Hypotheses!$E$55+Hypotheses!$E$56+Hypotheses!$E$57+Hypotheses!$E$58)</f>
        <v>-970156.25</v>
      </c>
      <c r="X27" s="27" t="n">
        <f aca="false">-(Hypotheses!$E$51*(1+X24)+Investissements!$E$18*(1+Hypotheses!$E$60)*(Hypotheses!$E$52+Hypotheses!$E$53)/12+Hypotheses!$E$54+Hypotheses!$E$55+Hypotheses!$E$56+Hypotheses!$E$57+Hypotheses!$E$58)</f>
        <v>-970156.25</v>
      </c>
      <c r="Y27" s="27" t="n">
        <f aca="false">-(Hypotheses!$E$51*(1+Y24)+Investissements!$E$18*(1+Hypotheses!$E$60)*(Hypotheses!$E$52+Hypotheses!$E$53)/12+Hypotheses!$E$54+Hypotheses!$E$55+Hypotheses!$E$56+Hypotheses!$E$57+Hypotheses!$E$58)</f>
        <v>-970156.25</v>
      </c>
      <c r="Z27" s="27" t="n">
        <f aca="false">-(Hypotheses!$E$51*(1+Z24)+Investissements!$E$18*(1+Hypotheses!$E$60)*(Hypotheses!$E$52+Hypotheses!$E$53)/12+Hypotheses!$E$54+Hypotheses!$E$55+Hypotheses!$E$56+Hypotheses!$E$57+Hypotheses!$E$58)</f>
        <v>-970156.25</v>
      </c>
      <c r="AA27" s="27" t="n">
        <f aca="false">-(Hypotheses!$E$51*(1+AA24)+Investissements!$E$18*(1+Hypotheses!$E$60)*(Hypotheses!$E$52+Hypotheses!$E$53)/12+Hypotheses!$E$54+Hypotheses!$E$55+Hypotheses!$E$56+Hypotheses!$E$57+Hypotheses!$E$58)</f>
        <v>-970156.25</v>
      </c>
      <c r="AB27" s="27" t="n">
        <f aca="false">-(Hypotheses!$E$51*(1+AB24)+Investissements!$E$18*(1+Hypotheses!$E$60)*(Hypotheses!$E$52+Hypotheses!$E$53)/12+Hypotheses!$E$54+Hypotheses!$E$55+Hypotheses!$E$56+Hypotheses!$E$57+Hypotheses!$E$58)</f>
        <v>-970156.25</v>
      </c>
      <c r="AC27" s="27" t="n">
        <f aca="false">-(Hypotheses!$E$51*(1+AC24)+Investissements!$E$18*(1+Hypotheses!$E$60)*(Hypotheses!$E$52+Hypotheses!$E$53)/12+Hypotheses!$E$54+Hypotheses!$E$55+Hypotheses!$E$56+Hypotheses!$E$57+Hypotheses!$E$58)</f>
        <v>-970156.25</v>
      </c>
      <c r="AD27" s="27" t="n">
        <f aca="false">-(Hypotheses!$E$51*(1+AD24)+Investissements!$E$18*(1+Hypotheses!$E$60)*(Hypotheses!$E$52+Hypotheses!$E$53)/12+Hypotheses!$E$54+Hypotheses!$E$55+Hypotheses!$E$56+Hypotheses!$E$57+Hypotheses!$E$58)</f>
        <v>-970156.25</v>
      </c>
      <c r="AE27" s="27" t="n">
        <f aca="false">-(Hypotheses!$E$51*(1+AE24)+Investissements!$E$18*(1+Hypotheses!$E$60)*(Hypotheses!$E$52+Hypotheses!$E$53)/12+Hypotheses!$E$54+Hypotheses!$E$55+Hypotheses!$E$56+Hypotheses!$E$57+Hypotheses!$E$58)</f>
        <v>-970156.25</v>
      </c>
      <c r="AF27" s="27" t="n">
        <f aca="false">-(Hypotheses!$E$51*(1+AF24)+Investissements!$E$18*(1+Hypotheses!$E$60)*(Hypotheses!$E$52+Hypotheses!$E$53)/12+Hypotheses!$E$54+Hypotheses!$E$55+Hypotheses!$E$56+Hypotheses!$E$57+Hypotheses!$E$58)</f>
        <v>-970156.25</v>
      </c>
      <c r="AG27" s="27" t="n">
        <f aca="false">-(Hypotheses!$E$51*(1+AG24)+Investissements!$E$18*(1+Hypotheses!$E$60)*(Hypotheses!$E$52+Hypotheses!$E$53)/12+Hypotheses!$E$54+Hypotheses!$E$55+Hypotheses!$E$56+Hypotheses!$E$57+Hypotheses!$E$58)</f>
        <v>-970156.25</v>
      </c>
      <c r="AH27" s="27" t="n">
        <f aca="false">-(Hypotheses!$E$51*(1+AH24)+Investissements!$E$18*(1+Hypotheses!$E$60)*(Hypotheses!$E$52+Hypotheses!$E$53)/12+Hypotheses!$E$54+Hypotheses!$E$55+Hypotheses!$E$56+Hypotheses!$E$57+Hypotheses!$E$58)</f>
        <v>-970156.25</v>
      </c>
      <c r="AI27" s="27" t="n">
        <f aca="false">-(Hypotheses!$E$51*(1+AI24)+Investissements!$E$18*(1+Hypotheses!$E$60)*(Hypotheses!$E$52+Hypotheses!$E$53)/12+Hypotheses!$E$54+Hypotheses!$E$55+Hypotheses!$E$56+Hypotheses!$E$57+Hypotheses!$E$58)</f>
        <v>-970156.25</v>
      </c>
      <c r="AJ27" s="27" t="n">
        <f aca="false">-(Hypotheses!$E$51*(1+AJ24)+Investissements!$E$18*(1+Hypotheses!$E$60)*(Hypotheses!$E$52+Hypotheses!$E$53)/12+Hypotheses!$E$54+Hypotheses!$E$55+Hypotheses!$E$56+Hypotheses!$E$57+Hypotheses!$E$58)</f>
        <v>-970156.25</v>
      </c>
      <c r="AK27" s="27" t="n">
        <f aca="false">-(Hypotheses!$E$51*(1+AK24)+Investissements!$E$18*(1+Hypotheses!$E$60)*(Hypotheses!$E$52+Hypotheses!$E$53)/12+Hypotheses!$E$54+Hypotheses!$E$55+Hypotheses!$E$56+Hypotheses!$E$57+Hypotheses!$E$58)</f>
        <v>-970156.25</v>
      </c>
      <c r="AL27" s="27" t="n">
        <f aca="false">-(Hypotheses!$E$51*(1+AL24)+Investissements!$E$18*(1+Hypotheses!$E$60)*(Hypotheses!$E$52+Hypotheses!$E$53)/12+Hypotheses!$E$54+Hypotheses!$E$55+Hypotheses!$E$56+Hypotheses!$E$57+Hypotheses!$E$58)</f>
        <v>-970156.25</v>
      </c>
      <c r="AM27" s="27" t="n">
        <f aca="false">-(Hypotheses!$E$51*(1+AM24)+Investissements!$E$18*(1+Hypotheses!$E$60)*(Hypotheses!$E$52+Hypotheses!$E$53)/12+Hypotheses!$E$54+Hypotheses!$E$55+Hypotheses!$E$56+Hypotheses!$E$57+Hypotheses!$E$58)</f>
        <v>-970156.25</v>
      </c>
      <c r="AN27" s="27" t="n">
        <f aca="false">-(Hypotheses!$E$51*(1+AN24)+Investissements!$E$18*(1+Hypotheses!$E$60)*(Hypotheses!$E$52+Hypotheses!$E$53)/12+Hypotheses!$E$54+Hypotheses!$E$55+Hypotheses!$E$56+Hypotheses!$E$57+Hypotheses!$E$58)</f>
        <v>-970156.25</v>
      </c>
      <c r="AO27" s="27" t="n">
        <f aca="false">-(Hypotheses!$E$51*(1+AO24)+Investissements!$E$18*(1+Hypotheses!$E$60)*(Hypotheses!$E$52+Hypotheses!$E$53)/12+Hypotheses!$E$54+Hypotheses!$E$55+Hypotheses!$E$56+Hypotheses!$E$57+Hypotheses!$E$58)</f>
        <v>-970156.25</v>
      </c>
      <c r="AP27" s="27" t="n">
        <f aca="false">-(Hypotheses!$E$51*(1+AP24)+Investissements!$E$18*(1+Hypotheses!$E$60)*(Hypotheses!$E$52+Hypotheses!$E$53)/12+Hypotheses!$E$54+Hypotheses!$E$55+Hypotheses!$E$56+Hypotheses!$E$57+Hypotheses!$E$58)</f>
        <v>-1320156.25</v>
      </c>
      <c r="AQ27" s="27" t="n">
        <f aca="false">-(Hypotheses!$E$51*(1+AQ24)+Investissements!$E$18*(1+Hypotheses!$E$60)*(Hypotheses!$E$52+Hypotheses!$E$53)/12+Hypotheses!$E$54+Hypotheses!$E$55+Hypotheses!$E$56+Hypotheses!$E$57+Hypotheses!$E$58)</f>
        <v>-1320156.25</v>
      </c>
      <c r="AR27" s="27" t="n">
        <f aca="false">-(Hypotheses!$E$51*(1+AR24)+Investissements!$E$18*(1+Hypotheses!$E$60)*(Hypotheses!$E$52+Hypotheses!$E$53)/12+Hypotheses!$E$54+Hypotheses!$E$55+Hypotheses!$E$56+Hypotheses!$E$57+Hypotheses!$E$58)</f>
        <v>-1320156.25</v>
      </c>
      <c r="AS27" s="27" t="n">
        <f aca="false">-(Hypotheses!$E$51*(1+AS24)+Investissements!$E$18*(1+Hypotheses!$E$60)*(Hypotheses!$E$52+Hypotheses!$E$53)/12+Hypotheses!$E$54+Hypotheses!$E$55+Hypotheses!$E$56+Hypotheses!$E$57+Hypotheses!$E$58)</f>
        <v>-1320156.25</v>
      </c>
      <c r="AT27" s="27" t="n">
        <f aca="false">-(Hypotheses!$E$51*(1+AT24)+Investissements!$E$18*(1+Hypotheses!$E$60)*(Hypotheses!$E$52+Hypotheses!$E$53)/12+Hypotheses!$E$54+Hypotheses!$E$55+Hypotheses!$E$56+Hypotheses!$E$57+Hypotheses!$E$58)</f>
        <v>-1320156.25</v>
      </c>
      <c r="AU27" s="27" t="n">
        <f aca="false">-(Hypotheses!$E$51*(1+AU24)+Investissements!$E$18*(1+Hypotheses!$E$60)*(Hypotheses!$E$52+Hypotheses!$E$53)/12+Hypotheses!$E$54+Hypotheses!$E$55+Hypotheses!$E$56+Hypotheses!$E$57+Hypotheses!$E$58)</f>
        <v>-1320156.25</v>
      </c>
      <c r="AV27" s="27" t="n">
        <f aca="false">-(Hypotheses!$E$51*(1+AV24)+Investissements!$E$18*(1+Hypotheses!$E$60)*(Hypotheses!$E$52+Hypotheses!$E$53)/12+Hypotheses!$E$54+Hypotheses!$E$55+Hypotheses!$E$56+Hypotheses!$E$57+Hypotheses!$E$58)</f>
        <v>-1320156.25</v>
      </c>
      <c r="AW27" s="27" t="n">
        <f aca="false">-(Hypotheses!$E$51*(1+AW24)+Investissements!$E$18*(1+Hypotheses!$E$60)*(Hypotheses!$E$52+Hypotheses!$E$53)/12+Hypotheses!$E$54+Hypotheses!$E$55+Hypotheses!$E$56+Hypotheses!$E$57+Hypotheses!$E$58)</f>
        <v>-1320156.25</v>
      </c>
      <c r="AX27" s="27" t="n">
        <f aca="false">-(Hypotheses!$E$51*(1+AX24)+Investissements!$E$18*(1+Hypotheses!$E$60)*(Hypotheses!$E$52+Hypotheses!$E$53)/12+Hypotheses!$E$54+Hypotheses!$E$55+Hypotheses!$E$56+Hypotheses!$E$57+Hypotheses!$E$58)</f>
        <v>-1320156.25</v>
      </c>
      <c r="AY27" s="27" t="n">
        <f aca="false">-(Hypotheses!$E$51*(1+AY24)+Investissements!$E$18*(1+Hypotheses!$E$60)*(Hypotheses!$E$52+Hypotheses!$E$53)/12+Hypotheses!$E$54+Hypotheses!$E$55+Hypotheses!$E$56+Hypotheses!$E$57+Hypotheses!$E$58)</f>
        <v>-1320156.25</v>
      </c>
      <c r="AZ27" s="27" t="n">
        <f aca="false">-(Hypotheses!$E$51*(1+AZ24)+Investissements!$E$18*(1+Hypotheses!$E$60)*(Hypotheses!$E$52+Hypotheses!$E$53)/12+Hypotheses!$E$54+Hypotheses!$E$55+Hypotheses!$E$56+Hypotheses!$E$57+Hypotheses!$E$58)</f>
        <v>-1320156.25</v>
      </c>
      <c r="BA27" s="27" t="n">
        <f aca="false">-(Hypotheses!$E$51*(1+BA24)+Investissements!$E$18*(1+Hypotheses!$E$60)*(Hypotheses!$E$52+Hypotheses!$E$53)/12+Hypotheses!$E$54+Hypotheses!$E$55+Hypotheses!$E$56+Hypotheses!$E$57+Hypotheses!$E$58)</f>
        <v>-1320156.25</v>
      </c>
      <c r="BB27" s="27" t="n">
        <f aca="false">-(Hypotheses!$E$51*(1+BB24)+Investissements!$E$18*(1+Hypotheses!$E$60)*(Hypotheses!$E$52+Hypotheses!$E$53)/12+Hypotheses!$E$54+Hypotheses!$E$55+Hypotheses!$E$56+Hypotheses!$E$57+Hypotheses!$E$58)</f>
        <v>-1320156.25</v>
      </c>
      <c r="BC27" s="27" t="n">
        <f aca="false">-(Hypotheses!$E$51*(1+BC24)+Investissements!$E$18*(1+Hypotheses!$E$60)*(Hypotheses!$E$52+Hypotheses!$E$53)/12+Hypotheses!$E$54+Hypotheses!$E$55+Hypotheses!$E$56+Hypotheses!$E$57+Hypotheses!$E$58)</f>
        <v>-1320156.25</v>
      </c>
      <c r="BD27" s="27" t="n">
        <f aca="false">-(Hypotheses!$E$51*(1+BD24)+Investissements!$E$18*(1+Hypotheses!$E$60)*(Hypotheses!$E$52+Hypotheses!$E$53)/12+Hypotheses!$E$54+Hypotheses!$E$55+Hypotheses!$E$56+Hypotheses!$E$57+Hypotheses!$E$58)</f>
        <v>-1320156.25</v>
      </c>
      <c r="BE27" s="27" t="n">
        <f aca="false">-(Hypotheses!$E$51*(1+BE24)+Investissements!$E$18*(1+Hypotheses!$E$60)*(Hypotheses!$E$52+Hypotheses!$E$53)/12+Hypotheses!$E$54+Hypotheses!$E$55+Hypotheses!$E$56+Hypotheses!$E$57+Hypotheses!$E$58)</f>
        <v>-1320156.25</v>
      </c>
      <c r="BF27" s="27" t="n">
        <f aca="false">-(Hypotheses!$E$51*(1+BF24)+Investissements!$E$18*(1+Hypotheses!$E$60)*(Hypotheses!$E$52+Hypotheses!$E$53)/12+Hypotheses!$E$54+Hypotheses!$E$55+Hypotheses!$E$56+Hypotheses!$E$57+Hypotheses!$E$58)</f>
        <v>-1320156.25</v>
      </c>
      <c r="BG27" s="27" t="n">
        <f aca="false">-(Hypotheses!$E$51*(1+BG24)+Investissements!$E$18*(1+Hypotheses!$E$60)*(Hypotheses!$E$52+Hypotheses!$E$53)/12+Hypotheses!$E$54+Hypotheses!$E$55+Hypotheses!$E$56+Hypotheses!$E$57+Hypotheses!$E$58)</f>
        <v>-1320156.25</v>
      </c>
      <c r="BH27" s="27" t="n">
        <f aca="false">-(Hypotheses!$E$51*(1+BH24)+Investissements!$E$18*(1+Hypotheses!$E$60)*(Hypotheses!$E$52+Hypotheses!$E$53)/12+Hypotheses!$E$54+Hypotheses!$E$55+Hypotheses!$E$56+Hypotheses!$E$57+Hypotheses!$E$58)</f>
        <v>-1320156.25</v>
      </c>
      <c r="BI27" s="27" t="n">
        <f aca="false">-(Hypotheses!$E$51*(1+BI24)+Investissements!$E$18*(1+Hypotheses!$E$60)*(Hypotheses!$E$52+Hypotheses!$E$53)/12+Hypotheses!$E$54+Hypotheses!$E$55+Hypotheses!$E$56+Hypotheses!$E$57+Hypotheses!$E$58)</f>
        <v>-1320156.25</v>
      </c>
      <c r="BJ27" s="27" t="n">
        <f aca="false">-(Hypotheses!$E$51*(1+BJ24)+Investissements!$E$18*(1+Hypotheses!$E$60)*(Hypotheses!$E$52+Hypotheses!$E$53)/12+Hypotheses!$E$54+Hypotheses!$E$55+Hypotheses!$E$56+Hypotheses!$E$57+Hypotheses!$E$58)</f>
        <v>-1320156.25</v>
      </c>
      <c r="BK27" s="27" t="n">
        <f aca="false">-(Hypotheses!$E$51*(1+BK24)+Investissements!$E$18*(1+Hypotheses!$E$60)*(Hypotheses!$E$52+Hypotheses!$E$53)/12+Hypotheses!$E$54+Hypotheses!$E$55+Hypotheses!$E$56+Hypotheses!$E$57+Hypotheses!$E$58)</f>
        <v>-1320156.25</v>
      </c>
      <c r="BL27" s="27" t="n">
        <f aca="false">-(Hypotheses!$E$51*(1+BL24)+Investissements!$E$18*(1+Hypotheses!$E$60)*(Hypotheses!$E$52+Hypotheses!$E$53)/12+Hypotheses!$E$54+Hypotheses!$E$55+Hypotheses!$E$56+Hypotheses!$E$57+Hypotheses!$E$58)</f>
        <v>-1320156.25</v>
      </c>
    </row>
    <row r="28" customFormat="false" ht="15" hidden="false" customHeight="false" outlineLevel="0" collapsed="false">
      <c r="B28" s="2" t="s">
        <v>283</v>
      </c>
      <c r="C28" s="2" t="s">
        <v>141</v>
      </c>
      <c r="D28" s="27" t="n">
        <f aca="false">-Hypotheses!$E$61</f>
        <v>-3000000</v>
      </c>
      <c r="E28" s="27" t="n">
        <f aca="false">0</f>
        <v>0</v>
      </c>
      <c r="F28" s="27" t="n">
        <f aca="false">0</f>
        <v>0</v>
      </c>
      <c r="G28" s="27" t="n">
        <f aca="false">0</f>
        <v>0</v>
      </c>
      <c r="H28" s="27" t="n">
        <f aca="false">0</f>
        <v>0</v>
      </c>
      <c r="I28" s="27" t="n">
        <f aca="false">0</f>
        <v>0</v>
      </c>
      <c r="J28" s="27" t="n">
        <f aca="false">0</f>
        <v>0</v>
      </c>
      <c r="K28" s="27" t="n">
        <f aca="false">0</f>
        <v>0</v>
      </c>
      <c r="L28" s="27" t="n">
        <f aca="false">0</f>
        <v>0</v>
      </c>
      <c r="M28" s="27" t="n">
        <f aca="false">0</f>
        <v>0</v>
      </c>
      <c r="N28" s="27" t="n">
        <f aca="false">0</f>
        <v>0</v>
      </c>
      <c r="O28" s="27" t="n">
        <f aca="false">0</f>
        <v>0</v>
      </c>
      <c r="P28" s="27" t="n">
        <f aca="false">0</f>
        <v>0</v>
      </c>
      <c r="Q28" s="27" t="n">
        <f aca="false">0</f>
        <v>0</v>
      </c>
      <c r="R28" s="27" t="n">
        <f aca="false">0</f>
        <v>0</v>
      </c>
      <c r="S28" s="27" t="n">
        <f aca="false">0</f>
        <v>0</v>
      </c>
      <c r="T28" s="27" t="n">
        <f aca="false">0</f>
        <v>0</v>
      </c>
      <c r="U28" s="27" t="n">
        <f aca="false">0</f>
        <v>0</v>
      </c>
      <c r="V28" s="27" t="n">
        <f aca="false">0</f>
        <v>0</v>
      </c>
      <c r="W28" s="27" t="n">
        <f aca="false">0</f>
        <v>0</v>
      </c>
      <c r="X28" s="27" t="n">
        <f aca="false">0</f>
        <v>0</v>
      </c>
      <c r="Y28" s="27" t="n">
        <f aca="false">0</f>
        <v>0</v>
      </c>
      <c r="Z28" s="27" t="n">
        <f aca="false">0</f>
        <v>0</v>
      </c>
      <c r="AA28" s="27" t="n">
        <f aca="false">0</f>
        <v>0</v>
      </c>
      <c r="AB28" s="27" t="n">
        <f aca="false">0</f>
        <v>0</v>
      </c>
      <c r="AC28" s="27" t="n">
        <f aca="false">0</f>
        <v>0</v>
      </c>
      <c r="AD28" s="27" t="n">
        <f aca="false">0</f>
        <v>0</v>
      </c>
      <c r="AE28" s="27" t="n">
        <f aca="false">0</f>
        <v>0</v>
      </c>
      <c r="AF28" s="27" t="n">
        <f aca="false">0</f>
        <v>0</v>
      </c>
      <c r="AG28" s="27" t="n">
        <f aca="false">0</f>
        <v>0</v>
      </c>
      <c r="AH28" s="27" t="n">
        <f aca="false">0</f>
        <v>0</v>
      </c>
      <c r="AI28" s="27" t="n">
        <f aca="false">0</f>
        <v>0</v>
      </c>
      <c r="AJ28" s="27" t="n">
        <f aca="false">0</f>
        <v>0</v>
      </c>
      <c r="AK28" s="27" t="n">
        <f aca="false">0</f>
        <v>0</v>
      </c>
      <c r="AL28" s="27" t="n">
        <f aca="false">0</f>
        <v>0</v>
      </c>
      <c r="AM28" s="27" t="n">
        <f aca="false">0</f>
        <v>0</v>
      </c>
      <c r="AN28" s="27" t="n">
        <f aca="false">0</f>
        <v>0</v>
      </c>
      <c r="AO28" s="27" t="n">
        <f aca="false">0</f>
        <v>0</v>
      </c>
      <c r="AP28" s="27" t="n">
        <f aca="false">0</f>
        <v>0</v>
      </c>
      <c r="AQ28" s="27" t="n">
        <f aca="false">0</f>
        <v>0</v>
      </c>
      <c r="AR28" s="27" t="n">
        <f aca="false">0</f>
        <v>0</v>
      </c>
      <c r="AS28" s="27" t="n">
        <f aca="false">0</f>
        <v>0</v>
      </c>
      <c r="AT28" s="27" t="n">
        <f aca="false">0</f>
        <v>0</v>
      </c>
      <c r="AU28" s="27" t="n">
        <f aca="false">0</f>
        <v>0</v>
      </c>
      <c r="AV28" s="27" t="n">
        <f aca="false">0</f>
        <v>0</v>
      </c>
      <c r="AW28" s="27" t="n">
        <f aca="false">0</f>
        <v>0</v>
      </c>
      <c r="AX28" s="27" t="n">
        <f aca="false">0</f>
        <v>0</v>
      </c>
      <c r="AY28" s="27" t="n">
        <f aca="false">0</f>
        <v>0</v>
      </c>
      <c r="AZ28" s="27" t="n">
        <f aca="false">0</f>
        <v>0</v>
      </c>
      <c r="BA28" s="27" t="n">
        <f aca="false">0</f>
        <v>0</v>
      </c>
      <c r="BB28" s="27" t="n">
        <f aca="false">0</f>
        <v>0</v>
      </c>
      <c r="BC28" s="27" t="n">
        <f aca="false">0</f>
        <v>0</v>
      </c>
      <c r="BD28" s="27" t="n">
        <f aca="false">0</f>
        <v>0</v>
      </c>
      <c r="BE28" s="27" t="n">
        <f aca="false">0</f>
        <v>0</v>
      </c>
      <c r="BF28" s="27" t="n">
        <f aca="false">0</f>
        <v>0</v>
      </c>
      <c r="BG28" s="27" t="n">
        <f aca="false">0</f>
        <v>0</v>
      </c>
      <c r="BH28" s="27" t="n">
        <f aca="false">0</f>
        <v>0</v>
      </c>
      <c r="BI28" s="27" t="n">
        <f aca="false">0</f>
        <v>0</v>
      </c>
      <c r="BJ28" s="27" t="n">
        <f aca="false">0</f>
        <v>0</v>
      </c>
      <c r="BK28" s="27" t="n">
        <f aca="false">0</f>
        <v>0</v>
      </c>
      <c r="BL28" s="27" t="n">
        <f aca="false">0</f>
        <v>0</v>
      </c>
    </row>
    <row r="29" customFormat="false" ht="15" hidden="false" customHeight="false" outlineLevel="0" collapsed="false">
      <c r="B29" s="3" t="s">
        <v>37</v>
      </c>
      <c r="C29" s="2" t="s">
        <v>141</v>
      </c>
      <c r="D29" s="28" t="n">
        <f aca="false">D28</f>
        <v>-3000000</v>
      </c>
      <c r="E29" s="28" t="n">
        <f aca="false">E22+E25+E26+E27+E28</f>
        <v>-1396756.25</v>
      </c>
      <c r="F29" s="28" t="n">
        <f aca="false">F22+F25+F26+F27+F28</f>
        <v>-1216599.1160826</v>
      </c>
      <c r="G29" s="28" t="n">
        <f aca="false">G22+G25+G26+G27+G28</f>
        <v>-1033881.28128911</v>
      </c>
      <c r="H29" s="28" t="n">
        <f aca="false">H22+H25+H26+H27+H28</f>
        <v>-848602.745619524</v>
      </c>
      <c r="I29" s="28" t="n">
        <f aca="false">I22+I25+I26+I27+I28</f>
        <v>-660763.509073843</v>
      </c>
      <c r="J29" s="28" t="n">
        <f aca="false">J22+J25+J26+J27+J28</f>
        <v>-470363.571652065</v>
      </c>
      <c r="K29" s="28" t="n">
        <f aca="false">K22+K25+K26+K27+K28</f>
        <v>-277402.933354193</v>
      </c>
      <c r="L29" s="28" t="n">
        <f aca="false">L22+L25+L26+L27+L28</f>
        <v>-81881.5941802254</v>
      </c>
      <c r="M29" s="28" t="n">
        <f aca="false">M22+M25+M26+M27+M28</f>
        <v>116200.445869837</v>
      </c>
      <c r="N29" s="28" t="n">
        <f aca="false">N22+N25+N26+N27+N28</f>
        <v>316843.186795996</v>
      </c>
      <c r="O29" s="28" t="n">
        <f aca="false">O22+O25+O26+O27+O28</f>
        <v>242496.628598248</v>
      </c>
      <c r="P29" s="28" t="n">
        <f aca="false">P22+P25+P26+P27+P28</f>
        <v>448260.771276596</v>
      </c>
      <c r="Q29" s="28" t="n">
        <f aca="false">Q22+Q25+Q26+Q27+Q28</f>
        <v>656585.614831039</v>
      </c>
      <c r="R29" s="28" t="n">
        <f aca="false">R22+R25+R26+R27+R28</f>
        <v>867471.159261577</v>
      </c>
      <c r="S29" s="28" t="n">
        <f aca="false">S22+S25+S26+S27+S28</f>
        <v>1080917.40456821</v>
      </c>
      <c r="T29" s="28" t="n">
        <f aca="false">T22+T25+T26+T27+T28</f>
        <v>1296924.35075094</v>
      </c>
      <c r="U29" s="28" t="n">
        <f aca="false">U22+U25+U26+U27+U28</f>
        <v>1515491.99780976</v>
      </c>
      <c r="V29" s="28" t="n">
        <f aca="false">V22+V25+V26+V27+V28</f>
        <v>1736620.34574468</v>
      </c>
      <c r="W29" s="28" t="n">
        <f aca="false">W22+W25+W26+W27+W28</f>
        <v>1833415.02659575</v>
      </c>
      <c r="X29" s="28" t="n">
        <f aca="false">X22+X25+X26+X27+X28</f>
        <v>1931116.62234043</v>
      </c>
      <c r="Y29" s="28" t="n">
        <f aca="false">Y22+Y25+Y26+Y27+Y28</f>
        <v>2029725.13297872</v>
      </c>
      <c r="Z29" s="28" t="n">
        <f aca="false">Z22+Z25+Z26+Z27+Z28</f>
        <v>2129240.55851064</v>
      </c>
      <c r="AA29" s="28" t="n">
        <f aca="false">AA22+AA25+AA26+AA27+AA28</f>
        <v>2158261.83510638</v>
      </c>
      <c r="AB29" s="28" t="n">
        <f aca="false">AB22+AB25+AB26+AB27+AB28</f>
        <v>2187283.11170213</v>
      </c>
      <c r="AC29" s="28" t="n">
        <f aca="false">AC22+AC25+AC26+AC27+AC28</f>
        <v>2216304.38829787</v>
      </c>
      <c r="AD29" s="28" t="n">
        <f aca="false">AD22+AD25+AD26+AD27+AD28</f>
        <v>2245325.66489362</v>
      </c>
      <c r="AE29" s="28" t="n">
        <f aca="false">AE22+AE25+AE26+AE27+AE28</f>
        <v>2274346.94148936</v>
      </c>
      <c r="AF29" s="28" t="n">
        <f aca="false">AF22+AF25+AF26+AF27+AF28</f>
        <v>2303368.21808511</v>
      </c>
      <c r="AG29" s="28" t="n">
        <f aca="false">AG22+AG25+AG26+AG27+AG28</f>
        <v>2332389.49468085</v>
      </c>
      <c r="AH29" s="28" t="n">
        <f aca="false">AH22+AH25+AH26+AH27+AH28</f>
        <v>2402912.89893617</v>
      </c>
      <c r="AI29" s="28" t="n">
        <f aca="false">AI22+AI25+AI26+AI27+AI28</f>
        <v>2510590.55851064</v>
      </c>
      <c r="AJ29" s="28" t="n">
        <f aca="false">AJ22+AJ25+AJ26+AJ27+AJ28</f>
        <v>2619175.13297872</v>
      </c>
      <c r="AK29" s="28" t="n">
        <f aca="false">AK22+AK25+AK26+AK27+AK28</f>
        <v>2728666.62234043</v>
      </c>
      <c r="AL29" s="28" t="n">
        <f aca="false">AL22+AL25+AL26+AL27+AL28</f>
        <v>2839065.02659575</v>
      </c>
      <c r="AM29" s="28" t="n">
        <f aca="false">AM22+AM25+AM26+AM27+AM28</f>
        <v>2950370.34574468</v>
      </c>
      <c r="AN29" s="28" t="n">
        <f aca="false">AN22+AN25+AN26+AN27+AN28</f>
        <v>3062582.57978723</v>
      </c>
      <c r="AO29" s="28" t="n">
        <f aca="false">AO22+AO25+AO26+AO27+AO28</f>
        <v>3175701.7287234</v>
      </c>
      <c r="AP29" s="28" t="n">
        <f aca="false">AP22+AP25+AP26+AP27+AP28</f>
        <v>2767911.12588653</v>
      </c>
      <c r="AQ29" s="28" t="n">
        <f aca="false">AQ22+AQ25+AQ26+AQ27+AQ28</f>
        <v>2882844.10460993</v>
      </c>
      <c r="AR29" s="28" t="n">
        <f aca="false">AR22+AR25+AR26+AR27+AR28</f>
        <v>2998683.99822695</v>
      </c>
      <c r="AS29" s="28" t="n">
        <f aca="false">AS22+AS25+AS26+AS27+AS28</f>
        <v>3115430.80673759</v>
      </c>
      <c r="AT29" s="28" t="n">
        <f aca="false">AT22+AT25+AT26+AT27+AT28</f>
        <v>3233084.53014185</v>
      </c>
      <c r="AU29" s="28" t="n">
        <f aca="false">AU22+AU25+AU26+AU27+AU28</f>
        <v>3351645.16843972</v>
      </c>
      <c r="AV29" s="28" t="n">
        <f aca="false">AV22+AV25+AV26+AV27+AV28</f>
        <v>3471112.7216312</v>
      </c>
      <c r="AW29" s="28" t="n">
        <f aca="false">AW22+AW25+AW26+AW27+AW28</f>
        <v>3591487.18971631</v>
      </c>
      <c r="AX29" s="28" t="n">
        <f aca="false">AX22+AX25+AX26+AX27+AX28</f>
        <v>3712768.57269503</v>
      </c>
      <c r="AY29" s="28" t="n">
        <f aca="false">AY22+AY25+AY26+AY27+AY28</f>
        <v>3834956.87056738</v>
      </c>
      <c r="AZ29" s="28" t="n">
        <f aca="false">AZ22+AZ25+AZ26+AZ27+AZ28</f>
        <v>3958052.08333333</v>
      </c>
      <c r="BA29" s="28" t="n">
        <f aca="false">BA22+BA25+BA26+BA27+BA28</f>
        <v>4040789.58333333</v>
      </c>
      <c r="BB29" s="28" t="n">
        <f aca="false">BB22+BB25+BB26+BB27+BB28</f>
        <v>4123527.08333333</v>
      </c>
      <c r="BC29" s="28" t="n">
        <f aca="false">BC22+BC25+BC26+BC27+BC28</f>
        <v>4206264.58333333</v>
      </c>
      <c r="BD29" s="28" t="n">
        <f aca="false">BD22+BD25+BD26+BD27+BD28</f>
        <v>4289002.08333333</v>
      </c>
      <c r="BE29" s="28" t="n">
        <f aca="false">BE22+BE25+BE26+BE27+BE28</f>
        <v>4371739.58333333</v>
      </c>
      <c r="BF29" s="28" t="n">
        <f aca="false">BF22+BF25+BF26+BF27+BF28</f>
        <v>4454477.08333333</v>
      </c>
      <c r="BG29" s="28" t="n">
        <f aca="false">BG22+BG25+BG26+BG27+BG28</f>
        <v>4537214.58333333</v>
      </c>
      <c r="BH29" s="28" t="n">
        <f aca="false">BH22+BH25+BH26+BH27+BH28</f>
        <v>4619952.08333333</v>
      </c>
      <c r="BI29" s="28" t="n">
        <f aca="false">BI22+BI25+BI26+BI27+BI28</f>
        <v>4702689.58333333</v>
      </c>
      <c r="BJ29" s="28" t="n">
        <f aca="false">BJ22+BJ25+BJ26+BJ27+BJ28</f>
        <v>4785427.08333333</v>
      </c>
      <c r="BK29" s="28" t="n">
        <f aca="false">BK22+BK25+BK26+BK27+BK28</f>
        <v>4868164.58333333</v>
      </c>
      <c r="BL29" s="28" t="n">
        <f aca="false">BL22+BL25+BL26+BL27+BL28</f>
        <v>4950902.08333333</v>
      </c>
    </row>
    <row r="30" customFormat="false" ht="15" hidden="false" customHeight="false" outlineLevel="0" collapsed="false">
      <c r="B30" s="2" t="s">
        <v>284</v>
      </c>
      <c r="C30" s="2" t="s">
        <v>141</v>
      </c>
      <c r="E30" s="27" t="n">
        <f aca="false">-SUMPRODUCT((Investissements!$F$5:$F$17*12&gt;=E3)*Investissements!$G$5:$G$17)*(1+Hypotheses!$E$60)-E24*Hypotheses!$E$45/60</f>
        <v>-594196.428571429</v>
      </c>
      <c r="F30" s="27" t="n">
        <f aca="false">-SUMPRODUCT((Investissements!$F$5:$F$17*12&gt;=F3)*Investissements!$G$5:$G$17)*(1+Hypotheses!$E$60)-F24*Hypotheses!$E$45/60</f>
        <v>-594196.428571429</v>
      </c>
      <c r="G30" s="27" t="n">
        <f aca="false">-SUMPRODUCT((Investissements!$F$5:$F$17*12&gt;=G3)*Investissements!$G$5:$G$17)*(1+Hypotheses!$E$60)-G24*Hypotheses!$E$45/60</f>
        <v>-594196.428571429</v>
      </c>
      <c r="H30" s="27" t="n">
        <f aca="false">-SUMPRODUCT((Investissements!$F$5:$F$17*12&gt;=H3)*Investissements!$G$5:$G$17)*(1+Hypotheses!$E$60)-H24*Hypotheses!$E$45/60</f>
        <v>-594196.428571429</v>
      </c>
      <c r="I30" s="27" t="n">
        <f aca="false">-SUMPRODUCT((Investissements!$F$5:$F$17*12&gt;=I3)*Investissements!$G$5:$G$17)*(1+Hypotheses!$E$60)-I24*Hypotheses!$E$45/60</f>
        <v>-594196.428571429</v>
      </c>
      <c r="J30" s="27" t="n">
        <f aca="false">-SUMPRODUCT((Investissements!$F$5:$F$17*12&gt;=J3)*Investissements!$G$5:$G$17)*(1+Hypotheses!$E$60)-J24*Hypotheses!$E$45/60</f>
        <v>-594196.428571429</v>
      </c>
      <c r="K30" s="27" t="n">
        <f aca="false">-SUMPRODUCT((Investissements!$F$5:$F$17*12&gt;=K3)*Investissements!$G$5:$G$17)*(1+Hypotheses!$E$60)-K24*Hypotheses!$E$45/60</f>
        <v>-594196.428571429</v>
      </c>
      <c r="L30" s="27" t="n">
        <f aca="false">-SUMPRODUCT((Investissements!$F$5:$F$17*12&gt;=L3)*Investissements!$G$5:$G$17)*(1+Hypotheses!$E$60)-L24*Hypotheses!$E$45/60</f>
        <v>-594196.428571429</v>
      </c>
      <c r="M30" s="27" t="n">
        <f aca="false">-SUMPRODUCT((Investissements!$F$5:$F$17*12&gt;=M3)*Investissements!$G$5:$G$17)*(1+Hypotheses!$E$60)-M24*Hypotheses!$E$45/60</f>
        <v>-594196.428571429</v>
      </c>
      <c r="N30" s="27" t="n">
        <f aca="false">-SUMPRODUCT((Investissements!$F$5:$F$17*12&gt;=N3)*Investissements!$G$5:$G$17)*(1+Hypotheses!$E$60)-N24*Hypotheses!$E$45/60</f>
        <v>-594196.428571429</v>
      </c>
      <c r="O30" s="27" t="n">
        <f aca="false">-SUMPRODUCT((Investissements!$F$5:$F$17*12&gt;=O3)*Investissements!$G$5:$G$17)*(1+Hypotheses!$E$60)-O24*Hypotheses!$E$45/60</f>
        <v>-594196.428571429</v>
      </c>
      <c r="P30" s="27" t="n">
        <f aca="false">-SUMPRODUCT((Investissements!$F$5:$F$17*12&gt;=P3)*Investissements!$G$5:$G$17)*(1+Hypotheses!$E$60)-P24*Hypotheses!$E$45/60</f>
        <v>-594196.428571429</v>
      </c>
      <c r="Q30" s="27" t="n">
        <f aca="false">-SUMPRODUCT((Investissements!$F$5:$F$17*12&gt;=Q3)*Investissements!$G$5:$G$17)*(1+Hypotheses!$E$60)-Q24*Hypotheses!$E$45/60</f>
        <v>-594196.428571429</v>
      </c>
      <c r="R30" s="27" t="n">
        <f aca="false">-SUMPRODUCT((Investissements!$F$5:$F$17*12&gt;=R3)*Investissements!$G$5:$G$17)*(1+Hypotheses!$E$60)-R24*Hypotheses!$E$45/60</f>
        <v>-594196.428571429</v>
      </c>
      <c r="S30" s="27" t="n">
        <f aca="false">-SUMPRODUCT((Investissements!$F$5:$F$17*12&gt;=S3)*Investissements!$G$5:$G$17)*(1+Hypotheses!$E$60)-S24*Hypotheses!$E$45/60</f>
        <v>-594196.428571429</v>
      </c>
      <c r="T30" s="27" t="n">
        <f aca="false">-SUMPRODUCT((Investissements!$F$5:$F$17*12&gt;=T3)*Investissements!$G$5:$G$17)*(1+Hypotheses!$E$60)-T24*Hypotheses!$E$45/60</f>
        <v>-594196.428571429</v>
      </c>
      <c r="U30" s="27" t="n">
        <f aca="false">-SUMPRODUCT((Investissements!$F$5:$F$17*12&gt;=U3)*Investissements!$G$5:$G$17)*(1+Hypotheses!$E$60)-U24*Hypotheses!$E$45/60</f>
        <v>-594196.428571429</v>
      </c>
      <c r="V30" s="27" t="n">
        <f aca="false">-SUMPRODUCT((Investissements!$F$5:$F$17*12&gt;=V3)*Investissements!$G$5:$G$17)*(1+Hypotheses!$E$60)-V24*Hypotheses!$E$45/60</f>
        <v>-594196.428571429</v>
      </c>
      <c r="W30" s="27" t="n">
        <f aca="false">-SUMPRODUCT((Investissements!$F$5:$F$17*12&gt;=W3)*Investissements!$G$5:$G$17)*(1+Hypotheses!$E$60)-W24*Hypotheses!$E$45/60</f>
        <v>-594196.428571429</v>
      </c>
      <c r="X30" s="27" t="n">
        <f aca="false">-SUMPRODUCT((Investissements!$F$5:$F$17*12&gt;=X3)*Investissements!$G$5:$G$17)*(1+Hypotheses!$E$60)-X24*Hypotheses!$E$45/60</f>
        <v>-594196.428571429</v>
      </c>
      <c r="Y30" s="27" t="n">
        <f aca="false">-SUMPRODUCT((Investissements!$F$5:$F$17*12&gt;=Y3)*Investissements!$G$5:$G$17)*(1+Hypotheses!$E$60)-Y24*Hypotheses!$E$45/60</f>
        <v>-594196.428571429</v>
      </c>
      <c r="Z30" s="27" t="n">
        <f aca="false">-SUMPRODUCT((Investissements!$F$5:$F$17*12&gt;=Z3)*Investissements!$G$5:$G$17)*(1+Hypotheses!$E$60)-Z24*Hypotheses!$E$45/60</f>
        <v>-594196.428571429</v>
      </c>
      <c r="AA30" s="27" t="n">
        <f aca="false">-SUMPRODUCT((Investissements!$F$5:$F$17*12&gt;=AA3)*Investissements!$G$5:$G$17)*(1+Hypotheses!$E$60)-AA24*Hypotheses!$E$45/60</f>
        <v>-594196.428571429</v>
      </c>
      <c r="AB30" s="27" t="n">
        <f aca="false">-SUMPRODUCT((Investissements!$F$5:$F$17*12&gt;=AB3)*Investissements!$G$5:$G$17)*(1+Hypotheses!$E$60)-AB24*Hypotheses!$E$45/60</f>
        <v>-594196.428571429</v>
      </c>
      <c r="AC30" s="27" t="n">
        <f aca="false">-SUMPRODUCT((Investissements!$F$5:$F$17*12&gt;=AC3)*Investissements!$G$5:$G$17)*(1+Hypotheses!$E$60)-AC24*Hypotheses!$E$45/60</f>
        <v>-594196.428571429</v>
      </c>
      <c r="AD30" s="27" t="n">
        <f aca="false">-SUMPRODUCT((Investissements!$F$5:$F$17*12&gt;=AD3)*Investissements!$G$5:$G$17)*(1+Hypotheses!$E$60)-AD24*Hypotheses!$E$45/60</f>
        <v>-594196.428571429</v>
      </c>
      <c r="AE30" s="27" t="n">
        <f aca="false">-SUMPRODUCT((Investissements!$F$5:$F$17*12&gt;=AE3)*Investissements!$G$5:$G$17)*(1+Hypotheses!$E$60)-AE24*Hypotheses!$E$45/60</f>
        <v>-594196.428571429</v>
      </c>
      <c r="AF30" s="27" t="n">
        <f aca="false">-SUMPRODUCT((Investissements!$F$5:$F$17*12&gt;=AF3)*Investissements!$G$5:$G$17)*(1+Hypotheses!$E$60)-AF24*Hypotheses!$E$45/60</f>
        <v>-594196.428571429</v>
      </c>
      <c r="AG30" s="27" t="n">
        <f aca="false">-SUMPRODUCT((Investissements!$F$5:$F$17*12&gt;=AG3)*Investissements!$G$5:$G$17)*(1+Hypotheses!$E$60)-AG24*Hypotheses!$E$45/60</f>
        <v>-594196.428571429</v>
      </c>
      <c r="AH30" s="27" t="n">
        <f aca="false">-SUMPRODUCT((Investissements!$F$5:$F$17*12&gt;=AH3)*Investissements!$G$5:$G$17)*(1+Hypotheses!$E$60)-AH24*Hypotheses!$E$45/60</f>
        <v>-594196.428571429</v>
      </c>
      <c r="AI30" s="27" t="n">
        <f aca="false">-SUMPRODUCT((Investissements!$F$5:$F$17*12&gt;=AI3)*Investissements!$G$5:$G$17)*(1+Hypotheses!$E$60)-AI24*Hypotheses!$E$45/60</f>
        <v>-594196.428571429</v>
      </c>
      <c r="AJ30" s="27" t="n">
        <f aca="false">-SUMPRODUCT((Investissements!$F$5:$F$17*12&gt;=AJ3)*Investissements!$G$5:$G$17)*(1+Hypotheses!$E$60)-AJ24*Hypotheses!$E$45/60</f>
        <v>-594196.428571429</v>
      </c>
      <c r="AK30" s="27" t="n">
        <f aca="false">-SUMPRODUCT((Investissements!$F$5:$F$17*12&gt;=AK3)*Investissements!$G$5:$G$17)*(1+Hypotheses!$E$60)-AK24*Hypotheses!$E$45/60</f>
        <v>-594196.428571429</v>
      </c>
      <c r="AL30" s="27" t="n">
        <f aca="false">-SUMPRODUCT((Investissements!$F$5:$F$17*12&gt;=AL3)*Investissements!$G$5:$G$17)*(1+Hypotheses!$E$60)-AL24*Hypotheses!$E$45/60</f>
        <v>-594196.428571429</v>
      </c>
      <c r="AM30" s="27" t="n">
        <f aca="false">-SUMPRODUCT((Investissements!$F$5:$F$17*12&gt;=AM3)*Investissements!$G$5:$G$17)*(1+Hypotheses!$E$60)-AM24*Hypotheses!$E$45/60</f>
        <v>-594196.428571429</v>
      </c>
      <c r="AN30" s="27" t="n">
        <f aca="false">-SUMPRODUCT((Investissements!$F$5:$F$17*12&gt;=AN3)*Investissements!$G$5:$G$17)*(1+Hypotheses!$E$60)-AN24*Hypotheses!$E$45/60</f>
        <v>-594196.428571429</v>
      </c>
      <c r="AO30" s="27" t="n">
        <f aca="false">-SUMPRODUCT((Investissements!$F$5:$F$17*12&gt;=AO3)*Investissements!$G$5:$G$17)*(1+Hypotheses!$E$60)-AO24*Hypotheses!$E$45/60</f>
        <v>-521974.206349206</v>
      </c>
      <c r="AP30" s="27" t="n">
        <f aca="false">-SUMPRODUCT((Investissements!$F$5:$F$17*12&gt;=AP3)*Investissements!$G$5:$G$17)*(1+Hypotheses!$E$60)-AP24*Hypotheses!$E$45/60</f>
        <v>-621974.206349206</v>
      </c>
      <c r="AQ30" s="27" t="n">
        <f aca="false">-SUMPRODUCT((Investissements!$F$5:$F$17*12&gt;=AQ3)*Investissements!$G$5:$G$17)*(1+Hypotheses!$E$60)-AQ24*Hypotheses!$E$45/60</f>
        <v>-621974.206349206</v>
      </c>
      <c r="AR30" s="27" t="n">
        <f aca="false">-SUMPRODUCT((Investissements!$F$5:$F$17*12&gt;=AR3)*Investissements!$G$5:$G$17)*(1+Hypotheses!$E$60)-AR24*Hypotheses!$E$45/60</f>
        <v>-621974.206349206</v>
      </c>
      <c r="AS30" s="27" t="n">
        <f aca="false">-SUMPRODUCT((Investissements!$F$5:$F$17*12&gt;=AS3)*Investissements!$G$5:$G$17)*(1+Hypotheses!$E$60)-AS24*Hypotheses!$E$45/60</f>
        <v>-621974.206349206</v>
      </c>
      <c r="AT30" s="27" t="n">
        <f aca="false">-SUMPRODUCT((Investissements!$F$5:$F$17*12&gt;=AT3)*Investissements!$G$5:$G$17)*(1+Hypotheses!$E$60)-AT24*Hypotheses!$E$45/60</f>
        <v>-621974.206349206</v>
      </c>
      <c r="AU30" s="27" t="n">
        <f aca="false">-SUMPRODUCT((Investissements!$F$5:$F$17*12&gt;=AU3)*Investissements!$G$5:$G$17)*(1+Hypotheses!$E$60)-AU24*Hypotheses!$E$45/60</f>
        <v>-621974.206349206</v>
      </c>
      <c r="AV30" s="27" t="n">
        <f aca="false">-SUMPRODUCT((Investissements!$F$5:$F$17*12&gt;=AV3)*Investissements!$G$5:$G$17)*(1+Hypotheses!$E$60)-AV24*Hypotheses!$E$45/60</f>
        <v>-621974.206349206</v>
      </c>
      <c r="AW30" s="27" t="n">
        <f aca="false">-SUMPRODUCT((Investissements!$F$5:$F$17*12&gt;=AW3)*Investissements!$G$5:$G$17)*(1+Hypotheses!$E$60)-AW24*Hypotheses!$E$45/60</f>
        <v>-621974.206349206</v>
      </c>
      <c r="AX30" s="27" t="n">
        <f aca="false">-SUMPRODUCT((Investissements!$F$5:$F$17*12&gt;=AX3)*Investissements!$G$5:$G$17)*(1+Hypotheses!$E$60)-AX24*Hypotheses!$E$45/60</f>
        <v>-621974.206349206</v>
      </c>
      <c r="AY30" s="27" t="n">
        <f aca="false">-SUMPRODUCT((Investissements!$F$5:$F$17*12&gt;=AY3)*Investissements!$G$5:$G$17)*(1+Hypotheses!$E$60)-AY24*Hypotheses!$E$45/60</f>
        <v>-621974.206349206</v>
      </c>
      <c r="AZ30" s="27" t="n">
        <f aca="false">-SUMPRODUCT((Investissements!$F$5:$F$17*12&gt;=AZ3)*Investissements!$G$5:$G$17)*(1+Hypotheses!$E$60)-AZ24*Hypotheses!$E$45/60</f>
        <v>-621974.206349206</v>
      </c>
      <c r="BA30" s="27" t="n">
        <f aca="false">-SUMPRODUCT((Investissements!$F$5:$F$17*12&gt;=BA3)*Investissements!$G$5:$G$17)*(1+Hypotheses!$E$60)-BA24*Hypotheses!$E$45/60</f>
        <v>-621974.206349206</v>
      </c>
      <c r="BB30" s="27" t="n">
        <f aca="false">-SUMPRODUCT((Investissements!$F$5:$F$17*12&gt;=BB3)*Investissements!$G$5:$G$17)*(1+Hypotheses!$E$60)-BB24*Hypotheses!$E$45/60</f>
        <v>-621974.206349206</v>
      </c>
      <c r="BC30" s="27" t="n">
        <f aca="false">-SUMPRODUCT((Investissements!$F$5:$F$17*12&gt;=BC3)*Investissements!$G$5:$G$17)*(1+Hypotheses!$E$60)-BC24*Hypotheses!$E$45/60</f>
        <v>-621974.206349206</v>
      </c>
      <c r="BD30" s="27" t="n">
        <f aca="false">-SUMPRODUCT((Investissements!$F$5:$F$17*12&gt;=BD3)*Investissements!$G$5:$G$17)*(1+Hypotheses!$E$60)-BD24*Hypotheses!$E$45/60</f>
        <v>-621974.206349206</v>
      </c>
      <c r="BE30" s="27" t="n">
        <f aca="false">-SUMPRODUCT((Investissements!$F$5:$F$17*12&gt;=BE3)*Investissements!$G$5:$G$17)*(1+Hypotheses!$E$60)-BE24*Hypotheses!$E$45/60</f>
        <v>-621974.206349206</v>
      </c>
      <c r="BF30" s="27" t="n">
        <f aca="false">-SUMPRODUCT((Investissements!$F$5:$F$17*12&gt;=BF3)*Investissements!$G$5:$G$17)*(1+Hypotheses!$E$60)-BF24*Hypotheses!$E$45/60</f>
        <v>-621974.206349206</v>
      </c>
      <c r="BG30" s="27" t="n">
        <f aca="false">-SUMPRODUCT((Investissements!$F$5:$F$17*12&gt;=BG3)*Investissements!$G$5:$G$17)*(1+Hypotheses!$E$60)-BG24*Hypotheses!$E$45/60</f>
        <v>-621974.206349206</v>
      </c>
      <c r="BH30" s="27" t="n">
        <f aca="false">-SUMPRODUCT((Investissements!$F$5:$F$17*12&gt;=BH3)*Investissements!$G$5:$G$17)*(1+Hypotheses!$E$60)-BH24*Hypotheses!$E$45/60</f>
        <v>-621974.206349206</v>
      </c>
      <c r="BI30" s="27" t="n">
        <f aca="false">-SUMPRODUCT((Investissements!$F$5:$F$17*12&gt;=BI3)*Investissements!$G$5:$G$17)*(1+Hypotheses!$E$60)-BI24*Hypotheses!$E$45/60</f>
        <v>-621974.206349206</v>
      </c>
      <c r="BJ30" s="27" t="n">
        <f aca="false">-SUMPRODUCT((Investissements!$F$5:$F$17*12&gt;=BJ3)*Investissements!$G$5:$G$17)*(1+Hypotheses!$E$60)-BJ24*Hypotheses!$E$45/60</f>
        <v>-621974.206349206</v>
      </c>
      <c r="BK30" s="27" t="n">
        <f aca="false">-SUMPRODUCT((Investissements!$F$5:$F$17*12&gt;=BK3)*Investissements!$G$5:$G$17)*(1+Hypotheses!$E$60)-BK24*Hypotheses!$E$45/60</f>
        <v>-621974.206349206</v>
      </c>
      <c r="BL30" s="27" t="n">
        <f aca="false">-SUMPRODUCT((Investissements!$F$5:$F$17*12&gt;=BL3)*Investissements!$G$5:$G$17)*(1+Hypotheses!$E$60)-BL24*Hypotheses!$E$45/60</f>
        <v>-621974.206349206</v>
      </c>
    </row>
    <row r="31" customFormat="false" ht="15" hidden="false" customHeight="false" outlineLevel="0" collapsed="false">
      <c r="B31" s="3" t="s">
        <v>285</v>
      </c>
      <c r="C31" s="2" t="s">
        <v>141</v>
      </c>
      <c r="D31" s="28" t="n">
        <f aca="false">D29</f>
        <v>-3000000</v>
      </c>
      <c r="E31" s="28" t="n">
        <f aca="false">E29+E30</f>
        <v>-1990952.67857143</v>
      </c>
      <c r="F31" s="28" t="n">
        <f aca="false">F29+F30</f>
        <v>-1810795.54465403</v>
      </c>
      <c r="G31" s="28" t="n">
        <f aca="false">G29+G30</f>
        <v>-1628077.70986054</v>
      </c>
      <c r="H31" s="28" t="n">
        <f aca="false">H29+H30</f>
        <v>-1442799.17419095</v>
      </c>
      <c r="I31" s="28" t="n">
        <f aca="false">I29+I30</f>
        <v>-1254959.93764527</v>
      </c>
      <c r="J31" s="28" t="n">
        <f aca="false">J29+J30</f>
        <v>-1064560.00022349</v>
      </c>
      <c r="K31" s="28" t="n">
        <f aca="false">K29+K30</f>
        <v>-871599.361925622</v>
      </c>
      <c r="L31" s="28" t="n">
        <f aca="false">L29+L30</f>
        <v>-676078.022751654</v>
      </c>
      <c r="M31" s="28" t="n">
        <f aca="false">M29+M30</f>
        <v>-477995.982701592</v>
      </c>
      <c r="N31" s="28" t="n">
        <f aca="false">N29+N30</f>
        <v>-277353.241775433</v>
      </c>
      <c r="O31" s="28" t="n">
        <f aca="false">O29+O30</f>
        <v>-351699.799973181</v>
      </c>
      <c r="P31" s="28" t="n">
        <f aca="false">P29+P30</f>
        <v>-145935.657294832</v>
      </c>
      <c r="Q31" s="28" t="n">
        <f aca="false">Q29+Q30</f>
        <v>62389.1862596106</v>
      </c>
      <c r="R31" s="28" t="n">
        <f aca="false">R29+R30</f>
        <v>273274.730690148</v>
      </c>
      <c r="S31" s="28" t="n">
        <f aca="false">S29+S30</f>
        <v>486720.975996781</v>
      </c>
      <c r="T31" s="28" t="n">
        <f aca="false">T29+T30</f>
        <v>702727.92217951</v>
      </c>
      <c r="U31" s="28" t="n">
        <f aca="false">U29+U30</f>
        <v>921295.569238334</v>
      </c>
      <c r="V31" s="28" t="n">
        <f aca="false">V29+V30</f>
        <v>1142423.91717325</v>
      </c>
      <c r="W31" s="28" t="n">
        <f aca="false">W29+W30</f>
        <v>1239218.59802432</v>
      </c>
      <c r="X31" s="28" t="n">
        <f aca="false">X29+X30</f>
        <v>1336920.193769</v>
      </c>
      <c r="Y31" s="28" t="n">
        <f aca="false">Y29+Y30</f>
        <v>1435528.7044073</v>
      </c>
      <c r="Z31" s="28" t="n">
        <f aca="false">Z29+Z30</f>
        <v>1535044.12993921</v>
      </c>
      <c r="AA31" s="28" t="n">
        <f aca="false">AA29+AA30</f>
        <v>1564065.40653496</v>
      </c>
      <c r="AB31" s="28" t="n">
        <f aca="false">AB29+AB30</f>
        <v>1593086.6831307</v>
      </c>
      <c r="AC31" s="28" t="n">
        <f aca="false">AC29+AC30</f>
        <v>1622107.95972644</v>
      </c>
      <c r="AD31" s="28" t="n">
        <f aca="false">AD29+AD30</f>
        <v>1651129.23632219</v>
      </c>
      <c r="AE31" s="28" t="n">
        <f aca="false">AE29+AE30</f>
        <v>1680150.51291793</v>
      </c>
      <c r="AF31" s="28" t="n">
        <f aca="false">AF29+AF30</f>
        <v>1709171.78951368</v>
      </c>
      <c r="AG31" s="28" t="n">
        <f aca="false">AG29+AG30</f>
        <v>1738193.06610942</v>
      </c>
      <c r="AH31" s="28" t="n">
        <f aca="false">AH29+AH30</f>
        <v>1808716.47036474</v>
      </c>
      <c r="AI31" s="28" t="n">
        <f aca="false">AI29+AI30</f>
        <v>1916394.12993921</v>
      </c>
      <c r="AJ31" s="28" t="n">
        <f aca="false">AJ29+AJ30</f>
        <v>2024978.70440729</v>
      </c>
      <c r="AK31" s="28" t="n">
        <f aca="false">AK29+AK30</f>
        <v>2134470.193769</v>
      </c>
      <c r="AL31" s="28" t="n">
        <f aca="false">AL29+AL30</f>
        <v>2244868.59802432</v>
      </c>
      <c r="AM31" s="28" t="n">
        <f aca="false">AM29+AM30</f>
        <v>2356173.91717325</v>
      </c>
      <c r="AN31" s="28" t="n">
        <f aca="false">AN29+AN30</f>
        <v>2468386.15121581</v>
      </c>
      <c r="AO31" s="28" t="n">
        <f aca="false">AO29+AO30</f>
        <v>2653727.5223742</v>
      </c>
      <c r="AP31" s="28" t="n">
        <f aca="false">AP29+AP30</f>
        <v>2145936.91953732</v>
      </c>
      <c r="AQ31" s="28" t="n">
        <f aca="false">AQ29+AQ30</f>
        <v>2260869.89826072</v>
      </c>
      <c r="AR31" s="28" t="n">
        <f aca="false">AR29+AR30</f>
        <v>2376709.79187774</v>
      </c>
      <c r="AS31" s="28" t="n">
        <f aca="false">AS29+AS30</f>
        <v>2493456.60038838</v>
      </c>
      <c r="AT31" s="28" t="n">
        <f aca="false">AT29+AT30</f>
        <v>2611110.32379264</v>
      </c>
      <c r="AU31" s="28" t="n">
        <f aca="false">AU29+AU30</f>
        <v>2729670.96209051</v>
      </c>
      <c r="AV31" s="28" t="n">
        <f aca="false">AV29+AV30</f>
        <v>2849138.515282</v>
      </c>
      <c r="AW31" s="28" t="n">
        <f aca="false">AW29+AW30</f>
        <v>2969512.98336711</v>
      </c>
      <c r="AX31" s="28" t="n">
        <f aca="false">AX29+AX30</f>
        <v>3090794.36634583</v>
      </c>
      <c r="AY31" s="28" t="n">
        <f aca="false">AY29+AY30</f>
        <v>3212982.66421817</v>
      </c>
      <c r="AZ31" s="28" t="n">
        <f aca="false">AZ29+AZ30</f>
        <v>3336077.87698413</v>
      </c>
      <c r="BA31" s="28" t="n">
        <f aca="false">BA29+BA30</f>
        <v>3418815.37698413</v>
      </c>
      <c r="BB31" s="28" t="n">
        <f aca="false">BB29+BB30</f>
        <v>3501552.87698413</v>
      </c>
      <c r="BC31" s="28" t="n">
        <f aca="false">BC29+BC30</f>
        <v>3584290.37698413</v>
      </c>
      <c r="BD31" s="28" t="n">
        <f aca="false">BD29+BD30</f>
        <v>3667027.87698413</v>
      </c>
      <c r="BE31" s="28" t="n">
        <f aca="false">BE29+BE30</f>
        <v>3749765.37698413</v>
      </c>
      <c r="BF31" s="28" t="n">
        <f aca="false">BF29+BF30</f>
        <v>3832502.87698413</v>
      </c>
      <c r="BG31" s="28" t="n">
        <f aca="false">BG29+BG30</f>
        <v>3915240.37698413</v>
      </c>
      <c r="BH31" s="28" t="n">
        <f aca="false">BH29+BH30</f>
        <v>3997977.87698413</v>
      </c>
      <c r="BI31" s="28" t="n">
        <f aca="false">BI29+BI30</f>
        <v>4080715.37698413</v>
      </c>
      <c r="BJ31" s="28" t="n">
        <f aca="false">BJ29+BJ30</f>
        <v>4163452.87698413</v>
      </c>
      <c r="BK31" s="28" t="n">
        <f aca="false">BK29+BK30</f>
        <v>4246190.37698413</v>
      </c>
      <c r="BL31" s="28" t="n">
        <f aca="false">BL29+BL30</f>
        <v>4328927.87698413</v>
      </c>
    </row>
    <row r="32" customFormat="false" ht="15" hidden="false" customHeight="false" outlineLevel="0" collapsed="false">
      <c r="B32" s="9" t="s">
        <v>286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customFormat="false" ht="15" hidden="false" customHeight="false" outlineLevel="0" collapsed="false">
      <c r="B33" s="2" t="s">
        <v>287</v>
      </c>
      <c r="C33" s="2" t="s">
        <v>141</v>
      </c>
      <c r="D33" s="27" t="n">
        <f aca="false">0</f>
        <v>0</v>
      </c>
      <c r="E33" s="27" t="n">
        <f aca="false">E18*Hypotheses!$E$62/30</f>
        <v>1638000</v>
      </c>
      <c r="F33" s="27" t="n">
        <f aca="false">F18*Hypotheses!$E$62/30</f>
        <v>2035712.14017522</v>
      </c>
      <c r="G33" s="27" t="n">
        <f aca="false">G18*Hypotheses!$E$62/30</f>
        <v>2438110.13767209</v>
      </c>
      <c r="H33" s="27" t="n">
        <f aca="false">H18*Hypotheses!$E$62/30</f>
        <v>2845193.99249061</v>
      </c>
      <c r="I33" s="27" t="n">
        <f aca="false">I18*Hypotheses!$E$62/30</f>
        <v>3256963.70463079</v>
      </c>
      <c r="J33" s="27" t="n">
        <f aca="false">J18*Hypotheses!$E$62/30</f>
        <v>3673419.27409262</v>
      </c>
      <c r="K33" s="27" t="n">
        <f aca="false">K18*Hypotheses!$E$62/30</f>
        <v>4094560.7008761</v>
      </c>
      <c r="L33" s="27" t="n">
        <f aca="false">L18*Hypotheses!$E$62/30</f>
        <v>4520387.98498123</v>
      </c>
      <c r="M33" s="27" t="n">
        <f aca="false">M18*Hypotheses!$E$62/30</f>
        <v>4950901.12640801</v>
      </c>
      <c r="N33" s="27" t="n">
        <f aca="false">N18*Hypotheses!$E$62/30</f>
        <v>5386100.12515645</v>
      </c>
      <c r="O33" s="27" t="n">
        <f aca="false">O18*Hypotheses!$E$62/30</f>
        <v>5825984.98122653</v>
      </c>
      <c r="P33" s="27" t="n">
        <f aca="false">P18*Hypotheses!$E$62/30</f>
        <v>6270555.69461827</v>
      </c>
      <c r="Q33" s="27" t="n">
        <f aca="false">Q18*Hypotheses!$E$62/30</f>
        <v>6719812.26533167</v>
      </c>
      <c r="R33" s="27" t="n">
        <f aca="false">R18*Hypotheses!$E$62/30</f>
        <v>7173754.69336671</v>
      </c>
      <c r="S33" s="27" t="n">
        <f aca="false">S18*Hypotheses!$E$62/30</f>
        <v>7632382.9787234</v>
      </c>
      <c r="T33" s="27" t="n">
        <f aca="false">T18*Hypotheses!$E$62/30</f>
        <v>8095697.12140175</v>
      </c>
      <c r="U33" s="27" t="n">
        <f aca="false">U18*Hypotheses!$E$62/30</f>
        <v>8563697.12140175</v>
      </c>
      <c r="V33" s="27" t="n">
        <f aca="false">V18*Hypotheses!$E$62/30</f>
        <v>9036382.9787234</v>
      </c>
      <c r="W33" s="27" t="n">
        <f aca="false">W18*Hypotheses!$E$62/30</f>
        <v>9237606.38297872</v>
      </c>
      <c r="X33" s="27" t="n">
        <f aca="false">X18*Hypotheses!$E$62/30</f>
        <v>9440489.36170213</v>
      </c>
      <c r="Y33" s="27" t="n">
        <f aca="false">Y18*Hypotheses!$E$62/30</f>
        <v>9645031.91489362</v>
      </c>
      <c r="Z33" s="27" t="n">
        <f aca="false">Z18*Hypotheses!$E$62/30</f>
        <v>9851234.04255319</v>
      </c>
      <c r="AA33" s="27" t="n">
        <f aca="false">AA18*Hypotheses!$E$62/30</f>
        <v>9904340.42553192</v>
      </c>
      <c r="AB33" s="27" t="n">
        <f aca="false">AB18*Hypotheses!$E$62/30</f>
        <v>9957446.80851064</v>
      </c>
      <c r="AC33" s="27" t="n">
        <f aca="false">AC18*Hypotheses!$E$62/30</f>
        <v>10010553.1914894</v>
      </c>
      <c r="AD33" s="27" t="n">
        <f aca="false">AD18*Hypotheses!$E$62/30</f>
        <v>10063659.5744681</v>
      </c>
      <c r="AE33" s="27" t="n">
        <f aca="false">AE18*Hypotheses!$E$62/30</f>
        <v>10116765.9574468</v>
      </c>
      <c r="AF33" s="27" t="n">
        <f aca="false">AF18*Hypotheses!$E$62/30</f>
        <v>10169872.3404255</v>
      </c>
      <c r="AG33" s="27" t="n">
        <f aca="false">AG18*Hypotheses!$E$62/30</f>
        <v>10222978.7234043</v>
      </c>
      <c r="AH33" s="27" t="n">
        <f aca="false">AH18*Hypotheses!$E$62/30</f>
        <v>11560595.7446809</v>
      </c>
      <c r="AI33" s="27" t="n">
        <f aca="false">AI18*Hypotheses!$E$62/30</f>
        <v>11781734.0425532</v>
      </c>
      <c r="AJ33" s="27" t="n">
        <f aca="false">AJ18*Hypotheses!$E$62/30</f>
        <v>12004531.9148936</v>
      </c>
      <c r="AK33" s="27" t="n">
        <f aca="false">AK18*Hypotheses!$E$62/30</f>
        <v>12228989.3617021</v>
      </c>
      <c r="AL33" s="27" t="n">
        <f aca="false">AL18*Hypotheses!$E$62/30</f>
        <v>12455106.3829787</v>
      </c>
      <c r="AM33" s="27" t="n">
        <f aca="false">AM18*Hypotheses!$E$62/30</f>
        <v>12682882.9787234</v>
      </c>
      <c r="AN33" s="27" t="n">
        <f aca="false">AN18*Hypotheses!$E$62/30</f>
        <v>12912319.1489362</v>
      </c>
      <c r="AO33" s="27" t="n">
        <f aca="false">AO18*Hypotheses!$E$62/30</f>
        <v>13143414.893617</v>
      </c>
      <c r="AP33" s="27" t="n">
        <f aca="false">AP18*Hypotheses!$E$62/30</f>
        <v>13376170.212766</v>
      </c>
      <c r="AQ33" s="27" t="n">
        <f aca="false">AQ18*Hypotheses!$E$62/30</f>
        <v>13610585.106383</v>
      </c>
      <c r="AR33" s="27" t="n">
        <f aca="false">AR18*Hypotheses!$E$62/30</f>
        <v>13846659.5744681</v>
      </c>
      <c r="AS33" s="27" t="n">
        <f aca="false">AS18*Hypotheses!$E$62/30</f>
        <v>14084393.6170213</v>
      </c>
      <c r="AT33" s="27" t="n">
        <f aca="false">AT18*Hypotheses!$E$62/30</f>
        <v>14323787.2340426</v>
      </c>
      <c r="AU33" s="27" t="n">
        <f aca="false">AU18*Hypotheses!$E$62/30</f>
        <v>14564840.4255319</v>
      </c>
      <c r="AV33" s="27" t="n">
        <f aca="false">AV18*Hypotheses!$E$62/30</f>
        <v>14807553.1914894</v>
      </c>
      <c r="AW33" s="27" t="n">
        <f aca="false">AW18*Hypotheses!$E$62/30</f>
        <v>15051925.5319149</v>
      </c>
      <c r="AX33" s="27" t="n">
        <f aca="false">AX18*Hypotheses!$E$62/30</f>
        <v>15297957.4468085</v>
      </c>
      <c r="AY33" s="27" t="n">
        <f aca="false">AY18*Hypotheses!$E$62/30</f>
        <v>15545648.9361702</v>
      </c>
      <c r="AZ33" s="27" t="n">
        <f aca="false">AZ18*Hypotheses!$E$62/30</f>
        <v>15795000</v>
      </c>
      <c r="BA33" s="27" t="n">
        <f aca="false">BA18*Hypotheses!$E$62/30</f>
        <v>15970500</v>
      </c>
      <c r="BB33" s="27" t="n">
        <f aca="false">BB18*Hypotheses!$E$62/30</f>
        <v>16146000</v>
      </c>
      <c r="BC33" s="27" t="n">
        <f aca="false">BC18*Hypotheses!$E$62/30</f>
        <v>16321500</v>
      </c>
      <c r="BD33" s="27" t="n">
        <f aca="false">BD18*Hypotheses!$E$62/30</f>
        <v>16497000</v>
      </c>
      <c r="BE33" s="27" t="n">
        <f aca="false">BE18*Hypotheses!$E$62/30</f>
        <v>16672500</v>
      </c>
      <c r="BF33" s="27" t="n">
        <f aca="false">BF18*Hypotheses!$E$62/30</f>
        <v>16848000</v>
      </c>
      <c r="BG33" s="27" t="n">
        <f aca="false">BG18*Hypotheses!$E$62/30</f>
        <v>17023500</v>
      </c>
      <c r="BH33" s="27" t="n">
        <f aca="false">BH18*Hypotheses!$E$62/30</f>
        <v>17199000</v>
      </c>
      <c r="BI33" s="27" t="n">
        <f aca="false">BI18*Hypotheses!$E$62/30</f>
        <v>17374500</v>
      </c>
      <c r="BJ33" s="27" t="n">
        <f aca="false">BJ18*Hypotheses!$E$62/30</f>
        <v>17550000</v>
      </c>
      <c r="BK33" s="27" t="n">
        <f aca="false">BK18*Hypotheses!$E$62/30</f>
        <v>17725500</v>
      </c>
      <c r="BL33" s="27" t="n">
        <f aca="false">BL18*Hypotheses!$E$62/30</f>
        <v>17901000</v>
      </c>
    </row>
    <row r="34" customFormat="false" ht="15" hidden="false" customHeight="false" outlineLevel="0" collapsed="false">
      <c r="B34" s="2" t="s">
        <v>288</v>
      </c>
      <c r="C34" s="2" t="s">
        <v>141</v>
      </c>
      <c r="D34" s="27" t="n">
        <f aca="false">0</f>
        <v>0</v>
      </c>
      <c r="E34" s="27" t="n">
        <f aca="false">-E19*Hypotheses!$E$63/30</f>
        <v>354900</v>
      </c>
      <c r="F34" s="27" t="n">
        <f aca="false">-F19*Hypotheses!$E$63/30</f>
        <v>438405.882352941</v>
      </c>
      <c r="G34" s="27" t="n">
        <f aca="false">-G19*Hypotheses!$E$63/30</f>
        <v>521911.764705882</v>
      </c>
      <c r="H34" s="27" t="n">
        <f aca="false">-H19*Hypotheses!$E$63/30</f>
        <v>605417.647058824</v>
      </c>
      <c r="I34" s="27" t="n">
        <f aca="false">-I19*Hypotheses!$E$63/30</f>
        <v>688923.529411765</v>
      </c>
      <c r="J34" s="27" t="n">
        <f aca="false">-J19*Hypotheses!$E$63/30</f>
        <v>772429.411764706</v>
      </c>
      <c r="K34" s="27" t="n">
        <f aca="false">-K19*Hypotheses!$E$63/30</f>
        <v>855935.294117647</v>
      </c>
      <c r="L34" s="27" t="n">
        <f aca="false">-L19*Hypotheses!$E$63/30</f>
        <v>939441.176470588</v>
      </c>
      <c r="M34" s="27" t="n">
        <f aca="false">-M19*Hypotheses!$E$63/30</f>
        <v>1022947.05882353</v>
      </c>
      <c r="N34" s="27" t="n">
        <f aca="false">-N19*Hypotheses!$E$63/30</f>
        <v>1106452.94117647</v>
      </c>
      <c r="O34" s="27" t="n">
        <f aca="false">-O19*Hypotheses!$E$63/30</f>
        <v>1189958.82352941</v>
      </c>
      <c r="P34" s="27" t="n">
        <f aca="false">-P19*Hypotheses!$E$63/30</f>
        <v>1273464.70588235</v>
      </c>
      <c r="Q34" s="27" t="n">
        <f aca="false">-Q19*Hypotheses!$E$63/30</f>
        <v>1356970.58823529</v>
      </c>
      <c r="R34" s="27" t="n">
        <f aca="false">-R19*Hypotheses!$E$63/30</f>
        <v>1440476.47058824</v>
      </c>
      <c r="S34" s="27" t="n">
        <f aca="false">-S19*Hypotheses!$E$63/30</f>
        <v>1523982.35294118</v>
      </c>
      <c r="T34" s="27" t="n">
        <f aca="false">-T19*Hypotheses!$E$63/30</f>
        <v>1607488.23529412</v>
      </c>
      <c r="U34" s="27" t="n">
        <f aca="false">-U19*Hypotheses!$E$63/30</f>
        <v>1690994.11764706</v>
      </c>
      <c r="V34" s="27" t="n">
        <f aca="false">-V19*Hypotheses!$E$63/30</f>
        <v>1774500</v>
      </c>
      <c r="W34" s="27" t="n">
        <f aca="false">-W19*Hypotheses!$E$63/30</f>
        <v>1804075</v>
      </c>
      <c r="X34" s="27" t="n">
        <f aca="false">-X19*Hypotheses!$E$63/30</f>
        <v>1833650</v>
      </c>
      <c r="Y34" s="27" t="n">
        <f aca="false">-Y19*Hypotheses!$E$63/30</f>
        <v>1863225</v>
      </c>
      <c r="Z34" s="27" t="n">
        <f aca="false">-Z19*Hypotheses!$E$63/30</f>
        <v>1892800</v>
      </c>
      <c r="AA34" s="27" t="n">
        <f aca="false">-AA19*Hypotheses!$E$63/30</f>
        <v>1892800</v>
      </c>
      <c r="AB34" s="27" t="n">
        <f aca="false">-AB19*Hypotheses!$E$63/30</f>
        <v>1892800</v>
      </c>
      <c r="AC34" s="27" t="n">
        <f aca="false">-AC19*Hypotheses!$E$63/30</f>
        <v>1892800</v>
      </c>
      <c r="AD34" s="27" t="n">
        <f aca="false">-AD19*Hypotheses!$E$63/30</f>
        <v>1892800</v>
      </c>
      <c r="AE34" s="27" t="n">
        <f aca="false">-AE19*Hypotheses!$E$63/30</f>
        <v>1892800</v>
      </c>
      <c r="AF34" s="27" t="n">
        <f aca="false">-AF19*Hypotheses!$E$63/30</f>
        <v>1892800</v>
      </c>
      <c r="AG34" s="27" t="n">
        <f aca="false">-AG19*Hypotheses!$E$63/30</f>
        <v>1892800</v>
      </c>
      <c r="AH34" s="27" t="n">
        <f aca="false">-AH19*Hypotheses!$E$63/30</f>
        <v>2129400</v>
      </c>
      <c r="AI34" s="27" t="n">
        <f aca="false">-AI19*Hypotheses!$E$63/30</f>
        <v>2158975</v>
      </c>
      <c r="AJ34" s="27" t="n">
        <f aca="false">-AJ19*Hypotheses!$E$63/30</f>
        <v>2188550</v>
      </c>
      <c r="AK34" s="27" t="n">
        <f aca="false">-AK19*Hypotheses!$E$63/30</f>
        <v>2218125</v>
      </c>
      <c r="AL34" s="27" t="n">
        <f aca="false">-AL19*Hypotheses!$E$63/30</f>
        <v>2247700</v>
      </c>
      <c r="AM34" s="27" t="n">
        <f aca="false">-AM19*Hypotheses!$E$63/30</f>
        <v>2277275</v>
      </c>
      <c r="AN34" s="27" t="n">
        <f aca="false">-AN19*Hypotheses!$E$63/30</f>
        <v>2306850</v>
      </c>
      <c r="AO34" s="27" t="n">
        <f aca="false">-AO19*Hypotheses!$E$63/30</f>
        <v>2336425</v>
      </c>
      <c r="AP34" s="27" t="n">
        <f aca="false">-AP19*Hypotheses!$E$63/30</f>
        <v>2366000</v>
      </c>
      <c r="AQ34" s="27" t="n">
        <f aca="false">-AQ19*Hypotheses!$E$63/30</f>
        <v>2395575</v>
      </c>
      <c r="AR34" s="27" t="n">
        <f aca="false">-AR19*Hypotheses!$E$63/30</f>
        <v>2425150</v>
      </c>
      <c r="AS34" s="27" t="n">
        <f aca="false">-AS19*Hypotheses!$E$63/30</f>
        <v>2454725</v>
      </c>
      <c r="AT34" s="27" t="n">
        <f aca="false">-AT19*Hypotheses!$E$63/30</f>
        <v>2484300</v>
      </c>
      <c r="AU34" s="27" t="n">
        <f aca="false">-AU19*Hypotheses!$E$63/30</f>
        <v>2513875</v>
      </c>
      <c r="AV34" s="27" t="n">
        <f aca="false">-AV19*Hypotheses!$E$63/30</f>
        <v>2543450</v>
      </c>
      <c r="AW34" s="27" t="n">
        <f aca="false">-AW19*Hypotheses!$E$63/30</f>
        <v>2573025</v>
      </c>
      <c r="AX34" s="27" t="n">
        <f aca="false">-AX19*Hypotheses!$E$63/30</f>
        <v>2602600</v>
      </c>
      <c r="AY34" s="27" t="n">
        <f aca="false">-AY19*Hypotheses!$E$63/30</f>
        <v>2632175</v>
      </c>
      <c r="AZ34" s="27" t="n">
        <f aca="false">-AZ19*Hypotheses!$E$63/30</f>
        <v>2661750</v>
      </c>
      <c r="BA34" s="27" t="n">
        <f aca="false">-BA19*Hypotheses!$E$63/30</f>
        <v>2691325</v>
      </c>
      <c r="BB34" s="27" t="n">
        <f aca="false">-BB19*Hypotheses!$E$63/30</f>
        <v>2720900</v>
      </c>
      <c r="BC34" s="27" t="n">
        <f aca="false">-BC19*Hypotheses!$E$63/30</f>
        <v>2750475</v>
      </c>
      <c r="BD34" s="27" t="n">
        <f aca="false">-BD19*Hypotheses!$E$63/30</f>
        <v>2780050</v>
      </c>
      <c r="BE34" s="27" t="n">
        <f aca="false">-BE19*Hypotheses!$E$63/30</f>
        <v>2809625</v>
      </c>
      <c r="BF34" s="27" t="n">
        <f aca="false">-BF19*Hypotheses!$E$63/30</f>
        <v>2839200</v>
      </c>
      <c r="BG34" s="27" t="n">
        <f aca="false">-BG19*Hypotheses!$E$63/30</f>
        <v>2868775</v>
      </c>
      <c r="BH34" s="27" t="n">
        <f aca="false">-BH19*Hypotheses!$E$63/30</f>
        <v>2898350</v>
      </c>
      <c r="BI34" s="27" t="n">
        <f aca="false">-BI19*Hypotheses!$E$63/30</f>
        <v>2927925</v>
      </c>
      <c r="BJ34" s="27" t="n">
        <f aca="false">-BJ19*Hypotheses!$E$63/30</f>
        <v>2957500</v>
      </c>
      <c r="BK34" s="27" t="n">
        <f aca="false">-BK19*Hypotheses!$E$63/30</f>
        <v>2987075</v>
      </c>
      <c r="BL34" s="27" t="n">
        <f aca="false">-BL19*Hypotheses!$E$63/30</f>
        <v>3016650</v>
      </c>
    </row>
    <row r="35" customFormat="false" ht="15" hidden="false" customHeight="false" outlineLevel="0" collapsed="false">
      <c r="B35" s="2" t="s">
        <v>289</v>
      </c>
      <c r="C35" s="2" t="s">
        <v>141</v>
      </c>
      <c r="D35" s="27" t="n">
        <f aca="false">D33-D34</f>
        <v>0</v>
      </c>
      <c r="E35" s="27" t="n">
        <f aca="false">E33-E34</f>
        <v>1283100</v>
      </c>
      <c r="F35" s="27" t="n">
        <f aca="false">F33-F34</f>
        <v>1597306.25782228</v>
      </c>
      <c r="G35" s="27" t="n">
        <f aca="false">G33-G34</f>
        <v>1916198.37296621</v>
      </c>
      <c r="H35" s="27" t="n">
        <f aca="false">H33-H34</f>
        <v>2239776.34543179</v>
      </c>
      <c r="I35" s="27" t="n">
        <f aca="false">I33-I34</f>
        <v>2568040.17521902</v>
      </c>
      <c r="J35" s="27" t="n">
        <f aca="false">J33-J34</f>
        <v>2900989.86232791</v>
      </c>
      <c r="K35" s="27" t="n">
        <f aca="false">K33-K34</f>
        <v>3238625.40675845</v>
      </c>
      <c r="L35" s="27" t="n">
        <f aca="false">L33-L34</f>
        <v>3580946.80851064</v>
      </c>
      <c r="M35" s="27" t="n">
        <f aca="false">M33-M34</f>
        <v>3927954.06758448</v>
      </c>
      <c r="N35" s="27" t="n">
        <f aca="false">N33-N34</f>
        <v>4279647.18397998</v>
      </c>
      <c r="O35" s="27" t="n">
        <f aca="false">O33-O34</f>
        <v>4636026.15769712</v>
      </c>
      <c r="P35" s="27" t="n">
        <f aca="false">P33-P34</f>
        <v>4997090.98873592</v>
      </c>
      <c r="Q35" s="27" t="n">
        <f aca="false">Q33-Q34</f>
        <v>5362841.67709637</v>
      </c>
      <c r="R35" s="27" t="n">
        <f aca="false">R33-R34</f>
        <v>5733278.22277847</v>
      </c>
      <c r="S35" s="27" t="n">
        <f aca="false">S33-S34</f>
        <v>6108400.62578223</v>
      </c>
      <c r="T35" s="27" t="n">
        <f aca="false">T33-T34</f>
        <v>6488208.88610764</v>
      </c>
      <c r="U35" s="27" t="n">
        <f aca="false">U33-U34</f>
        <v>6872703.00375469</v>
      </c>
      <c r="V35" s="27" t="n">
        <f aca="false">V33-V34</f>
        <v>7261882.9787234</v>
      </c>
      <c r="W35" s="27" t="n">
        <f aca="false">W33-W34</f>
        <v>7433531.38297872</v>
      </c>
      <c r="X35" s="27" t="n">
        <f aca="false">X33-X34</f>
        <v>7606839.36170213</v>
      </c>
      <c r="Y35" s="27" t="n">
        <f aca="false">Y33-Y34</f>
        <v>7781806.91489362</v>
      </c>
      <c r="Z35" s="27" t="n">
        <f aca="false">Z33-Z34</f>
        <v>7958434.04255319</v>
      </c>
      <c r="AA35" s="27" t="n">
        <f aca="false">AA33-AA34</f>
        <v>8011540.42553192</v>
      </c>
      <c r="AB35" s="27" t="n">
        <f aca="false">AB33-AB34</f>
        <v>8064646.80851064</v>
      </c>
      <c r="AC35" s="27" t="n">
        <f aca="false">AC33-AC34</f>
        <v>8117753.19148936</v>
      </c>
      <c r="AD35" s="27" t="n">
        <f aca="false">AD33-AD34</f>
        <v>8170859.57446808</v>
      </c>
      <c r="AE35" s="27" t="n">
        <f aca="false">AE33-AE34</f>
        <v>8223965.95744681</v>
      </c>
      <c r="AF35" s="27" t="n">
        <f aca="false">AF33-AF34</f>
        <v>8277072.34042553</v>
      </c>
      <c r="AG35" s="27" t="n">
        <f aca="false">AG33-AG34</f>
        <v>8330178.72340426</v>
      </c>
      <c r="AH35" s="27" t="n">
        <f aca="false">AH33-AH34</f>
        <v>9431195.74468085</v>
      </c>
      <c r="AI35" s="27" t="n">
        <f aca="false">AI33-AI34</f>
        <v>9622759.04255319</v>
      </c>
      <c r="AJ35" s="27" t="n">
        <f aca="false">AJ33-AJ34</f>
        <v>9815981.91489362</v>
      </c>
      <c r="AK35" s="27" t="n">
        <f aca="false">AK33-AK34</f>
        <v>10010864.3617021</v>
      </c>
      <c r="AL35" s="27" t="n">
        <f aca="false">AL33-AL34</f>
        <v>10207406.3829787</v>
      </c>
      <c r="AM35" s="27" t="n">
        <f aca="false">AM33-AM34</f>
        <v>10405607.9787234</v>
      </c>
      <c r="AN35" s="27" t="n">
        <f aca="false">AN33-AN34</f>
        <v>10605469.1489362</v>
      </c>
      <c r="AO35" s="27" t="n">
        <f aca="false">AO33-AO34</f>
        <v>10806989.893617</v>
      </c>
      <c r="AP35" s="27" t="n">
        <f aca="false">AP33-AP34</f>
        <v>11010170.212766</v>
      </c>
      <c r="AQ35" s="27" t="n">
        <f aca="false">AQ33-AQ34</f>
        <v>11215010.106383</v>
      </c>
      <c r="AR35" s="27" t="n">
        <f aca="false">AR33-AR34</f>
        <v>11421509.5744681</v>
      </c>
      <c r="AS35" s="27" t="n">
        <f aca="false">AS33-AS34</f>
        <v>11629668.6170213</v>
      </c>
      <c r="AT35" s="27" t="n">
        <f aca="false">AT33-AT34</f>
        <v>11839487.2340426</v>
      </c>
      <c r="AU35" s="27" t="n">
        <f aca="false">AU33-AU34</f>
        <v>12050965.4255319</v>
      </c>
      <c r="AV35" s="27" t="n">
        <f aca="false">AV33-AV34</f>
        <v>12264103.1914894</v>
      </c>
      <c r="AW35" s="27" t="n">
        <f aca="false">AW33-AW34</f>
        <v>12478900.5319149</v>
      </c>
      <c r="AX35" s="27" t="n">
        <f aca="false">AX33-AX34</f>
        <v>12695357.4468085</v>
      </c>
      <c r="AY35" s="27" t="n">
        <f aca="false">AY33-AY34</f>
        <v>12913473.9361702</v>
      </c>
      <c r="AZ35" s="27" t="n">
        <f aca="false">AZ33-AZ34</f>
        <v>13133250</v>
      </c>
      <c r="BA35" s="27" t="n">
        <f aca="false">BA33-BA34</f>
        <v>13279175</v>
      </c>
      <c r="BB35" s="27" t="n">
        <f aca="false">BB33-BB34</f>
        <v>13425100</v>
      </c>
      <c r="BC35" s="27" t="n">
        <f aca="false">BC33-BC34</f>
        <v>13571025</v>
      </c>
      <c r="BD35" s="27" t="n">
        <f aca="false">BD33-BD34</f>
        <v>13716950</v>
      </c>
      <c r="BE35" s="27" t="n">
        <f aca="false">BE33-BE34</f>
        <v>13862875</v>
      </c>
      <c r="BF35" s="27" t="n">
        <f aca="false">BF33-BF34</f>
        <v>14008800</v>
      </c>
      <c r="BG35" s="27" t="n">
        <f aca="false">BG33-BG34</f>
        <v>14154725</v>
      </c>
      <c r="BH35" s="27" t="n">
        <f aca="false">BH33-BH34</f>
        <v>14300650</v>
      </c>
      <c r="BI35" s="27" t="n">
        <f aca="false">BI33-BI34</f>
        <v>14446575</v>
      </c>
      <c r="BJ35" s="27" t="n">
        <f aca="false">BJ33-BJ34</f>
        <v>14592500</v>
      </c>
      <c r="BK35" s="27" t="n">
        <f aca="false">BK33-BK34</f>
        <v>14738425</v>
      </c>
      <c r="BL35" s="27" t="n">
        <f aca="false">BL33-BL34</f>
        <v>14884350</v>
      </c>
    </row>
    <row r="36" customFormat="false" ht="15" hidden="false" customHeight="false" outlineLevel="0" collapsed="false">
      <c r="B36" s="2" t="s">
        <v>290</v>
      </c>
      <c r="C36" s="2" t="s">
        <v>141</v>
      </c>
      <c r="E36" s="27" t="n">
        <f aca="false">-(E35-D35)</f>
        <v>-1283100</v>
      </c>
      <c r="F36" s="27" t="n">
        <f aca="false">-(F35-E35)</f>
        <v>-314206.257822278</v>
      </c>
      <c r="G36" s="27" t="n">
        <f aca="false">-(G35-F35)</f>
        <v>-318892.115143929</v>
      </c>
      <c r="H36" s="27" t="n">
        <f aca="false">-(H35-G35)</f>
        <v>-323577.972465583</v>
      </c>
      <c r="I36" s="27" t="n">
        <f aca="false">-(I35-H35)</f>
        <v>-328263.829787233</v>
      </c>
      <c r="J36" s="27" t="n">
        <f aca="false">-(J35-I35)</f>
        <v>-332949.687108887</v>
      </c>
      <c r="K36" s="27" t="n">
        <f aca="false">-(K35-J35)</f>
        <v>-337635.544430538</v>
      </c>
      <c r="L36" s="27" t="n">
        <f aca="false">-(L35-K35)</f>
        <v>-342321.40175219</v>
      </c>
      <c r="M36" s="27" t="n">
        <f aca="false">-(M35-L35)</f>
        <v>-347007.259073842</v>
      </c>
      <c r="N36" s="27" t="n">
        <f aca="false">-(N35-M35)</f>
        <v>-351693.116395496</v>
      </c>
      <c r="O36" s="27" t="n">
        <f aca="false">-(O35-N35)</f>
        <v>-356378.973717146</v>
      </c>
      <c r="P36" s="27" t="n">
        <f aca="false">-(P35-O35)</f>
        <v>-361064.831038799</v>
      </c>
      <c r="Q36" s="27" t="n">
        <f aca="false">-(Q35-P35)</f>
        <v>-365750.688360451</v>
      </c>
      <c r="R36" s="27" t="n">
        <f aca="false">-(R35-Q35)</f>
        <v>-370436.545682101</v>
      </c>
      <c r="S36" s="27" t="n">
        <f aca="false">-(S35-R35)</f>
        <v>-375122.403003755</v>
      </c>
      <c r="T36" s="27" t="n">
        <f aca="false">-(T35-S35)</f>
        <v>-379808.260325409</v>
      </c>
      <c r="U36" s="27" t="n">
        <f aca="false">-(U35-T35)</f>
        <v>-384494.117647058</v>
      </c>
      <c r="V36" s="27" t="n">
        <f aca="false">-(V35-U35)</f>
        <v>-389179.974968709</v>
      </c>
      <c r="W36" s="27" t="n">
        <f aca="false">-(W35-V35)</f>
        <v>-171648.404255321</v>
      </c>
      <c r="X36" s="27" t="n">
        <f aca="false">-(X35-W35)</f>
        <v>-173307.978723403</v>
      </c>
      <c r="Y36" s="27" t="n">
        <f aca="false">-(Y35-X35)</f>
        <v>-174967.55319149</v>
      </c>
      <c r="Z36" s="27" t="n">
        <f aca="false">-(Z35-Y35)</f>
        <v>-176627.127659574</v>
      </c>
      <c r="AA36" s="27" t="n">
        <f aca="false">-(AA35-Z35)</f>
        <v>-53106.3829787243</v>
      </c>
      <c r="AB36" s="27" t="n">
        <f aca="false">-(AB35-AA35)</f>
        <v>-53106.3829787225</v>
      </c>
      <c r="AC36" s="27" t="n">
        <f aca="false">-(AC35-AB35)</f>
        <v>-53106.3829787225</v>
      </c>
      <c r="AD36" s="27" t="n">
        <f aca="false">-(AD35-AC35)</f>
        <v>-53106.3829787225</v>
      </c>
      <c r="AE36" s="27" t="n">
        <f aca="false">-(AE35-AD35)</f>
        <v>-53106.3829787225</v>
      </c>
      <c r="AF36" s="27" t="n">
        <f aca="false">-(AF35-AE35)</f>
        <v>-53106.3829787243</v>
      </c>
      <c r="AG36" s="27" t="n">
        <f aca="false">-(AG35-AF35)</f>
        <v>-53106.3829787243</v>
      </c>
      <c r="AH36" s="27" t="n">
        <f aca="false">-(AH35-AG35)</f>
        <v>-1101017.0212766</v>
      </c>
      <c r="AI36" s="27" t="n">
        <f aca="false">-(AI35-AH35)</f>
        <v>-191563.297872338</v>
      </c>
      <c r="AJ36" s="27" t="n">
        <f aca="false">-(AJ35-AI35)</f>
        <v>-193222.872340428</v>
      </c>
      <c r="AK36" s="27" t="n">
        <f aca="false">-(AK35-AJ35)</f>
        <v>-194882.44680851</v>
      </c>
      <c r="AL36" s="27" t="n">
        <f aca="false">-(AL35-AK35)</f>
        <v>-196542.021276597</v>
      </c>
      <c r="AM36" s="27" t="n">
        <f aca="false">-(AM35-AL35)</f>
        <v>-198201.595744679</v>
      </c>
      <c r="AN36" s="27" t="n">
        <f aca="false">-(AN35-AM35)</f>
        <v>-199861.170212768</v>
      </c>
      <c r="AO36" s="27" t="n">
        <f aca="false">-(AO35-AN35)</f>
        <v>-201520.74468085</v>
      </c>
      <c r="AP36" s="27" t="n">
        <f aca="false">-(AP35-AO35)</f>
        <v>-203180.319148937</v>
      </c>
      <c r="AQ36" s="27" t="n">
        <f aca="false">-(AQ35-AP35)</f>
        <v>-204839.893617021</v>
      </c>
      <c r="AR36" s="27" t="n">
        <f aca="false">-(AR35-AQ35)</f>
        <v>-206499.468085105</v>
      </c>
      <c r="AS36" s="27" t="n">
        <f aca="false">-(AS35-AR35)</f>
        <v>-208159.042553196</v>
      </c>
      <c r="AT36" s="27" t="n">
        <f aca="false">-(AT35-AS35)</f>
        <v>-209818.617021276</v>
      </c>
      <c r="AU36" s="27" t="n">
        <f aca="false">-(AU35-AT35)</f>
        <v>-211478.191489361</v>
      </c>
      <c r="AV36" s="27" t="n">
        <f aca="false">-(AV35-AU35)</f>
        <v>-213137.765957445</v>
      </c>
      <c r="AW36" s="27" t="n">
        <f aca="false">-(AW35-AV35)</f>
        <v>-214797.340425534</v>
      </c>
      <c r="AX36" s="27" t="n">
        <f aca="false">-(AX35-AW35)</f>
        <v>-216456.914893616</v>
      </c>
      <c r="AY36" s="27" t="n">
        <f aca="false">-(AY35-AX35)</f>
        <v>-218116.489361703</v>
      </c>
      <c r="AZ36" s="27" t="n">
        <f aca="false">-(AZ35-AY35)</f>
        <v>-219776.063829785</v>
      </c>
      <c r="BA36" s="27" t="n">
        <f aca="false">-(BA35-AZ35)</f>
        <v>-145925</v>
      </c>
      <c r="BB36" s="27" t="n">
        <f aca="false">-(BB35-BA35)</f>
        <v>-145925</v>
      </c>
      <c r="BC36" s="27" t="n">
        <f aca="false">-(BC35-BB35)</f>
        <v>-145925</v>
      </c>
      <c r="BD36" s="27" t="n">
        <f aca="false">-(BD35-BC35)</f>
        <v>-145925</v>
      </c>
      <c r="BE36" s="27" t="n">
        <f aca="false">-(BE35-BD35)</f>
        <v>-145925</v>
      </c>
      <c r="BF36" s="27" t="n">
        <f aca="false">-(BF35-BE35)</f>
        <v>-145925</v>
      </c>
      <c r="BG36" s="27" t="n">
        <f aca="false">-(BG35-BF35)</f>
        <v>-145925</v>
      </c>
      <c r="BH36" s="27" t="n">
        <f aca="false">-(BH35-BG35)</f>
        <v>-145925</v>
      </c>
      <c r="BI36" s="27" t="n">
        <f aca="false">-(BI35-BH35)</f>
        <v>-145925</v>
      </c>
      <c r="BJ36" s="27" t="n">
        <f aca="false">-(BJ35-BI35)</f>
        <v>-145925</v>
      </c>
      <c r="BK36" s="27" t="n">
        <f aca="false">-(BK35-BJ35)</f>
        <v>-145925</v>
      </c>
      <c r="BL36" s="27" t="n">
        <f aca="false">-(BL35-BK35)</f>
        <v>-145925</v>
      </c>
    </row>
    <row r="37" customFormat="false" ht="15" hidden="false" customHeight="false" outlineLevel="0" collapsed="false">
      <c r="B37" s="2" t="s">
        <v>291</v>
      </c>
      <c r="C37" s="2" t="s">
        <v>141</v>
      </c>
      <c r="D37" s="27" t="n">
        <f aca="false">-Investissements!$E$18*(1+Hypotheses!$E$60)+(Investissements!$E$19*(1+Hypotheses!$E$60)*Hypotheses!$E$69*(1-Hypotheses!$E$70))</f>
        <v>-31320000</v>
      </c>
      <c r="E37" s="27" t="n">
        <f aca="false">-MAX(0,E24-D24)*Hypotheses!$E$45</f>
        <v>-0</v>
      </c>
      <c r="F37" s="27" t="n">
        <f aca="false">-MAX(0,F24-E24)*Hypotheses!$E$45</f>
        <v>-0</v>
      </c>
      <c r="G37" s="27" t="n">
        <f aca="false">-MAX(0,G24-F24)*Hypotheses!$E$45</f>
        <v>-0</v>
      </c>
      <c r="H37" s="27" t="n">
        <f aca="false">-MAX(0,H24-G24)*Hypotheses!$E$45</f>
        <v>-0</v>
      </c>
      <c r="I37" s="27" t="n">
        <f aca="false">-MAX(0,I24-H24)*Hypotheses!$E$45</f>
        <v>-0</v>
      </c>
      <c r="J37" s="27" t="n">
        <f aca="false">-MAX(0,J24-I24)*Hypotheses!$E$45</f>
        <v>-0</v>
      </c>
      <c r="K37" s="27" t="n">
        <f aca="false">-MAX(0,K24-J24)*Hypotheses!$E$45</f>
        <v>-0</v>
      </c>
      <c r="L37" s="27" t="n">
        <f aca="false">-MAX(0,L24-K24)*Hypotheses!$E$45</f>
        <v>-0</v>
      </c>
      <c r="M37" s="27" t="n">
        <f aca="false">-MAX(0,M24-L24)*Hypotheses!$E$45</f>
        <v>-0</v>
      </c>
      <c r="N37" s="27" t="n">
        <f aca="false">-MAX(0,N24-M24)*Hypotheses!$E$45</f>
        <v>-0</v>
      </c>
      <c r="O37" s="27" t="n">
        <f aca="false">-MAX(0,O24-N24)*Hypotheses!$E$45</f>
        <v>-0</v>
      </c>
      <c r="P37" s="27" t="n">
        <f aca="false">-MAX(0,P24-O24)*Hypotheses!$E$45</f>
        <v>-0</v>
      </c>
      <c r="Q37" s="27" t="n">
        <f aca="false">-MAX(0,Q24-P24)*Hypotheses!$E$45</f>
        <v>-0</v>
      </c>
      <c r="R37" s="27" t="n">
        <f aca="false">-MAX(0,R24-Q24)*Hypotheses!$E$45</f>
        <v>-0</v>
      </c>
      <c r="S37" s="27" t="n">
        <f aca="false">-MAX(0,S24-R24)*Hypotheses!$E$45</f>
        <v>-0</v>
      </c>
      <c r="T37" s="27" t="n">
        <f aca="false">-MAX(0,T24-S24)*Hypotheses!$E$45</f>
        <v>-0</v>
      </c>
      <c r="U37" s="27" t="n">
        <f aca="false">-MAX(0,U24-T24)*Hypotheses!$E$45</f>
        <v>-0</v>
      </c>
      <c r="V37" s="27" t="n">
        <f aca="false">-MAX(0,V24-U24)*Hypotheses!$E$45</f>
        <v>-0</v>
      </c>
      <c r="W37" s="27" t="n">
        <f aca="false">-MAX(0,W24-V24)*Hypotheses!$E$45</f>
        <v>-0</v>
      </c>
      <c r="X37" s="27" t="n">
        <f aca="false">-MAX(0,X24-W24)*Hypotheses!$E$45</f>
        <v>-0</v>
      </c>
      <c r="Y37" s="27" t="n">
        <f aca="false">-MAX(0,Y24-X24)*Hypotheses!$E$45</f>
        <v>-0</v>
      </c>
      <c r="Z37" s="27" t="n">
        <f aca="false">-MAX(0,Z24-Y24)*Hypotheses!$E$45</f>
        <v>-0</v>
      </c>
      <c r="AA37" s="27" t="n">
        <f aca="false">-MAX(0,AA24-Z24)*Hypotheses!$E$45</f>
        <v>-0</v>
      </c>
      <c r="AB37" s="27" t="n">
        <f aca="false">-MAX(0,AB24-AA24)*Hypotheses!$E$45</f>
        <v>-0</v>
      </c>
      <c r="AC37" s="27" t="n">
        <f aca="false">-MAX(0,AC24-AB24)*Hypotheses!$E$45</f>
        <v>-0</v>
      </c>
      <c r="AD37" s="27" t="n">
        <f aca="false">-MAX(0,AD24-AC24)*Hypotheses!$E$45</f>
        <v>-0</v>
      </c>
      <c r="AE37" s="27" t="n">
        <f aca="false">-MAX(0,AE24-AD24)*Hypotheses!$E$45</f>
        <v>-0</v>
      </c>
      <c r="AF37" s="27" t="n">
        <f aca="false">-MAX(0,AF24-AE24)*Hypotheses!$E$45</f>
        <v>-0</v>
      </c>
      <c r="AG37" s="27" t="n">
        <f aca="false">-MAX(0,AG24-AF24)*Hypotheses!$E$45</f>
        <v>-0</v>
      </c>
      <c r="AH37" s="27" t="n">
        <f aca="false">-MAX(0,AH24-AG24)*Hypotheses!$E$45</f>
        <v>-0</v>
      </c>
      <c r="AI37" s="27" t="n">
        <f aca="false">-MAX(0,AI24-AH24)*Hypotheses!$E$45</f>
        <v>-0</v>
      </c>
      <c r="AJ37" s="27" t="n">
        <f aca="false">-MAX(0,AJ24-AI24)*Hypotheses!$E$45</f>
        <v>-0</v>
      </c>
      <c r="AK37" s="27" t="n">
        <f aca="false">-MAX(0,AK24-AJ24)*Hypotheses!$E$45</f>
        <v>-0</v>
      </c>
      <c r="AL37" s="27" t="n">
        <f aca="false">-MAX(0,AL24-AK24)*Hypotheses!$E$45</f>
        <v>-0</v>
      </c>
      <c r="AM37" s="27" t="n">
        <f aca="false">-MAX(0,AM24-AL24)*Hypotheses!$E$45</f>
        <v>-0</v>
      </c>
      <c r="AN37" s="27" t="n">
        <f aca="false">-MAX(0,AN24-AM24)*Hypotheses!$E$45</f>
        <v>-0</v>
      </c>
      <c r="AO37" s="27" t="n">
        <f aca="false">-MAX(0,AO24-AN24)*Hypotheses!$E$45</f>
        <v>-0</v>
      </c>
      <c r="AP37" s="27" t="n">
        <f aca="false">-MAX(0,AP24-AO24)*Hypotheses!$E$45</f>
        <v>-6000000</v>
      </c>
      <c r="AQ37" s="27" t="n">
        <f aca="false">-MAX(0,AQ24-AP24)*Hypotheses!$E$45</f>
        <v>-0</v>
      </c>
      <c r="AR37" s="27" t="n">
        <f aca="false">-MAX(0,AR24-AQ24)*Hypotheses!$E$45</f>
        <v>-0</v>
      </c>
      <c r="AS37" s="27" t="n">
        <f aca="false">-MAX(0,AS24-AR24)*Hypotheses!$E$45</f>
        <v>-0</v>
      </c>
      <c r="AT37" s="27" t="n">
        <f aca="false">-MAX(0,AT24-AS24)*Hypotheses!$E$45</f>
        <v>-0</v>
      </c>
      <c r="AU37" s="27" t="n">
        <f aca="false">-MAX(0,AU24-AT24)*Hypotheses!$E$45</f>
        <v>-0</v>
      </c>
      <c r="AV37" s="27" t="n">
        <f aca="false">-MAX(0,AV24-AU24)*Hypotheses!$E$45</f>
        <v>-0</v>
      </c>
      <c r="AW37" s="27" t="n">
        <f aca="false">-MAX(0,AW24-AV24)*Hypotheses!$E$45</f>
        <v>-0</v>
      </c>
      <c r="AX37" s="27" t="n">
        <f aca="false">-MAX(0,AX24-AW24)*Hypotheses!$E$45</f>
        <v>-0</v>
      </c>
      <c r="AY37" s="27" t="n">
        <f aca="false">-MAX(0,AY24-AX24)*Hypotheses!$E$45</f>
        <v>-0</v>
      </c>
      <c r="AZ37" s="27" t="n">
        <f aca="false">-MAX(0,AZ24-AY24)*Hypotheses!$E$45</f>
        <v>-0</v>
      </c>
      <c r="BA37" s="27" t="n">
        <f aca="false">-MAX(0,BA24-AZ24)*Hypotheses!$E$45</f>
        <v>-0</v>
      </c>
      <c r="BB37" s="27" t="n">
        <f aca="false">-MAX(0,BB24-BA24)*Hypotheses!$E$45</f>
        <v>-0</v>
      </c>
      <c r="BC37" s="27" t="n">
        <f aca="false">-MAX(0,BC24-BB24)*Hypotheses!$E$45</f>
        <v>-0</v>
      </c>
      <c r="BD37" s="27" t="n">
        <f aca="false">-MAX(0,BD24-BC24)*Hypotheses!$E$45</f>
        <v>-0</v>
      </c>
      <c r="BE37" s="27" t="n">
        <f aca="false">-MAX(0,BE24-BD24)*Hypotheses!$E$45</f>
        <v>-0</v>
      </c>
      <c r="BF37" s="27" t="n">
        <f aca="false">-MAX(0,BF24-BE24)*Hypotheses!$E$45</f>
        <v>-0</v>
      </c>
      <c r="BG37" s="27" t="n">
        <f aca="false">-MAX(0,BG24-BF24)*Hypotheses!$E$45</f>
        <v>-0</v>
      </c>
      <c r="BH37" s="27" t="n">
        <f aca="false">-MAX(0,BH24-BG24)*Hypotheses!$E$45</f>
        <v>-0</v>
      </c>
      <c r="BI37" s="27" t="n">
        <f aca="false">-MAX(0,BI24-BH24)*Hypotheses!$E$45</f>
        <v>-0</v>
      </c>
      <c r="BJ37" s="27" t="n">
        <f aca="false">-MAX(0,BJ24-BI24)*Hypotheses!$E$45</f>
        <v>-0</v>
      </c>
      <c r="BK37" s="27" t="n">
        <f aca="false">-MAX(0,BK24-BJ24)*Hypotheses!$E$45</f>
        <v>-0</v>
      </c>
      <c r="BL37" s="27" t="n">
        <f aca="false">-MAX(0,BL24-BK24)*Hypotheses!$E$45</f>
        <v>-0</v>
      </c>
    </row>
    <row r="38" customFormat="false" ht="15" hidden="false" customHeight="false" outlineLevel="0" collapsed="false">
      <c r="B38" s="2" t="s">
        <v>292</v>
      </c>
      <c r="C38" s="2" t="s">
        <v>141</v>
      </c>
      <c r="E38" s="27" t="n">
        <f aca="false">-MAX(0,E20-D20)</f>
        <v>-0</v>
      </c>
      <c r="F38" s="27" t="n">
        <f aca="false">-MAX(0,F20-E20)</f>
        <v>-24837.296620776</v>
      </c>
      <c r="G38" s="27" t="n">
        <f aca="false">-MAX(0,G20-F20)</f>
        <v>-34299.1239048811</v>
      </c>
      <c r="H38" s="27" t="n">
        <f aca="false">-MAX(0,H20-G20)</f>
        <v>-43760.9511889862</v>
      </c>
      <c r="I38" s="27" t="n">
        <f aca="false">-MAX(0,I20-H20)</f>
        <v>-53222.7784730913</v>
      </c>
      <c r="J38" s="27" t="n">
        <f aca="false">-MAX(0,J20-I20)</f>
        <v>-62684.6057571966</v>
      </c>
      <c r="K38" s="27" t="n">
        <f aca="false">-MAX(0,K20-J20)</f>
        <v>-72146.4330413016</v>
      </c>
      <c r="L38" s="27" t="n">
        <f aca="false">-MAX(0,L20-K20)</f>
        <v>-81608.2603254067</v>
      </c>
      <c r="M38" s="27" t="n">
        <f aca="false">-MAX(0,M20-L20)</f>
        <v>-91070.0876095119</v>
      </c>
      <c r="N38" s="27" t="n">
        <f aca="false">-MAX(0,N20-M20)</f>
        <v>-100531.914893617</v>
      </c>
      <c r="O38" s="27" t="n">
        <f aca="false">-MAX(0,O20-N20)</f>
        <v>-109993.742177722</v>
      </c>
      <c r="P38" s="27" t="n">
        <f aca="false">-MAX(0,P20-O20)</f>
        <v>-119455.569461827</v>
      </c>
      <c r="Q38" s="27" t="n">
        <f aca="false">-MAX(0,Q20-P20)</f>
        <v>-128917.396745932</v>
      </c>
      <c r="R38" s="27" t="n">
        <f aca="false">-MAX(0,R20-Q20)</f>
        <v>-138379.224030038</v>
      </c>
      <c r="S38" s="27" t="n">
        <f aca="false">-MAX(0,S20-R20)</f>
        <v>-147841.051314143</v>
      </c>
      <c r="T38" s="27" t="n">
        <f aca="false">-MAX(0,T20-S20)</f>
        <v>-157302.878598248</v>
      </c>
      <c r="U38" s="27" t="n">
        <f aca="false">-MAX(0,U20-T20)</f>
        <v>-166764.705882353</v>
      </c>
      <c r="V38" s="27" t="n">
        <f aca="false">-MAX(0,V20-U20)</f>
        <v>-176226.533166458</v>
      </c>
      <c r="W38" s="27" t="n">
        <f aca="false">-MAX(0,W20-V20)</f>
        <v>-130691.489361702</v>
      </c>
      <c r="X38" s="27" t="n">
        <f aca="false">-MAX(0,X20-W20)</f>
        <v>-134042.55319149</v>
      </c>
      <c r="Y38" s="27" t="n">
        <f aca="false">-MAX(0,Y20-X20)</f>
        <v>-137393.617021277</v>
      </c>
      <c r="Z38" s="27" t="n">
        <f aca="false">-MAX(0,Z20-Y20)</f>
        <v>-140744.680851063</v>
      </c>
      <c r="AA38" s="27" t="n">
        <f aca="false">-MAX(0,AA20-Z20)</f>
        <v>-107234.042553192</v>
      </c>
      <c r="AB38" s="27" t="n">
        <f aca="false">-MAX(0,AB20-AA20)</f>
        <v>-107234.042553191</v>
      </c>
      <c r="AC38" s="27" t="n">
        <f aca="false">-MAX(0,AC20-AB20)</f>
        <v>-107234.042553192</v>
      </c>
      <c r="AD38" s="27" t="n">
        <f aca="false">-MAX(0,AD20-AC20)</f>
        <v>-107234.042553192</v>
      </c>
      <c r="AE38" s="27" t="n">
        <f aca="false">-MAX(0,AE20-AD20)</f>
        <v>-107234.042553192</v>
      </c>
      <c r="AF38" s="27" t="n">
        <f aca="false">-MAX(0,AF20-AE20)</f>
        <v>-107234.042553191</v>
      </c>
      <c r="AG38" s="27" t="n">
        <f aca="false">-MAX(0,AG20-AF20)</f>
        <v>-107234.042553192</v>
      </c>
      <c r="AH38" s="27" t="n">
        <f aca="false">-MAX(0,AH20-AG20)</f>
        <v>-495957.446808511</v>
      </c>
      <c r="AI38" s="27" t="n">
        <f aca="false">-MAX(0,AI20-AH20)</f>
        <v>-170904.255319148</v>
      </c>
      <c r="AJ38" s="27" t="n">
        <f aca="false">-MAX(0,AJ20-AI20)</f>
        <v>-174255.319148936</v>
      </c>
      <c r="AK38" s="27" t="n">
        <f aca="false">-MAX(0,AK20-AJ20)</f>
        <v>-177606.382978724</v>
      </c>
      <c r="AL38" s="27" t="n">
        <f aca="false">-MAX(0,AL20-AK20)</f>
        <v>-180957.446808511</v>
      </c>
      <c r="AM38" s="27" t="n">
        <f aca="false">-MAX(0,AM20-AL20)</f>
        <v>-184308.510638297</v>
      </c>
      <c r="AN38" s="27" t="n">
        <f aca="false">-MAX(0,AN20-AM20)</f>
        <v>-187659.574468086</v>
      </c>
      <c r="AO38" s="27" t="n">
        <f aca="false">-MAX(0,AO20-AN20)</f>
        <v>-191010.638297873</v>
      </c>
      <c r="AP38" s="27" t="n">
        <f aca="false">-MAX(0,AP20-AO20)</f>
        <v>-194361.702127661</v>
      </c>
      <c r="AQ38" s="27" t="n">
        <f aca="false">-MAX(0,AQ20-AP20)</f>
        <v>-197712.765957446</v>
      </c>
      <c r="AR38" s="27" t="n">
        <f aca="false">-MAX(0,AR20-AQ20)</f>
        <v>-201063.829787234</v>
      </c>
      <c r="AS38" s="27" t="n">
        <f aca="false">-MAX(0,AS20-AR20)</f>
        <v>-204414.893617022</v>
      </c>
      <c r="AT38" s="27" t="n">
        <f aca="false">-MAX(0,AT20-AS20)</f>
        <v>-207765.957446807</v>
      </c>
      <c r="AU38" s="27" t="n">
        <f aca="false">-MAX(0,AU20-AT20)</f>
        <v>-211117.021276596</v>
      </c>
      <c r="AV38" s="27" t="n">
        <f aca="false">-MAX(0,AV20-AU20)</f>
        <v>-214468.085106384</v>
      </c>
      <c r="AW38" s="27" t="n">
        <f aca="false">-MAX(0,AW20-AV20)</f>
        <v>-217819.14893617</v>
      </c>
      <c r="AX38" s="27" t="n">
        <f aca="false">-MAX(0,AX20-AW20)</f>
        <v>-221170.212765958</v>
      </c>
      <c r="AY38" s="27" t="n">
        <f aca="false">-MAX(0,AY20-AX20)</f>
        <v>-224521.276595743</v>
      </c>
      <c r="AZ38" s="27" t="n">
        <f aca="false">-MAX(0,AZ20-AY20)</f>
        <v>-227872.340425532</v>
      </c>
      <c r="BA38" s="27" t="n">
        <f aca="false">-MAX(0,BA20-AZ20)</f>
        <v>-78750</v>
      </c>
      <c r="BB38" s="27" t="n">
        <f aca="false">-MAX(0,BB20-BA20)</f>
        <v>-78750</v>
      </c>
      <c r="BC38" s="27" t="n">
        <f aca="false">-MAX(0,BC20-BB20)</f>
        <v>-78750</v>
      </c>
      <c r="BD38" s="27" t="n">
        <f aca="false">-MAX(0,BD20-BC20)</f>
        <v>-78750</v>
      </c>
      <c r="BE38" s="27" t="n">
        <f aca="false">-MAX(0,BE20-BD20)</f>
        <v>-78750</v>
      </c>
      <c r="BF38" s="27" t="n">
        <f aca="false">-MAX(0,BF20-BE20)</f>
        <v>-78750</v>
      </c>
      <c r="BG38" s="27" t="n">
        <f aca="false">-MAX(0,BG20-BF20)</f>
        <v>-78750</v>
      </c>
      <c r="BH38" s="27" t="n">
        <f aca="false">-MAX(0,BH20-BG20)</f>
        <v>-78750</v>
      </c>
      <c r="BI38" s="27" t="n">
        <f aca="false">-MAX(0,BI20-BH20)</f>
        <v>-78750</v>
      </c>
      <c r="BJ38" s="27" t="n">
        <f aca="false">-MAX(0,BJ20-BI20)</f>
        <v>-78750</v>
      </c>
      <c r="BK38" s="27" t="n">
        <f aca="false">-MAX(0,BK20-BJ20)</f>
        <v>-78750</v>
      </c>
      <c r="BL38" s="27" t="n">
        <f aca="false">-MAX(0,BL20-BK20)</f>
        <v>-78750</v>
      </c>
    </row>
    <row r="39" customFormat="false" ht="15" hidden="false" customHeight="false" outlineLevel="0" collapsed="false">
      <c r="B39" s="2" t="s">
        <v>293</v>
      </c>
      <c r="C39" s="2" t="s">
        <v>141</v>
      </c>
      <c r="E39" s="27" t="n">
        <f aca="false">IF(AND(E6=1,E5&gt;1),-INDEX($E$64:$I$64,E5-1),0)</f>
        <v>0</v>
      </c>
      <c r="F39" s="27" t="n">
        <f aca="false">IF(AND(F6=1,F5&gt;1),-INDEX($E$64:$I$64,F5-1),0)</f>
        <v>0</v>
      </c>
      <c r="G39" s="27" t="n">
        <f aca="false">IF(AND(G6=1,G5&gt;1),-INDEX($E$64:$I$64,G5-1),0)</f>
        <v>0</v>
      </c>
      <c r="H39" s="27" t="n">
        <f aca="false">IF(AND(H6=1,H5&gt;1),-INDEX($E$64:$I$64,H5-1),0)</f>
        <v>0</v>
      </c>
      <c r="I39" s="27" t="n">
        <f aca="false">IF(AND(I6=1,I5&gt;1),-INDEX($E$64:$I$64,I5-1),0)</f>
        <v>0</v>
      </c>
      <c r="J39" s="27" t="n">
        <f aca="false">IF(AND(J6=1,J5&gt;1),-INDEX($E$64:$I$64,J5-1),0)</f>
        <v>0</v>
      </c>
      <c r="K39" s="27" t="n">
        <f aca="false">IF(AND(K6=1,K5&gt;1),-INDEX($E$64:$I$64,K5-1),0)</f>
        <v>0</v>
      </c>
      <c r="L39" s="27" t="n">
        <f aca="false">IF(AND(L6=1,L5&gt;1),-INDEX($E$64:$I$64,L5-1),0)</f>
        <v>0</v>
      </c>
      <c r="M39" s="27" t="n">
        <f aca="false">IF(AND(M6=1,M5&gt;1),-INDEX($E$64:$I$64,M5-1),0)</f>
        <v>0</v>
      </c>
      <c r="N39" s="27" t="n">
        <f aca="false">IF(AND(N6=1,N5&gt;1),-INDEX($E$64:$I$64,N5-1),0)</f>
        <v>0</v>
      </c>
      <c r="O39" s="27" t="n">
        <f aca="false">IF(AND(O6=1,O5&gt;1),-INDEX($E$64:$I$64,O5-1),0)</f>
        <v>0</v>
      </c>
      <c r="P39" s="27" t="n">
        <f aca="false">IF(AND(P6=1,P5&gt;1),-INDEX($E$64:$I$64,P5-1),0)</f>
        <v>0</v>
      </c>
      <c r="Q39" s="27" t="n">
        <f aca="false">IF(AND(Q6=1,Q5&gt;1),-INDEX($E$64:$I$64,Q5-1),0)</f>
        <v>-500000</v>
      </c>
      <c r="R39" s="27" t="n">
        <f aca="false">IF(AND(R6=1,R5&gt;1),-INDEX($E$64:$I$64,R5-1),0)</f>
        <v>0</v>
      </c>
      <c r="S39" s="27" t="n">
        <f aca="false">IF(AND(S6=1,S5&gt;1),-INDEX($E$64:$I$64,S5-1),0)</f>
        <v>0</v>
      </c>
      <c r="T39" s="27" t="n">
        <f aca="false">IF(AND(T6=1,T5&gt;1),-INDEX($E$64:$I$64,T5-1),0)</f>
        <v>0</v>
      </c>
      <c r="U39" s="27" t="n">
        <f aca="false">IF(AND(U6=1,U5&gt;1),-INDEX($E$64:$I$64,U5-1),0)</f>
        <v>0</v>
      </c>
      <c r="V39" s="27" t="n">
        <f aca="false">IF(AND(V6=1,V5&gt;1),-INDEX($E$64:$I$64,V5-1),0)</f>
        <v>0</v>
      </c>
      <c r="W39" s="27" t="n">
        <f aca="false">IF(AND(W6=1,W5&gt;1),-INDEX($E$64:$I$64,W5-1),0)</f>
        <v>0</v>
      </c>
      <c r="X39" s="27" t="n">
        <f aca="false">IF(AND(X6=1,X5&gt;1),-INDEX($E$64:$I$64,X5-1),0)</f>
        <v>0</v>
      </c>
      <c r="Y39" s="27" t="n">
        <f aca="false">IF(AND(Y6=1,Y5&gt;1),-INDEX($E$64:$I$64,Y5-1),0)</f>
        <v>0</v>
      </c>
      <c r="Z39" s="27" t="n">
        <f aca="false">IF(AND(Z6=1,Z5&gt;1),-INDEX($E$64:$I$64,Z5-1),0)</f>
        <v>0</v>
      </c>
      <c r="AA39" s="27" t="n">
        <f aca="false">IF(AND(AA6=1,AA5&gt;1),-INDEX($E$64:$I$64,AA5-1),0)</f>
        <v>0</v>
      </c>
      <c r="AB39" s="27" t="n">
        <f aca="false">IF(AND(AB6=1,AB5&gt;1),-INDEX($E$64:$I$64,AB5-1),0)</f>
        <v>0</v>
      </c>
      <c r="AC39" s="27" t="n">
        <f aca="false">IF(AND(AC6=1,AC5&gt;1),-INDEX($E$64:$I$64,AC5-1),0)</f>
        <v>-500000</v>
      </c>
      <c r="AD39" s="27" t="n">
        <f aca="false">IF(AND(AD6=1,AD5&gt;1),-INDEX($E$64:$I$64,AD5-1),0)</f>
        <v>0</v>
      </c>
      <c r="AE39" s="27" t="n">
        <f aca="false">IF(AND(AE6=1,AE5&gt;1),-INDEX($E$64:$I$64,AE5-1),0)</f>
        <v>0</v>
      </c>
      <c r="AF39" s="27" t="n">
        <f aca="false">IF(AND(AF6=1,AF5&gt;1),-INDEX($E$64:$I$64,AF5-1),0)</f>
        <v>0</v>
      </c>
      <c r="AG39" s="27" t="n">
        <f aca="false">IF(AND(AG6=1,AG5&gt;1),-INDEX($E$64:$I$64,AG5-1),0)</f>
        <v>0</v>
      </c>
      <c r="AH39" s="27" t="n">
        <f aca="false">IF(AND(AH6=1,AH5&gt;1),-INDEX($E$64:$I$64,AH5-1),0)</f>
        <v>0</v>
      </c>
      <c r="AI39" s="27" t="n">
        <f aca="false">IF(AND(AI6=1,AI5&gt;1),-INDEX($E$64:$I$64,AI5-1),0)</f>
        <v>0</v>
      </c>
      <c r="AJ39" s="27" t="n">
        <f aca="false">IF(AND(AJ6=1,AJ5&gt;1),-INDEX($E$64:$I$64,AJ5-1),0)</f>
        <v>0</v>
      </c>
      <c r="AK39" s="27" t="n">
        <f aca="false">IF(AND(AK6=1,AK5&gt;1),-INDEX($E$64:$I$64,AK5-1),0)</f>
        <v>0</v>
      </c>
      <c r="AL39" s="27" t="n">
        <f aca="false">IF(AND(AL6=1,AL5&gt;1),-INDEX($E$64:$I$64,AL5-1),0)</f>
        <v>0</v>
      </c>
      <c r="AM39" s="27" t="n">
        <f aca="false">IF(AND(AM6=1,AM5&gt;1),-INDEX($E$64:$I$64,AM5-1),0)</f>
        <v>0</v>
      </c>
      <c r="AN39" s="27" t="n">
        <f aca="false">IF(AND(AN6=1,AN5&gt;1),-INDEX($E$64:$I$64,AN5-1),0)</f>
        <v>0</v>
      </c>
      <c r="AO39" s="27" t="n">
        <f aca="false">IF(AND(AO6=1,AO5&gt;1),-INDEX($E$64:$I$64,AO5-1),0)</f>
        <v>-4955664.43756937</v>
      </c>
      <c r="AP39" s="27" t="n">
        <f aca="false">IF(AND(AP6=1,AP5&gt;1),-INDEX($E$64:$I$64,AP5-1),0)</f>
        <v>0</v>
      </c>
      <c r="AQ39" s="27" t="n">
        <f aca="false">IF(AND(AQ6=1,AQ5&gt;1),-INDEX($E$64:$I$64,AQ5-1),0)</f>
        <v>0</v>
      </c>
      <c r="AR39" s="27" t="n">
        <f aca="false">IF(AND(AR6=1,AR5&gt;1),-INDEX($E$64:$I$64,AR5-1),0)</f>
        <v>0</v>
      </c>
      <c r="AS39" s="27" t="n">
        <f aca="false">IF(AND(AS6=1,AS5&gt;1),-INDEX($E$64:$I$64,AS5-1),0)</f>
        <v>0</v>
      </c>
      <c r="AT39" s="27" t="n">
        <f aca="false">IF(AND(AT6=1,AT5&gt;1),-INDEX($E$64:$I$64,AT5-1),0)</f>
        <v>0</v>
      </c>
      <c r="AU39" s="27" t="n">
        <f aca="false">IF(AND(AU6=1,AU5&gt;1),-INDEX($E$64:$I$64,AU5-1),0)</f>
        <v>0</v>
      </c>
      <c r="AV39" s="27" t="n">
        <f aca="false">IF(AND(AV6=1,AV5&gt;1),-INDEX($E$64:$I$64,AV5-1),0)</f>
        <v>0</v>
      </c>
      <c r="AW39" s="27" t="n">
        <f aca="false">IF(AND(AW6=1,AW5&gt;1),-INDEX($E$64:$I$64,AW5-1),0)</f>
        <v>0</v>
      </c>
      <c r="AX39" s="27" t="n">
        <f aca="false">IF(AND(AX6=1,AX5&gt;1),-INDEX($E$64:$I$64,AX5-1),0)</f>
        <v>0</v>
      </c>
      <c r="AY39" s="27" t="n">
        <f aca="false">IF(AND(AY6=1,AY5&gt;1),-INDEX($E$64:$I$64,AY5-1),0)</f>
        <v>0</v>
      </c>
      <c r="AZ39" s="27" t="n">
        <f aca="false">IF(AND(AZ6=1,AZ5&gt;1),-INDEX($E$64:$I$64,AZ5-1),0)</f>
        <v>0</v>
      </c>
      <c r="BA39" s="27" t="n">
        <f aca="false">IF(AND(BA6=1,BA5&gt;1),-INDEX($E$64:$I$64,BA5-1),0)</f>
        <v>-9615881.09884094</v>
      </c>
      <c r="BB39" s="27" t="n">
        <f aca="false">IF(AND(BB6=1,BB5&gt;1),-INDEX($E$64:$I$64,BB5-1),0)</f>
        <v>0</v>
      </c>
      <c r="BC39" s="27" t="n">
        <f aca="false">IF(AND(BC6=1,BC5&gt;1),-INDEX($E$64:$I$64,BC5-1),0)</f>
        <v>0</v>
      </c>
      <c r="BD39" s="27" t="n">
        <f aca="false">IF(AND(BD6=1,BD5&gt;1),-INDEX($E$64:$I$64,BD5-1),0)</f>
        <v>0</v>
      </c>
      <c r="BE39" s="27" t="n">
        <f aca="false">IF(AND(BE6=1,BE5&gt;1),-INDEX($E$64:$I$64,BE5-1),0)</f>
        <v>0</v>
      </c>
      <c r="BF39" s="27" t="n">
        <f aca="false">IF(AND(BF6=1,BF5&gt;1),-INDEX($E$64:$I$64,BF5-1),0)</f>
        <v>0</v>
      </c>
      <c r="BG39" s="27" t="n">
        <f aca="false">IF(AND(BG6=1,BG5&gt;1),-INDEX($E$64:$I$64,BG5-1),0)</f>
        <v>0</v>
      </c>
      <c r="BH39" s="27" t="n">
        <f aca="false">IF(AND(BH6=1,BH5&gt;1),-INDEX($E$64:$I$64,BH5-1),0)</f>
        <v>0</v>
      </c>
      <c r="BI39" s="27" t="n">
        <f aca="false">IF(AND(BI6=1,BI5&gt;1),-INDEX($E$64:$I$64,BI5-1),0)</f>
        <v>0</v>
      </c>
      <c r="BJ39" s="27" t="n">
        <f aca="false">IF(AND(BJ6=1,BJ5&gt;1),-INDEX($E$64:$I$64,BJ5-1),0)</f>
        <v>0</v>
      </c>
      <c r="BK39" s="27" t="n">
        <f aca="false">IF(AND(BK6=1,BK5&gt;1),-INDEX($E$64:$I$64,BK5-1),0)</f>
        <v>0</v>
      </c>
      <c r="BL39" s="27" t="n">
        <f aca="false">IF(AND(BL6=1,BL5&gt;1),-INDEX($E$64:$I$64,BL5-1),0)</f>
        <v>0</v>
      </c>
    </row>
    <row r="40" customFormat="false" ht="15" hidden="false" customHeight="false" outlineLevel="0" collapsed="false">
      <c r="B40" s="2" t="s">
        <v>294</v>
      </c>
      <c r="C40" s="2" t="s">
        <v>141</v>
      </c>
      <c r="E40" s="27" t="n">
        <f aca="false">IF(E3&lt;=Hypotheses!$E$72,PMT(Hypotheses!$E$71/12,Hypotheses!$E$72,(Investissements!$E$19*(1+Hypotheses!$E$60)*Hypotheses!$E$69*(1-Hypotheses!$E$70))),0)</f>
        <v>-336558.493472564</v>
      </c>
      <c r="F40" s="27" t="n">
        <f aca="false">IF(F3&lt;=Hypotheses!$E$72,PMT(Hypotheses!$E$71/12,Hypotheses!$E$72,(Investissements!$E$19*(1+Hypotheses!$E$60)*Hypotheses!$E$69*(1-Hypotheses!$E$70))),0)</f>
        <v>-336558.493472564</v>
      </c>
      <c r="G40" s="27" t="n">
        <f aca="false">IF(G3&lt;=Hypotheses!$E$72,PMT(Hypotheses!$E$71/12,Hypotheses!$E$72,(Investissements!$E$19*(1+Hypotheses!$E$60)*Hypotheses!$E$69*(1-Hypotheses!$E$70))),0)</f>
        <v>-336558.493472564</v>
      </c>
      <c r="H40" s="27" t="n">
        <f aca="false">IF(H3&lt;=Hypotheses!$E$72,PMT(Hypotheses!$E$71/12,Hypotheses!$E$72,(Investissements!$E$19*(1+Hypotheses!$E$60)*Hypotheses!$E$69*(1-Hypotheses!$E$70))),0)</f>
        <v>-336558.493472564</v>
      </c>
      <c r="I40" s="27" t="n">
        <f aca="false">IF(I3&lt;=Hypotheses!$E$72,PMT(Hypotheses!$E$71/12,Hypotheses!$E$72,(Investissements!$E$19*(1+Hypotheses!$E$60)*Hypotheses!$E$69*(1-Hypotheses!$E$70))),0)</f>
        <v>-336558.493472564</v>
      </c>
      <c r="J40" s="27" t="n">
        <f aca="false">IF(J3&lt;=Hypotheses!$E$72,PMT(Hypotheses!$E$71/12,Hypotheses!$E$72,(Investissements!$E$19*(1+Hypotheses!$E$60)*Hypotheses!$E$69*(1-Hypotheses!$E$70))),0)</f>
        <v>-336558.493472564</v>
      </c>
      <c r="K40" s="27" t="n">
        <f aca="false">IF(K3&lt;=Hypotheses!$E$72,PMT(Hypotheses!$E$71/12,Hypotheses!$E$72,(Investissements!$E$19*(1+Hypotheses!$E$60)*Hypotheses!$E$69*(1-Hypotheses!$E$70))),0)</f>
        <v>-336558.493472564</v>
      </c>
      <c r="L40" s="27" t="n">
        <f aca="false">IF(L3&lt;=Hypotheses!$E$72,PMT(Hypotheses!$E$71/12,Hypotheses!$E$72,(Investissements!$E$19*(1+Hypotheses!$E$60)*Hypotheses!$E$69*(1-Hypotheses!$E$70))),0)</f>
        <v>-336558.493472564</v>
      </c>
      <c r="M40" s="27" t="n">
        <f aca="false">IF(M3&lt;=Hypotheses!$E$72,PMT(Hypotheses!$E$71/12,Hypotheses!$E$72,(Investissements!$E$19*(1+Hypotheses!$E$60)*Hypotheses!$E$69*(1-Hypotheses!$E$70))),0)</f>
        <v>-336558.493472564</v>
      </c>
      <c r="N40" s="27" t="n">
        <f aca="false">IF(N3&lt;=Hypotheses!$E$72,PMT(Hypotheses!$E$71/12,Hypotheses!$E$72,(Investissements!$E$19*(1+Hypotheses!$E$60)*Hypotheses!$E$69*(1-Hypotheses!$E$70))),0)</f>
        <v>-336558.493472564</v>
      </c>
      <c r="O40" s="27" t="n">
        <f aca="false">IF(O3&lt;=Hypotheses!$E$72,PMT(Hypotheses!$E$71/12,Hypotheses!$E$72,(Investissements!$E$19*(1+Hypotheses!$E$60)*Hypotheses!$E$69*(1-Hypotheses!$E$70))),0)</f>
        <v>-336558.493472564</v>
      </c>
      <c r="P40" s="27" t="n">
        <f aca="false">IF(P3&lt;=Hypotheses!$E$72,PMT(Hypotheses!$E$71/12,Hypotheses!$E$72,(Investissements!$E$19*(1+Hypotheses!$E$60)*Hypotheses!$E$69*(1-Hypotheses!$E$70))),0)</f>
        <v>-336558.493472564</v>
      </c>
      <c r="Q40" s="27" t="n">
        <f aca="false">IF(Q3&lt;=Hypotheses!$E$72,PMT(Hypotheses!$E$71/12,Hypotheses!$E$72,(Investissements!$E$19*(1+Hypotheses!$E$60)*Hypotheses!$E$69*(1-Hypotheses!$E$70))),0)</f>
        <v>-336558.493472564</v>
      </c>
      <c r="R40" s="27" t="n">
        <f aca="false">IF(R3&lt;=Hypotheses!$E$72,PMT(Hypotheses!$E$71/12,Hypotheses!$E$72,(Investissements!$E$19*(1+Hypotheses!$E$60)*Hypotheses!$E$69*(1-Hypotheses!$E$70))),0)</f>
        <v>-336558.493472564</v>
      </c>
      <c r="S40" s="27" t="n">
        <f aca="false">IF(S3&lt;=Hypotheses!$E$72,PMT(Hypotheses!$E$71/12,Hypotheses!$E$72,(Investissements!$E$19*(1+Hypotheses!$E$60)*Hypotheses!$E$69*(1-Hypotheses!$E$70))),0)</f>
        <v>-336558.493472564</v>
      </c>
      <c r="T40" s="27" t="n">
        <f aca="false">IF(T3&lt;=Hypotheses!$E$72,PMT(Hypotheses!$E$71/12,Hypotheses!$E$72,(Investissements!$E$19*(1+Hypotheses!$E$60)*Hypotheses!$E$69*(1-Hypotheses!$E$70))),0)</f>
        <v>-336558.493472564</v>
      </c>
      <c r="U40" s="27" t="n">
        <f aca="false">IF(U3&lt;=Hypotheses!$E$72,PMT(Hypotheses!$E$71/12,Hypotheses!$E$72,(Investissements!$E$19*(1+Hypotheses!$E$60)*Hypotheses!$E$69*(1-Hypotheses!$E$70))),0)</f>
        <v>-336558.493472564</v>
      </c>
      <c r="V40" s="27" t="n">
        <f aca="false">IF(V3&lt;=Hypotheses!$E$72,PMT(Hypotheses!$E$71/12,Hypotheses!$E$72,(Investissements!$E$19*(1+Hypotheses!$E$60)*Hypotheses!$E$69*(1-Hypotheses!$E$70))),0)</f>
        <v>-336558.493472564</v>
      </c>
      <c r="W40" s="27" t="n">
        <f aca="false">IF(W3&lt;=Hypotheses!$E$72,PMT(Hypotheses!$E$71/12,Hypotheses!$E$72,(Investissements!$E$19*(1+Hypotheses!$E$60)*Hypotheses!$E$69*(1-Hypotheses!$E$70))),0)</f>
        <v>-336558.493472564</v>
      </c>
      <c r="X40" s="27" t="n">
        <f aca="false">IF(X3&lt;=Hypotheses!$E$72,PMT(Hypotheses!$E$71/12,Hypotheses!$E$72,(Investissements!$E$19*(1+Hypotheses!$E$60)*Hypotheses!$E$69*(1-Hypotheses!$E$70))),0)</f>
        <v>-336558.493472564</v>
      </c>
      <c r="Y40" s="27" t="n">
        <f aca="false">IF(Y3&lt;=Hypotheses!$E$72,PMT(Hypotheses!$E$71/12,Hypotheses!$E$72,(Investissements!$E$19*(1+Hypotheses!$E$60)*Hypotheses!$E$69*(1-Hypotheses!$E$70))),0)</f>
        <v>-336558.493472564</v>
      </c>
      <c r="Z40" s="27" t="n">
        <f aca="false">IF(Z3&lt;=Hypotheses!$E$72,PMT(Hypotheses!$E$71/12,Hypotheses!$E$72,(Investissements!$E$19*(1+Hypotheses!$E$60)*Hypotheses!$E$69*(1-Hypotheses!$E$70))),0)</f>
        <v>-336558.493472564</v>
      </c>
      <c r="AA40" s="27" t="n">
        <f aca="false">IF(AA3&lt;=Hypotheses!$E$72,PMT(Hypotheses!$E$71/12,Hypotheses!$E$72,(Investissements!$E$19*(1+Hypotheses!$E$60)*Hypotheses!$E$69*(1-Hypotheses!$E$70))),0)</f>
        <v>-336558.493472564</v>
      </c>
      <c r="AB40" s="27" t="n">
        <f aca="false">IF(AB3&lt;=Hypotheses!$E$72,PMT(Hypotheses!$E$71/12,Hypotheses!$E$72,(Investissements!$E$19*(1+Hypotheses!$E$60)*Hypotheses!$E$69*(1-Hypotheses!$E$70))),0)</f>
        <v>-336558.493472564</v>
      </c>
      <c r="AC40" s="27" t="n">
        <f aca="false">IF(AC3&lt;=Hypotheses!$E$72,PMT(Hypotheses!$E$71/12,Hypotheses!$E$72,(Investissements!$E$19*(1+Hypotheses!$E$60)*Hypotheses!$E$69*(1-Hypotheses!$E$70))),0)</f>
        <v>-336558.493472564</v>
      </c>
      <c r="AD40" s="27" t="n">
        <f aca="false">IF(AD3&lt;=Hypotheses!$E$72,PMT(Hypotheses!$E$71/12,Hypotheses!$E$72,(Investissements!$E$19*(1+Hypotheses!$E$60)*Hypotheses!$E$69*(1-Hypotheses!$E$70))),0)</f>
        <v>-336558.493472564</v>
      </c>
      <c r="AE40" s="27" t="n">
        <f aca="false">IF(AE3&lt;=Hypotheses!$E$72,PMT(Hypotheses!$E$71/12,Hypotheses!$E$72,(Investissements!$E$19*(1+Hypotheses!$E$60)*Hypotheses!$E$69*(1-Hypotheses!$E$70))),0)</f>
        <v>-336558.493472564</v>
      </c>
      <c r="AF40" s="27" t="n">
        <f aca="false">IF(AF3&lt;=Hypotheses!$E$72,PMT(Hypotheses!$E$71/12,Hypotheses!$E$72,(Investissements!$E$19*(1+Hypotheses!$E$60)*Hypotheses!$E$69*(1-Hypotheses!$E$70))),0)</f>
        <v>-336558.493472564</v>
      </c>
      <c r="AG40" s="27" t="n">
        <f aca="false">IF(AG3&lt;=Hypotheses!$E$72,PMT(Hypotheses!$E$71/12,Hypotheses!$E$72,(Investissements!$E$19*(1+Hypotheses!$E$60)*Hypotheses!$E$69*(1-Hypotheses!$E$70))),0)</f>
        <v>-336558.493472564</v>
      </c>
      <c r="AH40" s="27" t="n">
        <f aca="false">IF(AH3&lt;=Hypotheses!$E$72,PMT(Hypotheses!$E$71/12,Hypotheses!$E$72,(Investissements!$E$19*(1+Hypotheses!$E$60)*Hypotheses!$E$69*(1-Hypotheses!$E$70))),0)</f>
        <v>-336558.493472564</v>
      </c>
      <c r="AI40" s="27" t="n">
        <f aca="false">IF(AI3&lt;=Hypotheses!$E$72,PMT(Hypotheses!$E$71/12,Hypotheses!$E$72,(Investissements!$E$19*(1+Hypotheses!$E$60)*Hypotheses!$E$69*(1-Hypotheses!$E$70))),0)</f>
        <v>-336558.493472564</v>
      </c>
      <c r="AJ40" s="27" t="n">
        <f aca="false">IF(AJ3&lt;=Hypotheses!$E$72,PMT(Hypotheses!$E$71/12,Hypotheses!$E$72,(Investissements!$E$19*(1+Hypotheses!$E$60)*Hypotheses!$E$69*(1-Hypotheses!$E$70))),0)</f>
        <v>-336558.493472564</v>
      </c>
      <c r="AK40" s="27" t="n">
        <f aca="false">IF(AK3&lt;=Hypotheses!$E$72,PMT(Hypotheses!$E$71/12,Hypotheses!$E$72,(Investissements!$E$19*(1+Hypotheses!$E$60)*Hypotheses!$E$69*(1-Hypotheses!$E$70))),0)</f>
        <v>-336558.493472564</v>
      </c>
      <c r="AL40" s="27" t="n">
        <f aca="false">IF(AL3&lt;=Hypotheses!$E$72,PMT(Hypotheses!$E$71/12,Hypotheses!$E$72,(Investissements!$E$19*(1+Hypotheses!$E$60)*Hypotheses!$E$69*(1-Hypotheses!$E$70))),0)</f>
        <v>-336558.493472564</v>
      </c>
      <c r="AM40" s="27" t="n">
        <f aca="false">IF(AM3&lt;=Hypotheses!$E$72,PMT(Hypotheses!$E$71/12,Hypotheses!$E$72,(Investissements!$E$19*(1+Hypotheses!$E$60)*Hypotheses!$E$69*(1-Hypotheses!$E$70))),0)</f>
        <v>-336558.493472564</v>
      </c>
      <c r="AN40" s="27" t="n">
        <f aca="false">IF(AN3&lt;=Hypotheses!$E$72,PMT(Hypotheses!$E$71/12,Hypotheses!$E$72,(Investissements!$E$19*(1+Hypotheses!$E$60)*Hypotheses!$E$69*(1-Hypotheses!$E$70))),0)</f>
        <v>-336558.493472564</v>
      </c>
      <c r="AO40" s="27" t="n">
        <f aca="false">IF(AO3&lt;=Hypotheses!$E$72,PMT(Hypotheses!$E$71/12,Hypotheses!$E$72,(Investissements!$E$19*(1+Hypotheses!$E$60)*Hypotheses!$E$69*(1-Hypotheses!$E$70))),0)</f>
        <v>-336558.493472564</v>
      </c>
      <c r="AP40" s="27" t="n">
        <f aca="false">IF(AP3&lt;=Hypotheses!$E$72,PMT(Hypotheses!$E$71/12,Hypotheses!$E$72,(Investissements!$E$19*(1+Hypotheses!$E$60)*Hypotheses!$E$69*(1-Hypotheses!$E$70))),0)</f>
        <v>-336558.493472564</v>
      </c>
      <c r="AQ40" s="27" t="n">
        <f aca="false">IF(AQ3&lt;=Hypotheses!$E$72,PMT(Hypotheses!$E$71/12,Hypotheses!$E$72,(Investissements!$E$19*(1+Hypotheses!$E$60)*Hypotheses!$E$69*(1-Hypotheses!$E$70))),0)</f>
        <v>-336558.493472564</v>
      </c>
      <c r="AR40" s="27" t="n">
        <f aca="false">IF(AR3&lt;=Hypotheses!$E$72,PMT(Hypotheses!$E$71/12,Hypotheses!$E$72,(Investissements!$E$19*(1+Hypotheses!$E$60)*Hypotheses!$E$69*(1-Hypotheses!$E$70))),0)</f>
        <v>-336558.493472564</v>
      </c>
      <c r="AS40" s="27" t="n">
        <f aca="false">IF(AS3&lt;=Hypotheses!$E$72,PMT(Hypotheses!$E$71/12,Hypotheses!$E$72,(Investissements!$E$19*(1+Hypotheses!$E$60)*Hypotheses!$E$69*(1-Hypotheses!$E$70))),0)</f>
        <v>-336558.493472564</v>
      </c>
      <c r="AT40" s="27" t="n">
        <f aca="false">IF(AT3&lt;=Hypotheses!$E$72,PMT(Hypotheses!$E$71/12,Hypotheses!$E$72,(Investissements!$E$19*(1+Hypotheses!$E$60)*Hypotheses!$E$69*(1-Hypotheses!$E$70))),0)</f>
        <v>-336558.493472564</v>
      </c>
      <c r="AU40" s="27" t="n">
        <f aca="false">IF(AU3&lt;=Hypotheses!$E$72,PMT(Hypotheses!$E$71/12,Hypotheses!$E$72,(Investissements!$E$19*(1+Hypotheses!$E$60)*Hypotheses!$E$69*(1-Hypotheses!$E$70))),0)</f>
        <v>-336558.493472564</v>
      </c>
      <c r="AV40" s="27" t="n">
        <f aca="false">IF(AV3&lt;=Hypotheses!$E$72,PMT(Hypotheses!$E$71/12,Hypotheses!$E$72,(Investissements!$E$19*(1+Hypotheses!$E$60)*Hypotheses!$E$69*(1-Hypotheses!$E$70))),0)</f>
        <v>-336558.493472564</v>
      </c>
      <c r="AW40" s="27" t="n">
        <f aca="false">IF(AW3&lt;=Hypotheses!$E$72,PMT(Hypotheses!$E$71/12,Hypotheses!$E$72,(Investissements!$E$19*(1+Hypotheses!$E$60)*Hypotheses!$E$69*(1-Hypotheses!$E$70))),0)</f>
        <v>-336558.493472564</v>
      </c>
      <c r="AX40" s="27" t="n">
        <f aca="false">IF(AX3&lt;=Hypotheses!$E$72,PMT(Hypotheses!$E$71/12,Hypotheses!$E$72,(Investissements!$E$19*(1+Hypotheses!$E$60)*Hypotheses!$E$69*(1-Hypotheses!$E$70))),0)</f>
        <v>-336558.493472564</v>
      </c>
      <c r="AY40" s="27" t="n">
        <f aca="false">IF(AY3&lt;=Hypotheses!$E$72,PMT(Hypotheses!$E$71/12,Hypotheses!$E$72,(Investissements!$E$19*(1+Hypotheses!$E$60)*Hypotheses!$E$69*(1-Hypotheses!$E$70))),0)</f>
        <v>-336558.493472564</v>
      </c>
      <c r="AZ40" s="27" t="n">
        <f aca="false">IF(AZ3&lt;=Hypotheses!$E$72,PMT(Hypotheses!$E$71/12,Hypotheses!$E$72,(Investissements!$E$19*(1+Hypotheses!$E$60)*Hypotheses!$E$69*(1-Hypotheses!$E$70))),0)</f>
        <v>-336558.493472564</v>
      </c>
      <c r="BA40" s="27" t="n">
        <f aca="false">IF(BA3&lt;=Hypotheses!$E$72,PMT(Hypotheses!$E$71/12,Hypotheses!$E$72,(Investissements!$E$19*(1+Hypotheses!$E$60)*Hypotheses!$E$69*(1-Hypotheses!$E$70))),0)</f>
        <v>-336558.493472564</v>
      </c>
      <c r="BB40" s="27" t="n">
        <f aca="false">IF(BB3&lt;=Hypotheses!$E$72,PMT(Hypotheses!$E$71/12,Hypotheses!$E$72,(Investissements!$E$19*(1+Hypotheses!$E$60)*Hypotheses!$E$69*(1-Hypotheses!$E$70))),0)</f>
        <v>-336558.493472564</v>
      </c>
      <c r="BC40" s="27" t="n">
        <f aca="false">IF(BC3&lt;=Hypotheses!$E$72,PMT(Hypotheses!$E$71/12,Hypotheses!$E$72,(Investissements!$E$19*(1+Hypotheses!$E$60)*Hypotheses!$E$69*(1-Hypotheses!$E$70))),0)</f>
        <v>-336558.493472564</v>
      </c>
      <c r="BD40" s="27" t="n">
        <f aca="false">IF(BD3&lt;=Hypotheses!$E$72,PMT(Hypotheses!$E$71/12,Hypotheses!$E$72,(Investissements!$E$19*(1+Hypotheses!$E$60)*Hypotheses!$E$69*(1-Hypotheses!$E$70))),0)</f>
        <v>-336558.493472564</v>
      </c>
      <c r="BE40" s="27" t="n">
        <f aca="false">IF(BE3&lt;=Hypotheses!$E$72,PMT(Hypotheses!$E$71/12,Hypotheses!$E$72,(Investissements!$E$19*(1+Hypotheses!$E$60)*Hypotheses!$E$69*(1-Hypotheses!$E$70))),0)</f>
        <v>-336558.493472564</v>
      </c>
      <c r="BF40" s="27" t="n">
        <f aca="false">IF(BF3&lt;=Hypotheses!$E$72,PMT(Hypotheses!$E$71/12,Hypotheses!$E$72,(Investissements!$E$19*(1+Hypotheses!$E$60)*Hypotheses!$E$69*(1-Hypotheses!$E$70))),0)</f>
        <v>-336558.493472564</v>
      </c>
      <c r="BG40" s="27" t="n">
        <f aca="false">IF(BG3&lt;=Hypotheses!$E$72,PMT(Hypotheses!$E$71/12,Hypotheses!$E$72,(Investissements!$E$19*(1+Hypotheses!$E$60)*Hypotheses!$E$69*(1-Hypotheses!$E$70))),0)</f>
        <v>-336558.493472564</v>
      </c>
      <c r="BH40" s="27" t="n">
        <f aca="false">IF(BH3&lt;=Hypotheses!$E$72,PMT(Hypotheses!$E$71/12,Hypotheses!$E$72,(Investissements!$E$19*(1+Hypotheses!$E$60)*Hypotheses!$E$69*(1-Hypotheses!$E$70))),0)</f>
        <v>-336558.493472564</v>
      </c>
      <c r="BI40" s="27" t="n">
        <f aca="false">IF(BI3&lt;=Hypotheses!$E$72,PMT(Hypotheses!$E$71/12,Hypotheses!$E$72,(Investissements!$E$19*(1+Hypotheses!$E$60)*Hypotheses!$E$69*(1-Hypotheses!$E$70))),0)</f>
        <v>-336558.493472564</v>
      </c>
      <c r="BJ40" s="27" t="n">
        <f aca="false">IF(BJ3&lt;=Hypotheses!$E$72,PMT(Hypotheses!$E$71/12,Hypotheses!$E$72,(Investissements!$E$19*(1+Hypotheses!$E$60)*Hypotheses!$E$69*(1-Hypotheses!$E$70))),0)</f>
        <v>-336558.493472564</v>
      </c>
      <c r="BK40" s="27" t="n">
        <f aca="false">IF(BK3&lt;=Hypotheses!$E$72,PMT(Hypotheses!$E$71/12,Hypotheses!$E$72,(Investissements!$E$19*(1+Hypotheses!$E$60)*Hypotheses!$E$69*(1-Hypotheses!$E$70))),0)</f>
        <v>-336558.493472564</v>
      </c>
      <c r="BL40" s="27" t="n">
        <f aca="false">IF(BL3&lt;=Hypotheses!$E$72,PMT(Hypotheses!$E$71/12,Hypotheses!$E$72,(Investissements!$E$19*(1+Hypotheses!$E$60)*Hypotheses!$E$69*(1-Hypotheses!$E$70))),0)</f>
        <v>-336558.493472564</v>
      </c>
    </row>
    <row r="41" customFormat="false" ht="15" hidden="false" customHeight="false" outlineLevel="0" collapsed="false">
      <c r="B41" s="2" t="s">
        <v>295</v>
      </c>
      <c r="C41" s="2" t="s">
        <v>141</v>
      </c>
      <c r="D41" s="27" t="n">
        <f aca="false">(Investissements!$E$19*(1+Hypotheses!$E$60)*Hypotheses!$E$69*(1-Hypotheses!$E$70))</f>
        <v>15130000</v>
      </c>
      <c r="E41" s="27" t="n">
        <f aca="false">IF(E3&lt;=Hypotheses!$E$72,D41*(1+Hypotheses!$E$71/12)+E40,0)</f>
        <v>14944741.5065274</v>
      </c>
      <c r="F41" s="27" t="n">
        <f aca="false">IF(F3&lt;=Hypotheses!$E$72,E41*(1+Hypotheses!$E$71/12)+F40,0)</f>
        <v>14757630.4281201</v>
      </c>
      <c r="G41" s="27" t="n">
        <f aca="false">IF(G3&lt;=Hypotheses!$E$72,F41*(1+Hypotheses!$E$71/12)+G40,0)</f>
        <v>14568648.2389288</v>
      </c>
      <c r="H41" s="27" t="n">
        <f aca="false">IF(H3&lt;=Hypotheses!$E$72,G41*(1+Hypotheses!$E$71/12)+H40,0)</f>
        <v>14377776.2278455</v>
      </c>
      <c r="I41" s="27" t="n">
        <f aca="false">IF(I3&lt;=Hypotheses!$E$72,H41*(1+Hypotheses!$E$71/12)+I40,0)</f>
        <v>14184995.4966514</v>
      </c>
      <c r="J41" s="27" t="n">
        <f aca="false">IF(J3&lt;=Hypotheses!$E$72,I41*(1+Hypotheses!$E$71/12)+J40,0)</f>
        <v>13990286.9581454</v>
      </c>
      <c r="K41" s="27" t="n">
        <f aca="false">IF(K3&lt;=Hypotheses!$E$72,J41*(1+Hypotheses!$E$71/12)+K40,0)</f>
        <v>13793631.3342542</v>
      </c>
      <c r="L41" s="27" t="n">
        <f aca="false">IF(L3&lt;=Hypotheses!$E$72,K41*(1+Hypotheses!$E$71/12)+L40,0)</f>
        <v>13595009.1541242</v>
      </c>
      <c r="M41" s="27" t="n">
        <f aca="false">IF(M3&lt;=Hypotheses!$E$72,L41*(1+Hypotheses!$E$71/12)+M40,0)</f>
        <v>13394400.7521929</v>
      </c>
      <c r="N41" s="27" t="n">
        <f aca="false">IF(N3&lt;=Hypotheses!$E$72,M41*(1+Hypotheses!$E$71/12)+N40,0)</f>
        <v>13191786.2662423</v>
      </c>
      <c r="O41" s="27" t="n">
        <f aca="false">IF(O3&lt;=Hypotheses!$E$72,N41*(1+Hypotheses!$E$71/12)+O40,0)</f>
        <v>12987145.6354321</v>
      </c>
      <c r="P41" s="27" t="n">
        <f aca="false">IF(P3&lt;=Hypotheses!$E$72,O41*(1+Hypotheses!$E$71/12)+P40,0)</f>
        <v>12780458.5983139</v>
      </c>
      <c r="Q41" s="27" t="n">
        <f aca="false">IF(Q3&lt;=Hypotheses!$E$72,P41*(1+Hypotheses!$E$71/12)+Q40,0)</f>
        <v>12571704.6908245</v>
      </c>
      <c r="R41" s="27" t="n">
        <f aca="false">IF(R3&lt;=Hypotheses!$E$72,Q41*(1+Hypotheses!$E$71/12)+R40,0)</f>
        <v>12360863.2442601</v>
      </c>
      <c r="S41" s="27" t="n">
        <f aca="false">IF(S3&lt;=Hypotheses!$E$72,R41*(1+Hypotheses!$E$71/12)+S40,0)</f>
        <v>12147913.3832302</v>
      </c>
      <c r="T41" s="27" t="n">
        <f aca="false">IF(T3&lt;=Hypotheses!$E$72,S41*(1+Hypotheses!$E$71/12)+T40,0)</f>
        <v>11932834.0235899</v>
      </c>
      <c r="U41" s="27" t="n">
        <f aca="false">IF(U3&lt;=Hypotheses!$E$72,T41*(1+Hypotheses!$E$71/12)+U40,0)</f>
        <v>11715603.8703533</v>
      </c>
      <c r="V41" s="27" t="n">
        <f aca="false">IF(V3&lt;=Hypotheses!$E$72,U41*(1+Hypotheses!$E$71/12)+V40,0)</f>
        <v>11496201.4155842</v>
      </c>
      <c r="W41" s="27" t="n">
        <f aca="false">IF(W3&lt;=Hypotheses!$E$72,V41*(1+Hypotheses!$E$71/12)+W40,0)</f>
        <v>11274604.9362675</v>
      </c>
      <c r="X41" s="27" t="n">
        <f aca="false">IF(X3&lt;=Hypotheses!$E$72,W41*(1+Hypotheses!$E$71/12)+X40,0)</f>
        <v>11050792.4921576</v>
      </c>
      <c r="Y41" s="27" t="n">
        <f aca="false">IF(Y3&lt;=Hypotheses!$E$72,X41*(1+Hypotheses!$E$71/12)+Y40,0)</f>
        <v>10824741.9236066</v>
      </c>
      <c r="Z41" s="27" t="n">
        <f aca="false">IF(Z3&lt;=Hypotheses!$E$72,Y41*(1+Hypotheses!$E$71/12)+Z40,0)</f>
        <v>10596430.8493701</v>
      </c>
      <c r="AA41" s="27" t="n">
        <f aca="false">IF(AA3&lt;=Hypotheses!$E$72,Z41*(1+Hypotheses!$E$71/12)+AA40,0)</f>
        <v>10365836.6643913</v>
      </c>
      <c r="AB41" s="27" t="n">
        <f aca="false">IF(AB3&lt;=Hypotheses!$E$72,AA41*(1+Hypotheses!$E$71/12)+AB40,0)</f>
        <v>10132936.5375626</v>
      </c>
      <c r="AC41" s="27" t="n">
        <f aca="false">IF(AC3&lt;=Hypotheses!$E$72,AB41*(1+Hypotheses!$E$71/12)+AC40,0)</f>
        <v>9897707.40946569</v>
      </c>
      <c r="AD41" s="27" t="n">
        <f aca="false">IF(AD3&lt;=Hypotheses!$E$72,AC41*(1+Hypotheses!$E$71/12)+AD40,0)</f>
        <v>9660125.99008778</v>
      </c>
      <c r="AE41" s="27" t="n">
        <f aca="false">IF(AE3&lt;=Hypotheses!$E$72,AD41*(1+Hypotheses!$E$71/12)+AE40,0)</f>
        <v>9420168.75651609</v>
      </c>
      <c r="AF41" s="27" t="n">
        <f aca="false">IF(AF3&lt;=Hypotheses!$E$72,AE41*(1+Hypotheses!$E$71/12)+AF40,0)</f>
        <v>9177811.95060869</v>
      </c>
      <c r="AG41" s="27" t="n">
        <f aca="false">IF(AG3&lt;=Hypotheses!$E$72,AF41*(1+Hypotheses!$E$71/12)+AG40,0)</f>
        <v>8933031.57664222</v>
      </c>
      <c r="AH41" s="27" t="n">
        <f aca="false">IF(AH3&lt;=Hypotheses!$E$72,AG41*(1+Hypotheses!$E$71/12)+AH40,0)</f>
        <v>8685803.39893607</v>
      </c>
      <c r="AI41" s="27" t="n">
        <f aca="false">IF(AI3&lt;=Hypotheses!$E$72,AH41*(1+Hypotheses!$E$71/12)+AI40,0)</f>
        <v>8436102.93945287</v>
      </c>
      <c r="AJ41" s="27" t="n">
        <f aca="false">IF(AJ3&lt;=Hypotheses!$E$72,AI41*(1+Hypotheses!$E$71/12)+AJ40,0)</f>
        <v>8183905.47537484</v>
      </c>
      <c r="AK41" s="27" t="n">
        <f aca="false">IF(AK3&lt;=Hypotheses!$E$72,AJ41*(1+Hypotheses!$E$71/12)+AK40,0)</f>
        <v>7929186.03665602</v>
      </c>
      <c r="AL41" s="27" t="n">
        <f aca="false">IF(AL3&lt;=Hypotheses!$E$72,AK41*(1+Hypotheses!$E$71/12)+AL40,0)</f>
        <v>7671919.40355002</v>
      </c>
      <c r="AM41" s="27" t="n">
        <f aca="false">IF(AM3&lt;=Hypotheses!$E$72,AL41*(1+Hypotheses!$E$71/12)+AM40,0)</f>
        <v>7412080.10411295</v>
      </c>
      <c r="AN41" s="27" t="n">
        <f aca="false">IF(AN3&lt;=Hypotheses!$E$72,AM41*(1+Hypotheses!$E$71/12)+AN40,0)</f>
        <v>7149642.41168152</v>
      </c>
      <c r="AO41" s="27" t="n">
        <f aca="false">IF(AO3&lt;=Hypotheses!$E$72,AN41*(1+Hypotheses!$E$71/12)+AO40,0)</f>
        <v>6884580.34232577</v>
      </c>
      <c r="AP41" s="27" t="n">
        <f aca="false">IF(AP3&lt;=Hypotheses!$E$72,AO41*(1+Hypotheses!$E$71/12)+AP40,0)</f>
        <v>6616867.65227646</v>
      </c>
      <c r="AQ41" s="27" t="n">
        <f aca="false">IF(AQ3&lt;=Hypotheses!$E$72,AP41*(1+Hypotheses!$E$71/12)+AQ40,0)</f>
        <v>6346477.83532666</v>
      </c>
      <c r="AR41" s="27" t="n">
        <f aca="false">IF(AR3&lt;=Hypotheses!$E$72,AQ41*(1+Hypotheses!$E$71/12)+AR40,0)</f>
        <v>6073384.12020737</v>
      </c>
      <c r="AS41" s="27" t="n">
        <f aca="false">IF(AS3&lt;=Hypotheses!$E$72,AR41*(1+Hypotheses!$E$71/12)+AS40,0)</f>
        <v>5797559.46793688</v>
      </c>
      <c r="AT41" s="27" t="n">
        <f aca="false">IF(AT3&lt;=Hypotheses!$E$72,AS41*(1+Hypotheses!$E$71/12)+AT40,0)</f>
        <v>5518976.56914368</v>
      </c>
      <c r="AU41" s="27" t="n">
        <f aca="false">IF(AU3&lt;=Hypotheses!$E$72,AT41*(1+Hypotheses!$E$71/12)+AU40,0)</f>
        <v>5237607.84136255</v>
      </c>
      <c r="AV41" s="27" t="n">
        <f aca="false">IF(AV3&lt;=Hypotheses!$E$72,AU41*(1+Hypotheses!$E$71/12)+AV40,0)</f>
        <v>4953425.42630362</v>
      </c>
      <c r="AW41" s="27" t="n">
        <f aca="false">IF(AW3&lt;=Hypotheses!$E$72,AV41*(1+Hypotheses!$E$71/12)+AW40,0)</f>
        <v>4666401.18709409</v>
      </c>
      <c r="AX41" s="27" t="n">
        <f aca="false">IF(AX3&lt;=Hypotheses!$E$72,AW41*(1+Hypotheses!$E$71/12)+AX40,0)</f>
        <v>4376506.70549246</v>
      </c>
      <c r="AY41" s="27" t="n">
        <f aca="false">IF(AY3&lt;=Hypotheses!$E$72,AX41*(1+Hypotheses!$E$71/12)+AY40,0)</f>
        <v>4083713.27907482</v>
      </c>
      <c r="AZ41" s="27" t="n">
        <f aca="false">IF(AZ3&lt;=Hypotheses!$E$72,AY41*(1+Hypotheses!$E$71/12)+AZ40,0)</f>
        <v>3787991.91839301</v>
      </c>
      <c r="BA41" s="27" t="n">
        <f aca="false">IF(BA3&lt;=Hypotheses!$E$72,AZ41*(1+Hypotheses!$E$71/12)+BA40,0)</f>
        <v>3489313.34410438</v>
      </c>
      <c r="BB41" s="27" t="n">
        <f aca="false">IF(BB3&lt;=Hypotheses!$E$72,BA41*(1+Hypotheses!$E$71/12)+BB40,0)</f>
        <v>3187647.98407286</v>
      </c>
      <c r="BC41" s="27" t="n">
        <f aca="false">IF(BC3&lt;=Hypotheses!$E$72,BB41*(1+Hypotheses!$E$71/12)+BC40,0)</f>
        <v>2882965.97044102</v>
      </c>
      <c r="BD41" s="27" t="n">
        <f aca="false">IF(BD3&lt;=Hypotheses!$E$72,BC41*(1+Hypotheses!$E$71/12)+BD40,0)</f>
        <v>2575237.13667287</v>
      </c>
      <c r="BE41" s="27" t="n">
        <f aca="false">IF(BE3&lt;=Hypotheses!$E$72,BD41*(1+Hypotheses!$E$71/12)+BE40,0)</f>
        <v>2264431.01456703</v>
      </c>
      <c r="BF41" s="27" t="n">
        <f aca="false">IF(BF3&lt;=Hypotheses!$E$72,BE41*(1+Hypotheses!$E$71/12)+BF40,0)</f>
        <v>1950516.83124014</v>
      </c>
      <c r="BG41" s="27" t="n">
        <f aca="false">IF(BG3&lt;=Hypotheses!$E$72,BF41*(1+Hypotheses!$E$71/12)+BG40,0)</f>
        <v>1633463.50607998</v>
      </c>
      <c r="BH41" s="27" t="n">
        <f aca="false">IF(BH3&lt;=Hypotheses!$E$72,BG41*(1+Hypotheses!$E$71/12)+BH40,0)</f>
        <v>1313239.64766821</v>
      </c>
      <c r="BI41" s="27" t="n">
        <f aca="false">IF(BI3&lt;=Hypotheses!$E$72,BH41*(1+Hypotheses!$E$71/12)+BI40,0)</f>
        <v>989813.55067233</v>
      </c>
      <c r="BJ41" s="27" t="n">
        <f aca="false">IF(BJ3&lt;=Hypotheses!$E$72,BI41*(1+Hypotheses!$E$71/12)+BJ40,0)</f>
        <v>663153.19270649</v>
      </c>
      <c r="BK41" s="27" t="n">
        <f aca="false">IF(BK3&lt;=Hypotheses!$E$72,BJ41*(1+Hypotheses!$E$71/12)+BK40,0)</f>
        <v>333226.231160991</v>
      </c>
      <c r="BL41" s="27" t="n">
        <f aca="false">IF(BL3&lt;=Hypotheses!$E$72,BK41*(1+Hypotheses!$E$71/12)+BL40,0)</f>
        <v>3.69036570191383E-008</v>
      </c>
    </row>
    <row r="42" customFormat="false" ht="15" hidden="false" customHeight="false" outlineLevel="0" collapsed="false">
      <c r="B42" s="2" t="s">
        <v>296</v>
      </c>
      <c r="C42" s="2" t="s">
        <v>141</v>
      </c>
      <c r="E42" s="27" t="n">
        <f aca="false">IF(E3&lt;=Hypotheses!$E$72,-D41*Hypotheses!$E$71/12,0)</f>
        <v>-151300</v>
      </c>
      <c r="F42" s="27" t="n">
        <f aca="false">IF(F3&lt;=Hypotheses!$E$72,-E41*Hypotheses!$E$71/12,0)</f>
        <v>-149447.415065274</v>
      </c>
      <c r="G42" s="27" t="n">
        <f aca="false">IF(G3&lt;=Hypotheses!$E$72,-F41*Hypotheses!$E$71/12,0)</f>
        <v>-147576.304281201</v>
      </c>
      <c r="H42" s="27" t="n">
        <f aca="false">IF(H3&lt;=Hypotheses!$E$72,-G41*Hypotheses!$E$71/12,0)</f>
        <v>-145686.482389288</v>
      </c>
      <c r="I42" s="27" t="n">
        <f aca="false">IF(I3&lt;=Hypotheses!$E$72,-H41*Hypotheses!$E$71/12,0)</f>
        <v>-143777.762278455</v>
      </c>
      <c r="J42" s="27" t="n">
        <f aca="false">IF(J3&lt;=Hypotheses!$E$72,-I41*Hypotheses!$E$71/12,0)</f>
        <v>-141849.954966514</v>
      </c>
      <c r="K42" s="27" t="n">
        <f aca="false">IF(K3&lt;=Hypotheses!$E$72,-J41*Hypotheses!$E$71/12,0)</f>
        <v>-139902.869581454</v>
      </c>
      <c r="L42" s="27" t="n">
        <f aca="false">IF(L3&lt;=Hypotheses!$E$72,-K41*Hypotheses!$E$71/12,0)</f>
        <v>-137936.313342542</v>
      </c>
      <c r="M42" s="27" t="n">
        <f aca="false">IF(M3&lt;=Hypotheses!$E$72,-L41*Hypotheses!$E$71/12,0)</f>
        <v>-135950.091541242</v>
      </c>
      <c r="N42" s="27" t="n">
        <f aca="false">IF(N3&lt;=Hypotheses!$E$72,-M41*Hypotheses!$E$71/12,0)</f>
        <v>-133944.007521929</v>
      </c>
      <c r="O42" s="27" t="n">
        <f aca="false">IF(O3&lt;=Hypotheses!$E$72,-N41*Hypotheses!$E$71/12,0)</f>
        <v>-131917.862662423</v>
      </c>
      <c r="P42" s="27" t="n">
        <f aca="false">IF(P3&lt;=Hypotheses!$E$72,-O41*Hypotheses!$E$71/12,0)</f>
        <v>-129871.456354321</v>
      </c>
      <c r="Q42" s="27" t="n">
        <f aca="false">IF(Q3&lt;=Hypotheses!$E$72,-P41*Hypotheses!$E$71/12,0)</f>
        <v>-127804.585983139</v>
      </c>
      <c r="R42" s="27" t="n">
        <f aca="false">IF(R3&lt;=Hypotheses!$E$72,-Q41*Hypotheses!$E$71/12,0)</f>
        <v>-125717.046908245</v>
      </c>
      <c r="S42" s="27" t="n">
        <f aca="false">IF(S3&lt;=Hypotheses!$E$72,-R41*Hypotheses!$E$71/12,0)</f>
        <v>-123608.632442601</v>
      </c>
      <c r="T42" s="27" t="n">
        <f aca="false">IF(T3&lt;=Hypotheses!$E$72,-S41*Hypotheses!$E$71/12,0)</f>
        <v>-121479.133832302</v>
      </c>
      <c r="U42" s="27" t="n">
        <f aca="false">IF(U3&lt;=Hypotheses!$E$72,-T41*Hypotheses!$E$71/12,0)</f>
        <v>-119328.340235899</v>
      </c>
      <c r="V42" s="27" t="n">
        <f aca="false">IF(V3&lt;=Hypotheses!$E$72,-U41*Hypotheses!$E$71/12,0)</f>
        <v>-117156.038703533</v>
      </c>
      <c r="W42" s="27" t="n">
        <f aca="false">IF(W3&lt;=Hypotheses!$E$72,-V41*Hypotheses!$E$71/12,0)</f>
        <v>-114962.014155842</v>
      </c>
      <c r="X42" s="27" t="n">
        <f aca="false">IF(X3&lt;=Hypotheses!$E$72,-W41*Hypotheses!$E$71/12,0)</f>
        <v>-112746.049362675</v>
      </c>
      <c r="Y42" s="27" t="n">
        <f aca="false">IF(Y3&lt;=Hypotheses!$E$72,-X41*Hypotheses!$E$71/12,0)</f>
        <v>-110507.924921576</v>
      </c>
      <c r="Z42" s="27" t="n">
        <f aca="false">IF(Z3&lt;=Hypotheses!$E$72,-Y41*Hypotheses!$E$71/12,0)</f>
        <v>-108247.419236066</v>
      </c>
      <c r="AA42" s="27" t="n">
        <f aca="false">IF(AA3&lt;=Hypotheses!$E$72,-Z41*Hypotheses!$E$71/12,0)</f>
        <v>-105964.308493701</v>
      </c>
      <c r="AB42" s="27" t="n">
        <f aca="false">IF(AB3&lt;=Hypotheses!$E$72,-AA41*Hypotheses!$E$71/12,0)</f>
        <v>-103658.366643913</v>
      </c>
      <c r="AC42" s="27" t="n">
        <f aca="false">IF(AC3&lt;=Hypotheses!$E$72,-AB41*Hypotheses!$E$71/12,0)</f>
        <v>-101329.365375626</v>
      </c>
      <c r="AD42" s="27" t="n">
        <f aca="false">IF(AD3&lt;=Hypotheses!$E$72,-AC41*Hypotheses!$E$71/12,0)</f>
        <v>-98977.0740946569</v>
      </c>
      <c r="AE42" s="27" t="n">
        <f aca="false">IF(AE3&lt;=Hypotheses!$E$72,-AD41*Hypotheses!$E$71/12,0)</f>
        <v>-96601.2599008778</v>
      </c>
      <c r="AF42" s="27" t="n">
        <f aca="false">IF(AF3&lt;=Hypotheses!$E$72,-AE41*Hypotheses!$E$71/12,0)</f>
        <v>-94201.6875651609</v>
      </c>
      <c r="AG42" s="27" t="n">
        <f aca="false">IF(AG3&lt;=Hypotheses!$E$72,-AF41*Hypotheses!$E$71/12,0)</f>
        <v>-91778.1195060869</v>
      </c>
      <c r="AH42" s="27" t="n">
        <f aca="false">IF(AH3&lt;=Hypotheses!$E$72,-AG41*Hypotheses!$E$71/12,0)</f>
        <v>-89330.3157664222</v>
      </c>
      <c r="AI42" s="27" t="n">
        <f aca="false">IF(AI3&lt;=Hypotheses!$E$72,-AH41*Hypotheses!$E$71/12,0)</f>
        <v>-86858.0339893608</v>
      </c>
      <c r="AJ42" s="27" t="n">
        <f aca="false">IF(AJ3&lt;=Hypotheses!$E$72,-AI41*Hypotheses!$E$71/12,0)</f>
        <v>-84361.0293945287</v>
      </c>
      <c r="AK42" s="27" t="n">
        <f aca="false">IF(AK3&lt;=Hypotheses!$E$72,-AJ41*Hypotheses!$E$71/12,0)</f>
        <v>-81839.0547537484</v>
      </c>
      <c r="AL42" s="27" t="n">
        <f aca="false">IF(AL3&lt;=Hypotheses!$E$72,-AK41*Hypotheses!$E$71/12,0)</f>
        <v>-79291.8603665602</v>
      </c>
      <c r="AM42" s="27" t="n">
        <f aca="false">IF(AM3&lt;=Hypotheses!$E$72,-AL41*Hypotheses!$E$71/12,0)</f>
        <v>-76719.1940355002</v>
      </c>
      <c r="AN42" s="27" t="n">
        <f aca="false">IF(AN3&lt;=Hypotheses!$E$72,-AM41*Hypotheses!$E$71/12,0)</f>
        <v>-74120.8010411295</v>
      </c>
      <c r="AO42" s="27" t="n">
        <f aca="false">IF(AO3&lt;=Hypotheses!$E$72,-AN41*Hypotheses!$E$71/12,0)</f>
        <v>-71496.4241168152</v>
      </c>
      <c r="AP42" s="27" t="n">
        <f aca="false">IF(AP3&lt;=Hypotheses!$E$72,-AO41*Hypotheses!$E$71/12,0)</f>
        <v>-68845.8034232577</v>
      </c>
      <c r="AQ42" s="27" t="n">
        <f aca="false">IF(AQ3&lt;=Hypotheses!$E$72,-AP41*Hypotheses!$E$71/12,0)</f>
        <v>-66168.6765227646</v>
      </c>
      <c r="AR42" s="27" t="n">
        <f aca="false">IF(AR3&lt;=Hypotheses!$E$72,-AQ41*Hypotheses!$E$71/12,0)</f>
        <v>-63464.7783532666</v>
      </c>
      <c r="AS42" s="27" t="n">
        <f aca="false">IF(AS3&lt;=Hypotheses!$E$72,-AR41*Hypotheses!$E$71/12,0)</f>
        <v>-60733.8412020737</v>
      </c>
      <c r="AT42" s="27" t="n">
        <f aca="false">IF(AT3&lt;=Hypotheses!$E$72,-AS41*Hypotheses!$E$71/12,0)</f>
        <v>-57975.5946793688</v>
      </c>
      <c r="AU42" s="27" t="n">
        <f aca="false">IF(AU3&lt;=Hypotheses!$E$72,-AT41*Hypotheses!$E$71/12,0)</f>
        <v>-55189.7656914368</v>
      </c>
      <c r="AV42" s="27" t="n">
        <f aca="false">IF(AV3&lt;=Hypotheses!$E$72,-AU41*Hypotheses!$E$71/12,0)</f>
        <v>-52376.0784136255</v>
      </c>
      <c r="AW42" s="27" t="n">
        <f aca="false">IF(AW3&lt;=Hypotheses!$E$72,-AV41*Hypotheses!$E$71/12,0)</f>
        <v>-49534.2542630362</v>
      </c>
      <c r="AX42" s="27" t="n">
        <f aca="false">IF(AX3&lt;=Hypotheses!$E$72,-AW41*Hypotheses!$E$71/12,0)</f>
        <v>-46664.0118709409</v>
      </c>
      <c r="AY42" s="27" t="n">
        <f aca="false">IF(AY3&lt;=Hypotheses!$E$72,-AX41*Hypotheses!$E$71/12,0)</f>
        <v>-43765.0670549246</v>
      </c>
      <c r="AZ42" s="27" t="n">
        <f aca="false">IF(AZ3&lt;=Hypotheses!$E$72,-AY41*Hypotheses!$E$71/12,0)</f>
        <v>-40837.1327907482</v>
      </c>
      <c r="BA42" s="27" t="n">
        <f aca="false">IF(BA3&lt;=Hypotheses!$E$72,-AZ41*Hypotheses!$E$71/12,0)</f>
        <v>-37879.9191839301</v>
      </c>
      <c r="BB42" s="27" t="n">
        <f aca="false">IF(BB3&lt;=Hypotheses!$E$72,-BA41*Hypotheses!$E$71/12,0)</f>
        <v>-34893.1334410438</v>
      </c>
      <c r="BC42" s="27" t="n">
        <f aca="false">IF(BC3&lt;=Hypotheses!$E$72,-BB41*Hypotheses!$E$71/12,0)</f>
        <v>-31876.4798407286</v>
      </c>
      <c r="BD42" s="27" t="n">
        <f aca="false">IF(BD3&lt;=Hypotheses!$E$72,-BC41*Hypotheses!$E$71/12,0)</f>
        <v>-28829.6597044102</v>
      </c>
      <c r="BE42" s="27" t="n">
        <f aca="false">IF(BE3&lt;=Hypotheses!$E$72,-BD41*Hypotheses!$E$71/12,0)</f>
        <v>-25752.3713667287</v>
      </c>
      <c r="BF42" s="27" t="n">
        <f aca="false">IF(BF3&lt;=Hypotheses!$E$72,-BE41*Hypotheses!$E$71/12,0)</f>
        <v>-22644.3101456703</v>
      </c>
      <c r="BG42" s="27" t="n">
        <f aca="false">IF(BG3&lt;=Hypotheses!$E$72,-BF41*Hypotheses!$E$71/12,0)</f>
        <v>-19505.1683124014</v>
      </c>
      <c r="BH42" s="27" t="n">
        <f aca="false">IF(BH3&lt;=Hypotheses!$E$72,-BG41*Hypotheses!$E$71/12,0)</f>
        <v>-16334.6350607998</v>
      </c>
      <c r="BI42" s="27" t="n">
        <f aca="false">IF(BI3&lt;=Hypotheses!$E$72,-BH41*Hypotheses!$E$71/12,0)</f>
        <v>-13132.3964766821</v>
      </c>
      <c r="BJ42" s="27" t="n">
        <f aca="false">IF(BJ3&lt;=Hypotheses!$E$72,-BI41*Hypotheses!$E$71/12,0)</f>
        <v>-9898.1355067233</v>
      </c>
      <c r="BK42" s="27" t="n">
        <f aca="false">IF(BK3&lt;=Hypotheses!$E$72,-BJ41*Hypotheses!$E$71/12,0)</f>
        <v>-6631.5319270649</v>
      </c>
      <c r="BL42" s="27" t="n">
        <f aca="false">IF(BL3&lt;=Hypotheses!$E$72,-BK41*Hypotheses!$E$71/12,0)</f>
        <v>-3332.26231160991</v>
      </c>
    </row>
    <row r="43" customFormat="false" ht="15" hidden="false" customHeight="false" outlineLevel="0" collapsed="false">
      <c r="B43" s="3" t="s">
        <v>297</v>
      </c>
      <c r="C43" s="2" t="s">
        <v>141</v>
      </c>
      <c r="D43" s="28" t="n">
        <f aca="false">D29+D37</f>
        <v>-34320000</v>
      </c>
      <c r="E43" s="28" t="n">
        <f aca="false">E29+E36+E37+E38+E39+E40</f>
        <v>-3016414.74347256</v>
      </c>
      <c r="F43" s="28" t="n">
        <f aca="false">F29+F36+F37+F38+F39+F40</f>
        <v>-1892201.16399822</v>
      </c>
      <c r="G43" s="28" t="n">
        <f aca="false">G29+G36+G37+G38+G39+G40</f>
        <v>-1723631.01381049</v>
      </c>
      <c r="H43" s="28" t="n">
        <f aca="false">H29+H36+H37+H38+H39+H40</f>
        <v>-1552500.16274666</v>
      </c>
      <c r="I43" s="28" t="n">
        <f aca="false">I29+I36+I37+I38+I39+I40</f>
        <v>-1378808.61080673</v>
      </c>
      <c r="J43" s="28" t="n">
        <f aca="false">J29+J36+J37+J38+J39+J40</f>
        <v>-1202556.35799071</v>
      </c>
      <c r="K43" s="28" t="n">
        <f aca="false">K29+K36+K37+K38+K39+K40</f>
        <v>-1023743.4042986</v>
      </c>
      <c r="L43" s="28" t="n">
        <f aca="false">L29+L36+L37+L38+L39+L40</f>
        <v>-842369.749730386</v>
      </c>
      <c r="M43" s="28" t="n">
        <f aca="false">M29+M36+M37+M38+M39+M40</f>
        <v>-658435.394286081</v>
      </c>
      <c r="N43" s="28" t="n">
        <f aca="false">N29+N36+N37+N38+N39+N40</f>
        <v>-471940.337965682</v>
      </c>
      <c r="O43" s="28" t="n">
        <f aca="false">O29+O36+O37+O38+O39+O40</f>
        <v>-560434.580769184</v>
      </c>
      <c r="P43" s="28" t="n">
        <f aca="false">P29+P36+P37+P38+P39+P40</f>
        <v>-368818.122696594</v>
      </c>
      <c r="Q43" s="28" t="n">
        <f aca="false">Q29+Q36+Q37+Q38+Q39+Q40</f>
        <v>-674640.963747908</v>
      </c>
      <c r="R43" s="28" t="n">
        <f aca="false">R29+R36+R37+R38+R39+R40</f>
        <v>22096.8960768749</v>
      </c>
      <c r="S43" s="28" t="n">
        <f aca="false">S29+S36+S37+S38+S39+S40</f>
        <v>221395.456777748</v>
      </c>
      <c r="T43" s="28" t="n">
        <f aca="false">T29+T36+T37+T38+T39+T40</f>
        <v>423254.718354719</v>
      </c>
      <c r="U43" s="28" t="n">
        <f aca="false">U29+U36+U37+U38+U39+U40</f>
        <v>627674.680807788</v>
      </c>
      <c r="V43" s="28" t="n">
        <f aca="false">V29+V36+V37+V38+V39+V40</f>
        <v>834655.344136949</v>
      </c>
      <c r="W43" s="28" t="n">
        <f aca="false">W29+W36+W37+W38+W39+W40</f>
        <v>1194516.63950616</v>
      </c>
      <c r="X43" s="28" t="n">
        <f aca="false">X29+X36+X37+X38+X39+X40</f>
        <v>1287207.59695297</v>
      </c>
      <c r="Y43" s="28" t="n">
        <f aca="false">Y29+Y36+Y37+Y38+Y39+Y40</f>
        <v>1380805.46929339</v>
      </c>
      <c r="Z43" s="28" t="n">
        <f aca="false">Z29+Z36+Z37+Z38+Z39+Z40</f>
        <v>1475310.25652744</v>
      </c>
      <c r="AA43" s="28" t="n">
        <f aca="false">AA29+AA36+AA37+AA38+AA39+AA40</f>
        <v>1661362.9161019</v>
      </c>
      <c r="AB43" s="28" t="n">
        <f aca="false">AB29+AB36+AB37+AB38+AB39+AB40</f>
        <v>1690384.19269765</v>
      </c>
      <c r="AC43" s="28" t="n">
        <f aca="false">AC29+AC36+AC37+AC38+AC39+AC40</f>
        <v>1219405.46929339</v>
      </c>
      <c r="AD43" s="28" t="n">
        <f aca="false">AD29+AD36+AD37+AD38+AD39+AD40</f>
        <v>1748426.74588914</v>
      </c>
      <c r="AE43" s="28" t="n">
        <f aca="false">AE29+AE36+AE37+AE38+AE39+AE40</f>
        <v>1777448.02248488</v>
      </c>
      <c r="AF43" s="28" t="n">
        <f aca="false">AF29+AF36+AF37+AF38+AF39+AF40</f>
        <v>1806469.29908063</v>
      </c>
      <c r="AG43" s="28" t="n">
        <f aca="false">AG29+AG36+AG37+AG38+AG39+AG40</f>
        <v>1835490.57567637</v>
      </c>
      <c r="AH43" s="28" t="n">
        <f aca="false">AH29+AH36+AH37+AH38+AH39+AH40</f>
        <v>469379.937378498</v>
      </c>
      <c r="AI43" s="28" t="n">
        <f aca="false">AI29+AI36+AI37+AI38+AI39+AI40</f>
        <v>1811564.51184659</v>
      </c>
      <c r="AJ43" s="28" t="n">
        <f aca="false">AJ29+AJ36+AJ37+AJ38+AJ39+AJ40</f>
        <v>1915138.4480168</v>
      </c>
      <c r="AK43" s="28" t="n">
        <f aca="false">AK29+AK36+AK37+AK38+AK39+AK40</f>
        <v>2019619.29908063</v>
      </c>
      <c r="AL43" s="28" t="n">
        <f aca="false">AL29+AL36+AL37+AL38+AL39+AL40</f>
        <v>2125007.06503807</v>
      </c>
      <c r="AM43" s="28" t="n">
        <f aca="false">AM29+AM36+AM37+AM38+AM39+AM40</f>
        <v>2231301.74588914</v>
      </c>
      <c r="AN43" s="28" t="n">
        <f aca="false">AN29+AN36+AN37+AN38+AN39+AN40</f>
        <v>2338503.34163382</v>
      </c>
      <c r="AO43" s="28" t="n">
        <f aca="false">AO29+AO36+AO37+AO38+AO39+AO40</f>
        <v>-2509052.58529725</v>
      </c>
      <c r="AP43" s="28" t="n">
        <f aca="false">AP29+AP36+AP37+AP38+AP39+AP40</f>
        <v>-3966189.38886264</v>
      </c>
      <c r="AQ43" s="28" t="n">
        <f aca="false">AQ29+AQ36+AQ37+AQ38+AQ39+AQ40</f>
        <v>2143732.9515629</v>
      </c>
      <c r="AR43" s="28" t="n">
        <f aca="false">AR29+AR36+AR37+AR38+AR39+AR40</f>
        <v>2254562.20688205</v>
      </c>
      <c r="AS43" s="28" t="n">
        <f aca="false">AS29+AS36+AS37+AS38+AS39+AS40</f>
        <v>2366298.37709481</v>
      </c>
      <c r="AT43" s="28" t="n">
        <f aca="false">AT29+AT36+AT37+AT38+AT39+AT40</f>
        <v>2478941.4622012</v>
      </c>
      <c r="AU43" s="28" t="n">
        <f aca="false">AU29+AU36+AU37+AU38+AU39+AU40</f>
        <v>2592491.4622012</v>
      </c>
      <c r="AV43" s="28" t="n">
        <f aca="false">AV29+AV36+AV37+AV38+AV39+AV40</f>
        <v>2706948.37709481</v>
      </c>
      <c r="AW43" s="28" t="n">
        <f aca="false">AW29+AW36+AW37+AW38+AW39+AW40</f>
        <v>2822312.20688204</v>
      </c>
      <c r="AX43" s="28" t="n">
        <f aca="false">AX29+AX36+AX37+AX38+AX39+AX40</f>
        <v>2938582.9515629</v>
      </c>
      <c r="AY43" s="28" t="n">
        <f aca="false">AY29+AY36+AY37+AY38+AY39+AY40</f>
        <v>3055760.61113737</v>
      </c>
      <c r="AZ43" s="28" t="n">
        <f aca="false">AZ29+AZ36+AZ37+AZ38+AZ39+AZ40</f>
        <v>3173845.18560545</v>
      </c>
      <c r="BA43" s="28" t="n">
        <f aca="false">BA29+BA36+BA37+BA38+BA39+BA40</f>
        <v>-6136325.00898018</v>
      </c>
      <c r="BB43" s="28" t="n">
        <f aca="false">BB29+BB36+BB37+BB38+BB39+BB40</f>
        <v>3562293.58986077</v>
      </c>
      <c r="BC43" s="28" t="n">
        <f aca="false">BC29+BC36+BC37+BC38+BC39+BC40</f>
        <v>3645031.08986077</v>
      </c>
      <c r="BD43" s="28" t="n">
        <f aca="false">BD29+BD36+BD37+BD38+BD39+BD40</f>
        <v>3727768.58986077</v>
      </c>
      <c r="BE43" s="28" t="n">
        <f aca="false">BE29+BE36+BE37+BE38+BE39+BE40</f>
        <v>3810506.08986077</v>
      </c>
      <c r="BF43" s="28" t="n">
        <f aca="false">BF29+BF36+BF37+BF38+BF39+BF40</f>
        <v>3893243.58986077</v>
      </c>
      <c r="BG43" s="28" t="n">
        <f aca="false">BG29+BG36+BG37+BG38+BG39+BG40</f>
        <v>3975981.08986077</v>
      </c>
      <c r="BH43" s="28" t="n">
        <f aca="false">BH29+BH36+BH37+BH38+BH39+BH40</f>
        <v>4058718.58986077</v>
      </c>
      <c r="BI43" s="28" t="n">
        <f aca="false">BI29+BI36+BI37+BI38+BI39+BI40</f>
        <v>4141456.08986077</v>
      </c>
      <c r="BJ43" s="28" t="n">
        <f aca="false">BJ29+BJ36+BJ37+BJ38+BJ39+BJ40</f>
        <v>4224193.58986077</v>
      </c>
      <c r="BK43" s="28" t="n">
        <f aca="false">BK29+BK36+BK37+BK38+BK39+BK40</f>
        <v>4306931.08986077</v>
      </c>
      <c r="BL43" s="28" t="n">
        <f aca="false">BL29+BL36+BL37+BL38+BL39+BL40</f>
        <v>4389668.58986077</v>
      </c>
    </row>
    <row r="44" customFormat="false" ht="15" hidden="false" customHeight="false" outlineLevel="0" collapsed="false">
      <c r="B44" s="3" t="s">
        <v>298</v>
      </c>
      <c r="C44" s="2" t="s">
        <v>141</v>
      </c>
      <c r="D44" s="28" t="n">
        <f aca="false">D43</f>
        <v>-34320000</v>
      </c>
      <c r="E44" s="28" t="n">
        <f aca="false">D44+E43</f>
        <v>-37336414.7434726</v>
      </c>
      <c r="F44" s="28" t="n">
        <f aca="false">E44+F43</f>
        <v>-39228615.9074708</v>
      </c>
      <c r="G44" s="28" t="n">
        <f aca="false">F44+G43</f>
        <v>-40952246.9212813</v>
      </c>
      <c r="H44" s="28" t="n">
        <f aca="false">G44+H43</f>
        <v>-42504747.0840279</v>
      </c>
      <c r="I44" s="28" t="n">
        <f aca="false">H44+I43</f>
        <v>-43883555.6948347</v>
      </c>
      <c r="J44" s="28" t="n">
        <f aca="false">I44+J43</f>
        <v>-45086112.0528254</v>
      </c>
      <c r="K44" s="28" t="n">
        <f aca="false">J44+K43</f>
        <v>-46109855.457124</v>
      </c>
      <c r="L44" s="28" t="n">
        <f aca="false">K44+L43</f>
        <v>-46952225.2068544</v>
      </c>
      <c r="M44" s="28" t="n">
        <f aca="false">L44+M43</f>
        <v>-47610660.6011404</v>
      </c>
      <c r="N44" s="28" t="n">
        <f aca="false">M44+N43</f>
        <v>-48082600.9391061</v>
      </c>
      <c r="O44" s="28" t="n">
        <f aca="false">N44+O43</f>
        <v>-48643035.5198753</v>
      </c>
      <c r="P44" s="28" t="n">
        <f aca="false">O44+P43</f>
        <v>-49011853.6425719</v>
      </c>
      <c r="Q44" s="28" t="n">
        <f aca="false">P44+Q43</f>
        <v>-49686494.6063198</v>
      </c>
      <c r="R44" s="28" t="n">
        <f aca="false">Q44+R43</f>
        <v>-49664397.7102429</v>
      </c>
      <c r="S44" s="28" t="n">
        <f aca="false">R44+S43</f>
        <v>-49443002.2534652</v>
      </c>
      <c r="T44" s="28" t="n">
        <f aca="false">S44+T43</f>
        <v>-49019747.5351105</v>
      </c>
      <c r="U44" s="28" t="n">
        <f aca="false">T44+U43</f>
        <v>-48392072.8543027</v>
      </c>
      <c r="V44" s="28" t="n">
        <f aca="false">U44+V43</f>
        <v>-47557417.5101657</v>
      </c>
      <c r="W44" s="28" t="n">
        <f aca="false">V44+W43</f>
        <v>-46362900.8706596</v>
      </c>
      <c r="X44" s="28" t="n">
        <f aca="false">W44+X43</f>
        <v>-45075693.2737066</v>
      </c>
      <c r="Y44" s="28" t="n">
        <f aca="false">X44+Y43</f>
        <v>-43694887.8044132</v>
      </c>
      <c r="Z44" s="28" t="n">
        <f aca="false">Y44+Z43</f>
        <v>-42219577.5478858</v>
      </c>
      <c r="AA44" s="28" t="n">
        <f aca="false">Z44+AA43</f>
        <v>-40558214.6317839</v>
      </c>
      <c r="AB44" s="28" t="n">
        <f aca="false">AA44+AB43</f>
        <v>-38867830.4390862</v>
      </c>
      <c r="AC44" s="28" t="n">
        <f aca="false">AB44+AC43</f>
        <v>-37648424.9697928</v>
      </c>
      <c r="AD44" s="28" t="n">
        <f aca="false">AC44+AD43</f>
        <v>-35899998.2239037</v>
      </c>
      <c r="AE44" s="28" t="n">
        <f aca="false">AD44+AE43</f>
        <v>-34122550.2014188</v>
      </c>
      <c r="AF44" s="28" t="n">
        <f aca="false">AE44+AF43</f>
        <v>-32316080.9023382</v>
      </c>
      <c r="AG44" s="28" t="n">
        <f aca="false">AF44+AG43</f>
        <v>-30480590.3266618</v>
      </c>
      <c r="AH44" s="28" t="n">
        <f aca="false">AG44+AH43</f>
        <v>-30011210.3892833</v>
      </c>
      <c r="AI44" s="28" t="n">
        <f aca="false">AH44+AI43</f>
        <v>-28199645.8774367</v>
      </c>
      <c r="AJ44" s="28" t="n">
        <f aca="false">AI44+AJ43</f>
        <v>-26284507.4294199</v>
      </c>
      <c r="AK44" s="28" t="n">
        <f aca="false">AJ44+AK43</f>
        <v>-24264888.1303393</v>
      </c>
      <c r="AL44" s="28" t="n">
        <f aca="false">AK44+AL43</f>
        <v>-22139881.0653012</v>
      </c>
      <c r="AM44" s="28" t="n">
        <f aca="false">AL44+AM43</f>
        <v>-19908579.3194121</v>
      </c>
      <c r="AN44" s="28" t="n">
        <f aca="false">AM44+AN43</f>
        <v>-17570075.9777783</v>
      </c>
      <c r="AO44" s="28" t="n">
        <f aca="false">AN44+AO43</f>
        <v>-20079128.5630755</v>
      </c>
      <c r="AP44" s="28" t="n">
        <f aca="false">AO44+AP43</f>
        <v>-24045317.9519382</v>
      </c>
      <c r="AQ44" s="28" t="n">
        <f aca="false">AP44+AQ43</f>
        <v>-21901585.0003753</v>
      </c>
      <c r="AR44" s="28" t="n">
        <f aca="false">AQ44+AR43</f>
        <v>-19647022.7934932</v>
      </c>
      <c r="AS44" s="28" t="n">
        <f aca="false">AR44+AS43</f>
        <v>-17280724.4163984</v>
      </c>
      <c r="AT44" s="28" t="n">
        <f aca="false">AS44+AT43</f>
        <v>-14801782.9541972</v>
      </c>
      <c r="AU44" s="28" t="n">
        <f aca="false">AT44+AU43</f>
        <v>-12209291.491996</v>
      </c>
      <c r="AV44" s="28" t="n">
        <f aca="false">AU44+AV43</f>
        <v>-9502343.1149012</v>
      </c>
      <c r="AW44" s="28" t="n">
        <f aca="false">AV44+AW43</f>
        <v>-6680030.90801916</v>
      </c>
      <c r="AX44" s="28" t="n">
        <f aca="false">AW44+AX43</f>
        <v>-3741447.95645626</v>
      </c>
      <c r="AY44" s="28" t="n">
        <f aca="false">AX44+AY43</f>
        <v>-685687.345318893</v>
      </c>
      <c r="AZ44" s="28" t="n">
        <f aca="false">AY44+AZ43</f>
        <v>2488157.84028656</v>
      </c>
      <c r="BA44" s="28" t="n">
        <f aca="false">AZ44+BA43</f>
        <v>-3648167.16869362</v>
      </c>
      <c r="BB44" s="28" t="n">
        <f aca="false">BA44+BB43</f>
        <v>-85873.578832848</v>
      </c>
      <c r="BC44" s="28" t="n">
        <f aca="false">BB44+BC43</f>
        <v>3559157.51102792</v>
      </c>
      <c r="BD44" s="28" t="n">
        <f aca="false">BC44+BD43</f>
        <v>7286926.10088869</v>
      </c>
      <c r="BE44" s="28" t="n">
        <f aca="false">BD44+BE43</f>
        <v>11097432.1907495</v>
      </c>
      <c r="BF44" s="28" t="n">
        <f aca="false">BE44+BF43</f>
        <v>14990675.7806102</v>
      </c>
      <c r="BG44" s="28" t="n">
        <f aca="false">BF44+BG43</f>
        <v>18966656.870471</v>
      </c>
      <c r="BH44" s="28" t="n">
        <f aca="false">BG44+BH43</f>
        <v>23025375.4603318</v>
      </c>
      <c r="BI44" s="28" t="n">
        <f aca="false">BH44+BI43</f>
        <v>27166831.5501925</v>
      </c>
      <c r="BJ44" s="28" t="n">
        <f aca="false">BI44+BJ43</f>
        <v>31391025.1400533</v>
      </c>
      <c r="BK44" s="28" t="n">
        <f aca="false">BJ44+BK43</f>
        <v>35697956.2299141</v>
      </c>
      <c r="BL44" s="28" t="n">
        <f aca="false">BK44+BL43</f>
        <v>40087624.8197748</v>
      </c>
    </row>
    <row r="45" customFormat="false" ht="15" hidden="false" customHeight="false" outlineLevel="0" collapsed="false">
      <c r="B45" s="2" t="s">
        <v>299</v>
      </c>
      <c r="C45" s="2" t="s">
        <v>141</v>
      </c>
      <c r="D45" s="27" t="n">
        <f aca="false">Epargne!$G$130</f>
        <v>24366258.5</v>
      </c>
      <c r="E45" s="27" t="n">
        <f aca="false">0</f>
        <v>0</v>
      </c>
      <c r="F45" s="27" t="n">
        <f aca="false">0</f>
        <v>0</v>
      </c>
      <c r="G45" s="27" t="n">
        <f aca="false">0</f>
        <v>0</v>
      </c>
      <c r="H45" s="27" t="n">
        <f aca="false">0</f>
        <v>0</v>
      </c>
      <c r="I45" s="27" t="n">
        <f aca="false">0</f>
        <v>0</v>
      </c>
      <c r="J45" s="27" t="n">
        <f aca="false">0</f>
        <v>0</v>
      </c>
      <c r="K45" s="27" t="n">
        <f aca="false">0</f>
        <v>0</v>
      </c>
      <c r="L45" s="27" t="n">
        <f aca="false">0</f>
        <v>0</v>
      </c>
      <c r="M45" s="27" t="n">
        <f aca="false">0</f>
        <v>0</v>
      </c>
      <c r="N45" s="27" t="n">
        <f aca="false">0</f>
        <v>0</v>
      </c>
      <c r="O45" s="27" t="n">
        <f aca="false">0</f>
        <v>0</v>
      </c>
      <c r="P45" s="27" t="n">
        <f aca="false">0</f>
        <v>0</v>
      </c>
      <c r="Q45" s="27" t="n">
        <f aca="false">0</f>
        <v>0</v>
      </c>
      <c r="R45" s="27" t="n">
        <f aca="false">0</f>
        <v>0</v>
      </c>
      <c r="S45" s="27" t="n">
        <f aca="false">0</f>
        <v>0</v>
      </c>
      <c r="T45" s="27" t="n">
        <f aca="false">0</f>
        <v>0</v>
      </c>
      <c r="U45" s="27" t="n">
        <f aca="false">0</f>
        <v>0</v>
      </c>
      <c r="V45" s="27" t="n">
        <f aca="false">0</f>
        <v>0</v>
      </c>
      <c r="W45" s="27" t="n">
        <f aca="false">0</f>
        <v>0</v>
      </c>
      <c r="X45" s="27" t="n">
        <f aca="false">0</f>
        <v>0</v>
      </c>
      <c r="Y45" s="27" t="n">
        <f aca="false">0</f>
        <v>0</v>
      </c>
      <c r="Z45" s="27" t="n">
        <f aca="false">0</f>
        <v>0</v>
      </c>
      <c r="AA45" s="27" t="n">
        <f aca="false">0</f>
        <v>0</v>
      </c>
      <c r="AB45" s="27" t="n">
        <f aca="false">0</f>
        <v>0</v>
      </c>
      <c r="AC45" s="27" t="n">
        <f aca="false">0</f>
        <v>0</v>
      </c>
      <c r="AD45" s="27" t="n">
        <f aca="false">0</f>
        <v>0</v>
      </c>
      <c r="AE45" s="27" t="n">
        <f aca="false">0</f>
        <v>0</v>
      </c>
      <c r="AF45" s="27" t="n">
        <f aca="false">0</f>
        <v>0</v>
      </c>
      <c r="AG45" s="27" t="n">
        <f aca="false">0</f>
        <v>0</v>
      </c>
      <c r="AH45" s="27" t="n">
        <f aca="false">0</f>
        <v>0</v>
      </c>
      <c r="AI45" s="27" t="n">
        <f aca="false">0</f>
        <v>0</v>
      </c>
      <c r="AJ45" s="27" t="n">
        <f aca="false">0</f>
        <v>0</v>
      </c>
      <c r="AK45" s="27" t="n">
        <f aca="false">0</f>
        <v>0</v>
      </c>
      <c r="AL45" s="27" t="n">
        <f aca="false">0</f>
        <v>0</v>
      </c>
      <c r="AM45" s="27" t="n">
        <f aca="false">0</f>
        <v>0</v>
      </c>
      <c r="AN45" s="27" t="n">
        <f aca="false">0</f>
        <v>0</v>
      </c>
      <c r="AO45" s="27" t="n">
        <f aca="false">0</f>
        <v>0</v>
      </c>
      <c r="AP45" s="27" t="n">
        <f aca="false">0</f>
        <v>0</v>
      </c>
      <c r="AQ45" s="27" t="n">
        <f aca="false">0</f>
        <v>0</v>
      </c>
      <c r="AR45" s="27" t="n">
        <f aca="false">0</f>
        <v>0</v>
      </c>
      <c r="AS45" s="27" t="n">
        <f aca="false">0</f>
        <v>0</v>
      </c>
      <c r="AT45" s="27" t="n">
        <f aca="false">0</f>
        <v>0</v>
      </c>
      <c r="AU45" s="27" t="n">
        <f aca="false">0</f>
        <v>0</v>
      </c>
      <c r="AV45" s="27" t="n">
        <f aca="false">0</f>
        <v>0</v>
      </c>
      <c r="AW45" s="27" t="n">
        <f aca="false">0</f>
        <v>0</v>
      </c>
      <c r="AX45" s="27" t="n">
        <f aca="false">0</f>
        <v>0</v>
      </c>
      <c r="AY45" s="27" t="n">
        <f aca="false">0</f>
        <v>0</v>
      </c>
      <c r="AZ45" s="27" t="n">
        <f aca="false">0</f>
        <v>0</v>
      </c>
      <c r="BA45" s="27" t="n">
        <f aca="false">0</f>
        <v>0</v>
      </c>
      <c r="BB45" s="27" t="n">
        <f aca="false">0</f>
        <v>0</v>
      </c>
      <c r="BC45" s="27" t="n">
        <f aca="false">0</f>
        <v>0</v>
      </c>
      <c r="BD45" s="27" t="n">
        <f aca="false">0</f>
        <v>0</v>
      </c>
      <c r="BE45" s="27" t="n">
        <f aca="false">0</f>
        <v>0</v>
      </c>
      <c r="BF45" s="27" t="n">
        <f aca="false">0</f>
        <v>0</v>
      </c>
      <c r="BG45" s="27" t="n">
        <f aca="false">0</f>
        <v>0</v>
      </c>
      <c r="BH45" s="27" t="n">
        <f aca="false">0</f>
        <v>0</v>
      </c>
      <c r="BI45" s="27" t="n">
        <f aca="false">0</f>
        <v>0</v>
      </c>
      <c r="BJ45" s="27" t="n">
        <f aca="false">0</f>
        <v>0</v>
      </c>
      <c r="BK45" s="27" t="n">
        <f aca="false">0</f>
        <v>0</v>
      </c>
      <c r="BL45" s="27" t="n">
        <f aca="false">0</f>
        <v>0</v>
      </c>
    </row>
    <row r="46" customFormat="false" ht="15" hidden="false" customHeight="false" outlineLevel="0" collapsed="false">
      <c r="B46" s="3" t="s">
        <v>300</v>
      </c>
      <c r="C46" s="2" t="s">
        <v>141</v>
      </c>
      <c r="D46" s="28" t="n">
        <f aca="false">D44+D45</f>
        <v>-9953741.5</v>
      </c>
      <c r="E46" s="28" t="n">
        <f aca="false">D46+E43</f>
        <v>-12970156.2434726</v>
      </c>
      <c r="F46" s="28" t="n">
        <f aca="false">E46+F43</f>
        <v>-14862357.4074708</v>
      </c>
      <c r="G46" s="28" t="n">
        <f aca="false">F46+G43</f>
        <v>-16585988.4212813</v>
      </c>
      <c r="H46" s="28" t="n">
        <f aca="false">G46+H43</f>
        <v>-18138488.5840279</v>
      </c>
      <c r="I46" s="28" t="n">
        <f aca="false">H46+I43</f>
        <v>-19517297.1948347</v>
      </c>
      <c r="J46" s="28" t="n">
        <f aca="false">I46+J43</f>
        <v>-20719853.5528254</v>
      </c>
      <c r="K46" s="28" t="n">
        <f aca="false">J46+K43</f>
        <v>-21743596.957124</v>
      </c>
      <c r="L46" s="28" t="n">
        <f aca="false">K46+L43</f>
        <v>-22585966.7068544</v>
      </c>
      <c r="M46" s="28" t="n">
        <f aca="false">L46+M43</f>
        <v>-23244402.1011404</v>
      </c>
      <c r="N46" s="28" t="n">
        <f aca="false">M46+N43</f>
        <v>-23716342.4391061</v>
      </c>
      <c r="O46" s="28" t="n">
        <f aca="false">N46+O43</f>
        <v>-24276777.0198753</v>
      </c>
      <c r="P46" s="28" t="n">
        <f aca="false">O46+P43</f>
        <v>-24645595.1425719</v>
      </c>
      <c r="Q46" s="28" t="n">
        <f aca="false">P46+Q43</f>
        <v>-25320236.1063198</v>
      </c>
      <c r="R46" s="28" t="n">
        <f aca="false">Q46+R43</f>
        <v>-25298139.2102429</v>
      </c>
      <c r="S46" s="28" t="n">
        <f aca="false">R46+S43</f>
        <v>-25076743.7534652</v>
      </c>
      <c r="T46" s="28" t="n">
        <f aca="false">S46+T43</f>
        <v>-24653489.0351105</v>
      </c>
      <c r="U46" s="28" t="n">
        <f aca="false">T46+U43</f>
        <v>-24025814.3543027</v>
      </c>
      <c r="V46" s="28" t="n">
        <f aca="false">U46+V43</f>
        <v>-23191159.0101657</v>
      </c>
      <c r="W46" s="28" t="n">
        <f aca="false">V46+W43</f>
        <v>-21996642.3706596</v>
      </c>
      <c r="X46" s="28" t="n">
        <f aca="false">W46+X43</f>
        <v>-20709434.7737066</v>
      </c>
      <c r="Y46" s="28" t="n">
        <f aca="false">X46+Y43</f>
        <v>-19328629.3044132</v>
      </c>
      <c r="Z46" s="28" t="n">
        <f aca="false">Y46+Z43</f>
        <v>-17853319.0478858</v>
      </c>
      <c r="AA46" s="28" t="n">
        <f aca="false">Z46+AA43</f>
        <v>-16191956.1317839</v>
      </c>
      <c r="AB46" s="28" t="n">
        <f aca="false">AA46+AB43</f>
        <v>-14501571.9390862</v>
      </c>
      <c r="AC46" s="28" t="n">
        <f aca="false">AB46+AC43</f>
        <v>-13282166.4697928</v>
      </c>
      <c r="AD46" s="28" t="n">
        <f aca="false">AC46+AD43</f>
        <v>-11533739.7239037</v>
      </c>
      <c r="AE46" s="28" t="n">
        <f aca="false">AD46+AE43</f>
        <v>-9756291.70141879</v>
      </c>
      <c r="AF46" s="28" t="n">
        <f aca="false">AE46+AF43</f>
        <v>-7949822.40233816</v>
      </c>
      <c r="AG46" s="28" t="n">
        <f aca="false">AF46+AG43</f>
        <v>-6114331.82666179</v>
      </c>
      <c r="AH46" s="28" t="n">
        <f aca="false">AG46+AH43</f>
        <v>-5644951.8892833</v>
      </c>
      <c r="AI46" s="28" t="n">
        <f aca="false">AH46+AI43</f>
        <v>-3833387.37743671</v>
      </c>
      <c r="AJ46" s="28" t="n">
        <f aca="false">AI46+AJ43</f>
        <v>-1918248.92941991</v>
      </c>
      <c r="AK46" s="28" t="n">
        <f aca="false">AJ46+AK43</f>
        <v>101370.369660717</v>
      </c>
      <c r="AL46" s="28" t="n">
        <f aca="false">AK46+AL43</f>
        <v>2226377.43469879</v>
      </c>
      <c r="AM46" s="28" t="n">
        <f aca="false">AL46+AM43</f>
        <v>4457679.18058793</v>
      </c>
      <c r="AN46" s="28" t="n">
        <f aca="false">AM46+AN43</f>
        <v>6796182.52222175</v>
      </c>
      <c r="AO46" s="28" t="n">
        <f aca="false">AN46+AO43</f>
        <v>4287129.9369245</v>
      </c>
      <c r="AP46" s="28" t="n">
        <f aca="false">AO46+AP43</f>
        <v>320940.54806186</v>
      </c>
      <c r="AQ46" s="28" t="n">
        <f aca="false">AP46+AQ43</f>
        <v>2464673.49962476</v>
      </c>
      <c r="AR46" s="28" t="n">
        <f aca="false">AQ46+AR43</f>
        <v>4719235.70650681</v>
      </c>
      <c r="AS46" s="28" t="n">
        <f aca="false">AR46+AS43</f>
        <v>7085534.08360161</v>
      </c>
      <c r="AT46" s="28" t="n">
        <f aca="false">AS46+AT43</f>
        <v>9564475.54580281</v>
      </c>
      <c r="AU46" s="28" t="n">
        <f aca="false">AT46+AU43</f>
        <v>12156967.008004</v>
      </c>
      <c r="AV46" s="28" t="n">
        <f aca="false">AU46+AV43</f>
        <v>14863915.3850988</v>
      </c>
      <c r="AW46" s="28" t="n">
        <f aca="false">AV46+AW43</f>
        <v>17686227.5919809</v>
      </c>
      <c r="AX46" s="28" t="n">
        <f aca="false">AW46+AX43</f>
        <v>20624810.5435438</v>
      </c>
      <c r="AY46" s="28" t="n">
        <f aca="false">AX46+AY43</f>
        <v>23680571.1546811</v>
      </c>
      <c r="AZ46" s="28" t="n">
        <f aca="false">AY46+AZ43</f>
        <v>26854416.3402866</v>
      </c>
      <c r="BA46" s="28" t="n">
        <f aca="false">AZ46+BA43</f>
        <v>20718091.3313064</v>
      </c>
      <c r="BB46" s="28" t="n">
        <f aca="false">BA46+BB43</f>
        <v>24280384.9211672</v>
      </c>
      <c r="BC46" s="28" t="n">
        <f aca="false">BB46+BC43</f>
        <v>27925416.0110279</v>
      </c>
      <c r="BD46" s="28" t="n">
        <f aca="false">BC46+BD43</f>
        <v>31653184.6008887</v>
      </c>
      <c r="BE46" s="28" t="n">
        <f aca="false">BD46+BE43</f>
        <v>35463690.6907495</v>
      </c>
      <c r="BF46" s="28" t="n">
        <f aca="false">BE46+BF43</f>
        <v>39356934.2806102</v>
      </c>
      <c r="BG46" s="28" t="n">
        <f aca="false">BF46+BG43</f>
        <v>43332915.370471</v>
      </c>
      <c r="BH46" s="28" t="n">
        <f aca="false">BG46+BH43</f>
        <v>47391633.9603318</v>
      </c>
      <c r="BI46" s="28" t="n">
        <f aca="false">BH46+BI43</f>
        <v>51533090.0501925</v>
      </c>
      <c r="BJ46" s="28" t="n">
        <f aca="false">BI46+BJ43</f>
        <v>55757283.6400533</v>
      </c>
      <c r="BK46" s="28" t="n">
        <f aca="false">BJ46+BK43</f>
        <v>60064214.7299141</v>
      </c>
      <c r="BL46" s="28" t="n">
        <f aca="false">BK46+BL43</f>
        <v>64453883.3197748</v>
      </c>
    </row>
    <row r="48" customFormat="false" ht="15" hidden="false" customHeight="false" outlineLevel="0" collapsed="false">
      <c r="B48" s="9" t="s">
        <v>301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customFormat="false" ht="15" hidden="false" customHeight="false" outlineLevel="0" collapsed="false">
      <c r="B49" s="3" t="s">
        <v>302</v>
      </c>
      <c r="E49" s="3" t="n">
        <v>1</v>
      </c>
      <c r="F49" s="3" t="n">
        <v>2</v>
      </c>
      <c r="G49" s="3" t="n">
        <v>3</v>
      </c>
      <c r="H49" s="3" t="n">
        <v>4</v>
      </c>
      <c r="I49" s="3" t="n">
        <v>5</v>
      </c>
    </row>
    <row r="50" customFormat="false" ht="15" hidden="false" customHeight="false" outlineLevel="0" collapsed="false">
      <c r="B50" s="2" t="s">
        <v>35</v>
      </c>
      <c r="E50" s="27" t="n">
        <f aca="false">AVERAGEIF($E$5:$BL$5,E$49,$E$9:$BL$9)</f>
        <v>137.647058823529</v>
      </c>
      <c r="F50" s="27" t="n">
        <f aca="false">AVERAGEIF($E$5:$BL$5,F$49,$E$9:$BL$9)</f>
        <v>289.852941176471</v>
      </c>
      <c r="G50" s="27" t="n">
        <f aca="false">AVERAGEIF($E$5:$BL$5,G$49,$E$9:$BL$9)</f>
        <v>352.083333333333</v>
      </c>
      <c r="H50" s="27" t="n">
        <f aca="false">AVERAGEIF($E$5:$BL$5,H$49,$E$9:$BL$9)</f>
        <v>422.5</v>
      </c>
      <c r="I50" s="27" t="n">
        <f aca="false">AVERAGEIF($E$5:$BL$5,I$49,$E$9:$BL$9)</f>
        <v>482.5</v>
      </c>
    </row>
    <row r="51" customFormat="false" ht="15" hidden="false" customHeight="false" outlineLevel="0" collapsed="false">
      <c r="B51" s="3" t="s">
        <v>36</v>
      </c>
      <c r="E51" s="28" t="n">
        <f aca="false">SUMIF($E$5:$BL$5,E$49,$E$18:$BL$18)</f>
        <v>31290593.2415519</v>
      </c>
      <c r="F51" s="28" t="n">
        <f aca="false">SUMIF($E$5:$BL$5,F$49,$E$18:$BL$18)</f>
        <v>70171917.3967459</v>
      </c>
      <c r="G51" s="28" t="n">
        <f aca="false">SUMIF($E$5:$BL$5,G$49,$E$18:$BL$18)</f>
        <v>90806659.5744681</v>
      </c>
      <c r="H51" s="28" t="n">
        <f aca="false">SUMIF($E$5:$BL$5,H$49,$E$18:$BL$18)</f>
        <v>115631957.446809</v>
      </c>
      <c r="I51" s="28" t="n">
        <f aca="false">SUMIF($E$5:$BL$5,I$49,$E$18:$BL$18)</f>
        <v>135486000</v>
      </c>
    </row>
    <row r="52" customFormat="false" ht="15" hidden="false" customHeight="false" outlineLevel="0" collapsed="false">
      <c r="B52" s="2" t="s">
        <v>303</v>
      </c>
      <c r="E52" s="27" t="n">
        <f aca="false">SUMIF($E$5:$BL$5,E$49,$E$19:$BL$19)</f>
        <v>-9770188.23529412</v>
      </c>
      <c r="F52" s="27" t="n">
        <f aca="false">SUMIF($E$5:$BL$5,F$49,$E$19:$BL$19)</f>
        <v>-20573761.7647059</v>
      </c>
      <c r="G52" s="27" t="n">
        <f aca="false">SUMIF($E$5:$BL$5,G$49,$E$19:$BL$19)</f>
        <v>-24990875</v>
      </c>
      <c r="H52" s="27" t="n">
        <f aca="false">SUMIF($E$5:$BL$5,H$49,$E$19:$BL$19)</f>
        <v>-29989050</v>
      </c>
      <c r="I52" s="27" t="n">
        <f aca="false">SUMIF($E$5:$BL$5,I$49,$E$19:$BL$19)</f>
        <v>-34247850</v>
      </c>
    </row>
    <row r="53" customFormat="false" ht="15" hidden="false" customHeight="false" outlineLevel="0" collapsed="false">
      <c r="B53" s="2" t="s">
        <v>304</v>
      </c>
      <c r="E53" s="27" t="n">
        <f aca="false">SUMIF($E$5:$BL$5,E$49,$E$21:$BL$21)</f>
        <v>-221479.974968711</v>
      </c>
      <c r="F53" s="27" t="n">
        <f aca="false">SUMIF($E$5:$BL$5,F$49,$E$21:$BL$21)</f>
        <v>-1238227.4718398</v>
      </c>
      <c r="G53" s="27" t="n">
        <f aca="false">SUMIF($E$5:$BL$5,G$49,$E$21:$BL$21)</f>
        <v>-2508111.70212766</v>
      </c>
      <c r="H53" s="27" t="n">
        <f aca="false">SUMIF($E$5:$BL$5,H$49,$E$21:$BL$21)</f>
        <v>-4211170.21276596</v>
      </c>
      <c r="I53" s="27" t="n">
        <f aca="false">SUMIF($E$5:$BL$5,I$49,$E$21:$BL$21)</f>
        <v>-5428125</v>
      </c>
    </row>
    <row r="54" customFormat="false" ht="15" hidden="false" customHeight="false" outlineLevel="0" collapsed="false">
      <c r="B54" s="2" t="s">
        <v>305</v>
      </c>
      <c r="E54" s="27" t="n">
        <f aca="false">SUMIF($E$5:$BL$5,E$49,$E$25:$BL$25)</f>
        <v>-9119500</v>
      </c>
      <c r="F54" s="27" t="n">
        <f aca="false">SUMIF($E$5:$BL$5,F$49,$E$25:$BL$25)</f>
        <v>-11895000</v>
      </c>
      <c r="G54" s="27" t="n">
        <f aca="false">SUMIF($E$5:$BL$5,G$49,$E$25:$BL$25)</f>
        <v>-15780700</v>
      </c>
      <c r="H54" s="27" t="n">
        <f aca="false">SUMIF($E$5:$BL$5,H$49,$E$25:$BL$25)</f>
        <v>-20446183.3333333</v>
      </c>
      <c r="I54" s="27" t="n">
        <f aca="false">SUMIF($E$5:$BL$5,I$49,$E$25:$BL$25)</f>
        <v>-20618000</v>
      </c>
    </row>
    <row r="55" customFormat="false" ht="15" hidden="false" customHeight="false" outlineLevel="0" collapsed="false">
      <c r="B55" s="2" t="s">
        <v>306</v>
      </c>
      <c r="E55" s="27" t="n">
        <f aca="false">SUMIF($E$5:$BL$5,E$49,$E$26:$BL$26)+SUMIF($E$5:$BL$5,E$49,$E$27:$BL$27)</f>
        <v>-17041875</v>
      </c>
      <c r="F55" s="27" t="n">
        <f aca="false">SUMIF($E$5:$BL$5,F$49,$E$26:$BL$26)+SUMIF($E$5:$BL$5,F$49,$E$27:$BL$27)</f>
        <v>-17041875</v>
      </c>
      <c r="G55" s="27" t="n">
        <f aca="false">SUMIF($E$5:$BL$5,G$49,$E$26:$BL$26)+SUMIF($E$5:$BL$5,G$49,$E$27:$BL$27)</f>
        <v>-17041875</v>
      </c>
      <c r="H55" s="27" t="n">
        <f aca="false">SUMIF($E$5:$BL$5,H$49,$E$26:$BL$26)+SUMIF($E$5:$BL$5,H$49,$E$27:$BL$27)</f>
        <v>-20891875</v>
      </c>
      <c r="I55" s="27" t="n">
        <f aca="false">SUMIF($E$5:$BL$5,I$49,$E$26:$BL$26)+SUMIF($E$5:$BL$5,I$49,$E$27:$BL$27)</f>
        <v>-21241875</v>
      </c>
    </row>
    <row r="56" customFormat="false" ht="15" hidden="false" customHeight="false" outlineLevel="0" collapsed="false">
      <c r="B56" s="2" t="s">
        <v>307</v>
      </c>
      <c r="E56" s="27" t="n">
        <f aca="false">IF(E$49=1,$D$28,0)</f>
        <v>-3000000</v>
      </c>
      <c r="F56" s="27" t="n">
        <f aca="false">IF(F$49=1,$D$28,0)</f>
        <v>0</v>
      </c>
      <c r="G56" s="27" t="n">
        <f aca="false">IF(G$49=1,$D$28,0)</f>
        <v>0</v>
      </c>
      <c r="H56" s="27" t="n">
        <f aca="false">IF(H$49=1,$D$28,0)</f>
        <v>0</v>
      </c>
      <c r="I56" s="27" t="n">
        <f aca="false">IF(I$49=1,$D$28,0)</f>
        <v>0</v>
      </c>
    </row>
    <row r="57" customFormat="false" ht="15" hidden="false" customHeight="false" outlineLevel="0" collapsed="false">
      <c r="B57" s="3" t="s">
        <v>37</v>
      </c>
      <c r="E57" s="28" t="n">
        <f aca="false">E51+E52+E53+E54+E55+E56</f>
        <v>-7862449.96871089</v>
      </c>
      <c r="F57" s="28" t="n">
        <f aca="false">F51+F52+F53+F54+F55+F56</f>
        <v>19423053.1602003</v>
      </c>
      <c r="G57" s="28" t="n">
        <f aca="false">G51+G52+G53+G54+G55+G56</f>
        <v>30485097.8723404</v>
      </c>
      <c r="H57" s="28" t="n">
        <f aca="false">H51+H52+H53+H54+H55+H56</f>
        <v>40093678.9007092</v>
      </c>
      <c r="I57" s="28" t="n">
        <f aca="false">I51+I52+I53+I54+I55+I56</f>
        <v>53950150</v>
      </c>
    </row>
    <row r="58" customFormat="false" ht="15" hidden="false" customHeight="false" outlineLevel="0" collapsed="false">
      <c r="B58" s="2" t="s">
        <v>38</v>
      </c>
      <c r="E58" s="35" t="n">
        <f aca="false">IF(E51&gt;0,E57/E51,0)</f>
        <v>-0.251272000758044</v>
      </c>
      <c r="F58" s="35" t="n">
        <f aca="false">IF(F51&gt;0,F57/F51,0)</f>
        <v>0.276792396171591</v>
      </c>
      <c r="G58" s="35" t="n">
        <f aca="false">IF(G51&gt;0,G57/G51,0)</f>
        <v>0.335714340943688</v>
      </c>
      <c r="H58" s="35" t="n">
        <f aca="false">IF(H51&gt;0,H57/H51,0)</f>
        <v>0.346735277910975</v>
      </c>
      <c r="I58" s="35" t="n">
        <f aca="false">IF(I51&gt;0,I57/I51,0)</f>
        <v>0.398197230710184</v>
      </c>
    </row>
    <row r="59" customFormat="false" ht="15" hidden="false" customHeight="false" outlineLevel="0" collapsed="false">
      <c r="B59" s="2" t="s">
        <v>308</v>
      </c>
      <c r="E59" s="27" t="n">
        <f aca="false">SUMIF($E$5:$BL$5,E$49,$E$30:$BL$30)</f>
        <v>-7130357.14285714</v>
      </c>
      <c r="F59" s="27" t="n">
        <f aca="false">SUMIF($E$5:$BL$5,F$49,$E$30:$BL$30)</f>
        <v>-7130357.14285714</v>
      </c>
      <c r="G59" s="27" t="n">
        <f aca="false">SUMIF($E$5:$BL$5,G$49,$E$30:$BL$30)</f>
        <v>-7130357.14285714</v>
      </c>
      <c r="H59" s="27" t="n">
        <f aca="false">SUMIF($E$5:$BL$5,H$49,$E$30:$BL$30)</f>
        <v>-7363690.47619048</v>
      </c>
      <c r="I59" s="27" t="n">
        <f aca="false">SUMIF($E$5:$BL$5,I$49,$E$30:$BL$30)</f>
        <v>-7463690.47619048</v>
      </c>
    </row>
    <row r="60" customFormat="false" ht="15" hidden="false" customHeight="false" outlineLevel="0" collapsed="false">
      <c r="B60" s="2" t="s">
        <v>309</v>
      </c>
      <c r="E60" s="27" t="n">
        <f aca="false">SUMIF($E$5:$BL$5,E$49,$E$42:$BL$42)</f>
        <v>-1689160.51998464</v>
      </c>
      <c r="F60" s="27" t="n">
        <f aca="false">SUMIF($E$5:$BL$5,F$49,$E$42:$BL$42)</f>
        <v>-1391179.86091949</v>
      </c>
      <c r="G60" s="27" t="n">
        <f aca="false">SUMIF($E$5:$BL$5,G$49,$E$42:$BL$42)</f>
        <v>-1055407.79578966</v>
      </c>
      <c r="H60" s="27" t="n">
        <f aca="false">SUMIF($E$5:$BL$5,H$49,$E$42:$BL$42)</f>
        <v>-677051.428382259</v>
      </c>
      <c r="I60" s="27" t="n">
        <f aca="false">SUMIF($E$5:$BL$5,I$49,$E$42:$BL$42)</f>
        <v>-250710.003277793</v>
      </c>
    </row>
    <row r="61" customFormat="false" ht="15" hidden="false" customHeight="false" outlineLevel="0" collapsed="false">
      <c r="B61" s="3" t="s">
        <v>310</v>
      </c>
      <c r="E61" s="28" t="n">
        <f aca="false">E57+E59+E60</f>
        <v>-16681967.6315527</v>
      </c>
      <c r="F61" s="28" t="n">
        <f aca="false">F57+F59+F60</f>
        <v>10901516.1564236</v>
      </c>
      <c r="G61" s="28" t="n">
        <f aca="false">G57+G59+G60</f>
        <v>22299332.9336936</v>
      </c>
      <c r="H61" s="28" t="n">
        <f aca="false">H57+H59+H60</f>
        <v>32052936.9961365</v>
      </c>
      <c r="I61" s="28" t="n">
        <f aca="false">I57+I59+I60</f>
        <v>46235749.5205317</v>
      </c>
    </row>
    <row r="62" customFormat="false" ht="15" hidden="false" customHeight="false" outlineLevel="0" collapsed="false">
      <c r="B62" s="2" t="s">
        <v>311</v>
      </c>
      <c r="E62" s="27" t="n">
        <f aca="false">0</f>
        <v>0</v>
      </c>
      <c r="F62" s="27" t="n">
        <f aca="false">MAX(0,E62-E61)</f>
        <v>16681967.6315527</v>
      </c>
      <c r="G62" s="27" t="n">
        <f aca="false">MAX(0,F62-F61)</f>
        <v>5780451.47512906</v>
      </c>
      <c r="H62" s="27" t="n">
        <f aca="false">MAX(0,G62-G61)</f>
        <v>0</v>
      </c>
      <c r="I62" s="27" t="n">
        <f aca="false">MAX(0,H62-H61)</f>
        <v>0</v>
      </c>
    </row>
    <row r="63" customFormat="false" ht="15" hidden="false" customHeight="false" outlineLevel="0" collapsed="false">
      <c r="B63" s="2" t="s">
        <v>312</v>
      </c>
      <c r="E63" s="27" t="n">
        <f aca="false">MAX(Hypotheses!$E$66,MIN(Hypotheses!$E$67,Hypotheses!$E$65*E51))</f>
        <v>500000</v>
      </c>
      <c r="F63" s="27" t="n">
        <f aca="false">MAX(Hypotheses!$E$66,MIN(Hypotheses!$E$67,Hypotheses!$E$65*F51))</f>
        <v>500000</v>
      </c>
      <c r="G63" s="27" t="n">
        <f aca="false">MAX(Hypotheses!$E$66,MIN(Hypotheses!$E$67,Hypotheses!$E$65*G51))</f>
        <v>500000</v>
      </c>
      <c r="H63" s="27" t="n">
        <f aca="false">MAX(Hypotheses!$E$66,MIN(Hypotheses!$E$67,Hypotheses!$E$65*H51))</f>
        <v>578159.787234043</v>
      </c>
      <c r="I63" s="27" t="n">
        <f aca="false">MAX(Hypotheses!$E$66,MIN(Hypotheses!$E$67,Hypotheses!$E$65*I51))</f>
        <v>677430</v>
      </c>
    </row>
    <row r="64" customFormat="false" ht="15" hidden="false" customHeight="false" outlineLevel="0" collapsed="false">
      <c r="B64" s="2" t="s">
        <v>313</v>
      </c>
      <c r="E64" s="27" t="n">
        <f aca="false">MAX(Hypotheses!$E$64*MAX(0,E61-E62),E63)</f>
        <v>500000</v>
      </c>
      <c r="F64" s="27" t="n">
        <f aca="false">MAX(Hypotheses!$E$64*MAX(0,F61-F62),F63)</f>
        <v>500000</v>
      </c>
      <c r="G64" s="27" t="n">
        <f aca="false">MAX(Hypotheses!$E$64*MAX(0,G61-G62),G63)</f>
        <v>4955664.43756937</v>
      </c>
      <c r="H64" s="27" t="n">
        <f aca="false">MAX(Hypotheses!$E$64*MAX(0,H61-H62),H63)</f>
        <v>9615881.09884094</v>
      </c>
      <c r="I64" s="27" t="n">
        <f aca="false">MAX(Hypotheses!$E$64*MAX(0,I61-I62),I63)</f>
        <v>13870724.8561595</v>
      </c>
    </row>
    <row r="65" customFormat="false" ht="15" hidden="false" customHeight="false" outlineLevel="0" collapsed="false">
      <c r="B65" s="3" t="s">
        <v>39</v>
      </c>
      <c r="E65" s="28" t="n">
        <f aca="false">E61-E64</f>
        <v>-17181967.6315527</v>
      </c>
      <c r="F65" s="28" t="n">
        <f aca="false">F61-F64</f>
        <v>10401516.1564236</v>
      </c>
      <c r="G65" s="28" t="n">
        <f aca="false">G61-G64</f>
        <v>17343668.4961243</v>
      </c>
      <c r="H65" s="28" t="n">
        <f aca="false">H61-H64</f>
        <v>22437055.8972955</v>
      </c>
      <c r="I65" s="28" t="n">
        <f aca="false">I61-I64</f>
        <v>32365024.6643722</v>
      </c>
    </row>
    <row r="66" customFormat="false" ht="15" hidden="false" customHeight="false" outlineLevel="0" collapsed="false">
      <c r="B66" s="2" t="s">
        <v>314</v>
      </c>
      <c r="E66" s="27" t="n">
        <f aca="false">SUMIF($E$5:$BL$5,E$49,$E$43:$BL$43)</f>
        <v>-14691853.6425719</v>
      </c>
      <c r="F66" s="27" t="n">
        <f aca="false">SUMIF($E$5:$BL$5,F$49,$E$43:$BL$43)</f>
        <v>10144023.2034857</v>
      </c>
      <c r="G66" s="27" t="n">
        <f aca="false">SUMIF($E$5:$BL$5,G$49,$E$43:$BL$43)</f>
        <v>21297754.461308</v>
      </c>
      <c r="H66" s="27" t="n">
        <f aca="false">SUMIF($E$5:$BL$5,H$49,$E$43:$BL$43)</f>
        <v>20058233.8180648</v>
      </c>
      <c r="I66" s="27" t="n">
        <f aca="false">SUMIF($E$5:$BL$5,I$49,$E$43:$BL$43)</f>
        <v>37599466.9794883</v>
      </c>
    </row>
    <row r="67" customFormat="false" ht="15" hidden="false" customHeight="false" outlineLevel="0" collapsed="false">
      <c r="B67" s="3" t="s">
        <v>315</v>
      </c>
      <c r="E67" s="28" t="n">
        <f aca="false">INDEX($E$46:$BL$46,E$49*12)</f>
        <v>-24645595.1425719</v>
      </c>
      <c r="F67" s="28" t="n">
        <f aca="false">INDEX($E$46:$BL$46,F$49*12)</f>
        <v>-14501571.9390862</v>
      </c>
      <c r="G67" s="28" t="n">
        <f aca="false">INDEX($E$46:$BL$46,G$49*12)</f>
        <v>6796182.52222175</v>
      </c>
      <c r="H67" s="28" t="n">
        <f aca="false">INDEX($E$46:$BL$46,H$49*12)</f>
        <v>26854416.3402866</v>
      </c>
      <c r="I67" s="28" t="n">
        <f aca="false">INDEX($E$46:$BL$46,I$49*12)</f>
        <v>64453883.3197748</v>
      </c>
    </row>
    <row r="68" customFormat="false" ht="15" hidden="false" customHeight="false" outlineLevel="0" collapsed="false">
      <c r="B68" s="2" t="s">
        <v>316</v>
      </c>
      <c r="E68" s="27" t="n">
        <f aca="false">IF((E51+E52+E53)&gt;0,-(E54+E55)/((E51+E52+E53)/(E50*Hypotheses!$E$17*12))/(Hypotheses!$E$17*12),0)</f>
        <v>169.071270885236</v>
      </c>
      <c r="F68" s="27" t="n">
        <f aca="false">IF((F51+F52+F53)&gt;0,-(F54+F55)/((F51+F52+F53)/(F50*Hypotheses!$E$17*12))/(Hypotheses!$E$17*12),0)</f>
        <v>173.437774750639</v>
      </c>
      <c r="G68" s="27" t="n">
        <f aca="false">IF((G51+G52+G53)&gt;0,-(G54+G55)/((G51+G52+G53)/(G50*Hypotheses!$E$17*12))/(Hypotheses!$E$17*12),0)</f>
        <v>182.541563925221</v>
      </c>
      <c r="H68" s="27" t="n">
        <f aca="false">IF((H51+H52+H53)&gt;0,-(H54+H55)/((H51+H52+H53)/(H50*Hypotheses!$E$17*12))/(Hypotheses!$E$17*12),0)</f>
        <v>214.478165873292</v>
      </c>
      <c r="I68" s="27" t="n">
        <f aca="false">IF((I51+I52+I53)&gt;0,-(I54+I55)/((I51+I52+I53)/(I50*Hypotheses!$E$17*12))/(Hypotheses!$E$17*12),0)</f>
        <v>210.806642493831</v>
      </c>
    </row>
    <row r="70" customFormat="false" ht="15" hidden="false" customHeight="false" outlineLevel="0" collapsed="false">
      <c r="B70" s="3" t="s">
        <v>317</v>
      </c>
    </row>
    <row r="71" customFormat="false" ht="15" hidden="false" customHeight="false" outlineLevel="0" collapsed="false">
      <c r="B71" s="2" t="s">
        <v>318</v>
      </c>
      <c r="D71" s="28" t="n">
        <f aca="false">-MIN(0,MIN($D$44:$BL$44))</f>
        <v>49686494.6063198</v>
      </c>
    </row>
    <row r="72" customFormat="false" ht="15" hidden="false" customHeight="false" outlineLevel="0" collapsed="false">
      <c r="B72" s="2" t="s">
        <v>319</v>
      </c>
      <c r="D72" s="36" t="n">
        <f aca="false">INDEX($D$4:$BL$4,MATCH(MIN($D$44:$BL$44),$D$44:$BL$44,0))</f>
        <v>48122</v>
      </c>
    </row>
    <row r="73" customFormat="false" ht="15" hidden="false" customHeight="false" outlineLevel="0" collapsed="false">
      <c r="B73" s="2" t="s">
        <v>320</v>
      </c>
      <c r="D73" s="28" t="n">
        <f aca="false">Hypotheses!$F$73*-(F54+F55)/12</f>
        <v>7234218.75</v>
      </c>
    </row>
    <row r="74" customFormat="false" ht="15" hidden="false" customHeight="false" outlineLevel="0" collapsed="false">
      <c r="B74" s="2" t="s">
        <v>27</v>
      </c>
      <c r="D74" s="28" t="n">
        <f aca="false">D71+D73</f>
        <v>56920713.3563198</v>
      </c>
    </row>
    <row r="75" customFormat="false" ht="15" hidden="false" customHeight="false" outlineLevel="0" collapsed="false">
      <c r="B75" s="2" t="s">
        <v>321</v>
      </c>
      <c r="D75" s="28" t="n">
        <f aca="false">Epargne!$G$130</f>
        <v>24366258.5</v>
      </c>
    </row>
    <row r="76" customFormat="false" ht="15" hidden="false" customHeight="false" outlineLevel="0" collapsed="false">
      <c r="B76" s="2" t="s">
        <v>29</v>
      </c>
      <c r="D76" s="31" t="n">
        <f aca="false">D75-D74</f>
        <v>-32554454.8563198</v>
      </c>
    </row>
    <row r="77" customFormat="false" ht="15" hidden="false" customHeight="false" outlineLevel="0" collapsed="false">
      <c r="B77" s="2" t="s">
        <v>30</v>
      </c>
      <c r="D77" s="36" t="n">
        <f aca="false">IFERROR(INDEX($E$4:$BL$4,MATCH(TRUE(),INDEX($E$29:$BL$29&gt;0,0),0)),"jamais")</f>
        <v>48000</v>
      </c>
    </row>
    <row r="78" customFormat="false" ht="15" hidden="false" customHeight="false" outlineLevel="0" collapsed="false">
      <c r="B78" s="2" t="s">
        <v>31</v>
      </c>
      <c r="D78" s="28" t="n">
        <f aca="false">MIN($D$46:$BL$46)</f>
        <v>-25320236.1063198</v>
      </c>
    </row>
    <row r="79" customFormat="false" ht="15" hidden="false" customHeight="false" outlineLevel="0" collapsed="false">
      <c r="B79" s="2" t="s">
        <v>32</v>
      </c>
      <c r="D79" s="28" t="n">
        <f aca="false">(Investissements!$E$19*(1+Hypotheses!$E$60)*Hypotheses!$E$69*(1-Hypotheses!$E$70))</f>
        <v>15130000</v>
      </c>
    </row>
    <row r="80" customFormat="false" ht="15" hidden="false" customHeight="false" outlineLevel="0" collapsed="false">
      <c r="B80" s="2" t="s">
        <v>33</v>
      </c>
      <c r="D80" s="28" t="n">
        <f aca="false">-PMT(Hypotheses!$E$71/12,Hypotheses!$E$72,(Investissements!$E$19*(1+Hypotheses!$E$60)*Hypotheses!$E$69*(1-Hypotheses!$E$70)))</f>
        <v>336558.493472564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4" min="4" style="0" width="12"/>
  </cols>
  <sheetData>
    <row r="1" customFormat="false" ht="17.35" hidden="false" customHeight="false" outlineLevel="0" collapsed="false">
      <c r="B1" s="1" t="s">
        <v>323</v>
      </c>
    </row>
    <row r="3" customFormat="false" ht="15" hidden="false" customHeight="false" outlineLevel="0" collapsed="false">
      <c r="B3" s="5" t="s">
        <v>255</v>
      </c>
      <c r="C3" s="5"/>
      <c r="D3" s="32" t="n">
        <f aca="false">0</f>
        <v>0</v>
      </c>
      <c r="E3" s="32" t="n">
        <f aca="false">D3+1</f>
        <v>1</v>
      </c>
      <c r="F3" s="32" t="n">
        <f aca="false">E3+1</f>
        <v>2</v>
      </c>
      <c r="G3" s="32" t="n">
        <f aca="false">F3+1</f>
        <v>3</v>
      </c>
      <c r="H3" s="32" t="n">
        <f aca="false">G3+1</f>
        <v>4</v>
      </c>
      <c r="I3" s="32" t="n">
        <f aca="false">H3+1</f>
        <v>5</v>
      </c>
      <c r="J3" s="32" t="n">
        <f aca="false">I3+1</f>
        <v>6</v>
      </c>
      <c r="K3" s="32" t="n">
        <f aca="false">J3+1</f>
        <v>7</v>
      </c>
      <c r="L3" s="32" t="n">
        <f aca="false">K3+1</f>
        <v>8</v>
      </c>
      <c r="M3" s="32" t="n">
        <f aca="false">L3+1</f>
        <v>9</v>
      </c>
      <c r="N3" s="32" t="n">
        <f aca="false">M3+1</f>
        <v>10</v>
      </c>
      <c r="O3" s="32" t="n">
        <f aca="false">N3+1</f>
        <v>11</v>
      </c>
      <c r="P3" s="32" t="n">
        <f aca="false">O3+1</f>
        <v>12</v>
      </c>
      <c r="Q3" s="32" t="n">
        <f aca="false">P3+1</f>
        <v>13</v>
      </c>
      <c r="R3" s="32" t="n">
        <f aca="false">Q3+1</f>
        <v>14</v>
      </c>
      <c r="S3" s="32" t="n">
        <f aca="false">R3+1</f>
        <v>15</v>
      </c>
      <c r="T3" s="32" t="n">
        <f aca="false">S3+1</f>
        <v>16</v>
      </c>
      <c r="U3" s="32" t="n">
        <f aca="false">T3+1</f>
        <v>17</v>
      </c>
      <c r="V3" s="32" t="n">
        <f aca="false">U3+1</f>
        <v>18</v>
      </c>
      <c r="W3" s="32" t="n">
        <f aca="false">V3+1</f>
        <v>19</v>
      </c>
      <c r="X3" s="32" t="n">
        <f aca="false">W3+1</f>
        <v>20</v>
      </c>
      <c r="Y3" s="32" t="n">
        <f aca="false">X3+1</f>
        <v>21</v>
      </c>
      <c r="Z3" s="32" t="n">
        <f aca="false">Y3+1</f>
        <v>22</v>
      </c>
      <c r="AA3" s="32" t="n">
        <f aca="false">Z3+1</f>
        <v>23</v>
      </c>
      <c r="AB3" s="32" t="n">
        <f aca="false">AA3+1</f>
        <v>24</v>
      </c>
      <c r="AC3" s="32" t="n">
        <f aca="false">AB3+1</f>
        <v>25</v>
      </c>
      <c r="AD3" s="32" t="n">
        <f aca="false">AC3+1</f>
        <v>26</v>
      </c>
      <c r="AE3" s="32" t="n">
        <f aca="false">AD3+1</f>
        <v>27</v>
      </c>
      <c r="AF3" s="32" t="n">
        <f aca="false">AE3+1</f>
        <v>28</v>
      </c>
      <c r="AG3" s="32" t="n">
        <f aca="false">AF3+1</f>
        <v>29</v>
      </c>
      <c r="AH3" s="32" t="n">
        <f aca="false">AG3+1</f>
        <v>30</v>
      </c>
      <c r="AI3" s="32" t="n">
        <f aca="false">AH3+1</f>
        <v>31</v>
      </c>
      <c r="AJ3" s="32" t="n">
        <f aca="false">AI3+1</f>
        <v>32</v>
      </c>
      <c r="AK3" s="32" t="n">
        <f aca="false">AJ3+1</f>
        <v>33</v>
      </c>
      <c r="AL3" s="32" t="n">
        <f aca="false">AK3+1</f>
        <v>34</v>
      </c>
      <c r="AM3" s="32" t="n">
        <f aca="false">AL3+1</f>
        <v>35</v>
      </c>
      <c r="AN3" s="32" t="n">
        <f aca="false">AM3+1</f>
        <v>36</v>
      </c>
      <c r="AO3" s="32" t="n">
        <f aca="false">AN3+1</f>
        <v>37</v>
      </c>
      <c r="AP3" s="32" t="n">
        <f aca="false">AO3+1</f>
        <v>38</v>
      </c>
      <c r="AQ3" s="32" t="n">
        <f aca="false">AP3+1</f>
        <v>39</v>
      </c>
      <c r="AR3" s="32" t="n">
        <f aca="false">AQ3+1</f>
        <v>40</v>
      </c>
      <c r="AS3" s="32" t="n">
        <f aca="false">AR3+1</f>
        <v>41</v>
      </c>
      <c r="AT3" s="32" t="n">
        <f aca="false">AS3+1</f>
        <v>42</v>
      </c>
      <c r="AU3" s="32" t="n">
        <f aca="false">AT3+1</f>
        <v>43</v>
      </c>
      <c r="AV3" s="32" t="n">
        <f aca="false">AU3+1</f>
        <v>44</v>
      </c>
      <c r="AW3" s="32" t="n">
        <f aca="false">AV3+1</f>
        <v>45</v>
      </c>
      <c r="AX3" s="32" t="n">
        <f aca="false">AW3+1</f>
        <v>46</v>
      </c>
      <c r="AY3" s="32" t="n">
        <f aca="false">AX3+1</f>
        <v>47</v>
      </c>
      <c r="AZ3" s="32" t="n">
        <f aca="false">AY3+1</f>
        <v>48</v>
      </c>
      <c r="BA3" s="32" t="n">
        <f aca="false">AZ3+1</f>
        <v>49</v>
      </c>
      <c r="BB3" s="32" t="n">
        <f aca="false">BA3+1</f>
        <v>50</v>
      </c>
      <c r="BC3" s="32" t="n">
        <f aca="false">BB3+1</f>
        <v>51</v>
      </c>
      <c r="BD3" s="32" t="n">
        <f aca="false">BC3+1</f>
        <v>52</v>
      </c>
      <c r="BE3" s="32" t="n">
        <f aca="false">BD3+1</f>
        <v>53</v>
      </c>
      <c r="BF3" s="32" t="n">
        <f aca="false">BE3+1</f>
        <v>54</v>
      </c>
      <c r="BG3" s="32" t="n">
        <f aca="false">BF3+1</f>
        <v>55</v>
      </c>
      <c r="BH3" s="32" t="n">
        <f aca="false">BG3+1</f>
        <v>56</v>
      </c>
      <c r="BI3" s="32" t="n">
        <f aca="false">BH3+1</f>
        <v>57</v>
      </c>
      <c r="BJ3" s="32" t="n">
        <f aca="false">BI3+1</f>
        <v>58</v>
      </c>
      <c r="BK3" s="32" t="n">
        <f aca="false">BJ3+1</f>
        <v>59</v>
      </c>
      <c r="BL3" s="32" t="n">
        <f aca="false">BK3+1</f>
        <v>60</v>
      </c>
    </row>
    <row r="4" customFormat="false" ht="15" hidden="false" customHeight="false" outlineLevel="0" collapsed="false">
      <c r="B4" s="5" t="s">
        <v>249</v>
      </c>
      <c r="C4" s="5"/>
      <c r="D4" s="33" t="n">
        <f aca="false">DATE(YEAR(Hypotheses!$D$6),MONTH(Hypotheses!$D$6)-1,1)</f>
        <v>47727</v>
      </c>
      <c r="E4" s="33" t="n">
        <f aca="false">DATE(YEAR(D4),MONTH(D4)+1,1)</f>
        <v>47757</v>
      </c>
      <c r="F4" s="33" t="n">
        <f aca="false">DATE(YEAR(E4),MONTH(E4)+1,1)</f>
        <v>47788</v>
      </c>
      <c r="G4" s="33" t="n">
        <f aca="false">DATE(YEAR(F4),MONTH(F4)+1,1)</f>
        <v>47818</v>
      </c>
      <c r="H4" s="33" t="n">
        <f aca="false">DATE(YEAR(G4),MONTH(G4)+1,1)</f>
        <v>47849</v>
      </c>
      <c r="I4" s="33" t="n">
        <f aca="false">DATE(YEAR(H4),MONTH(H4)+1,1)</f>
        <v>47880</v>
      </c>
      <c r="J4" s="33" t="n">
        <f aca="false">DATE(YEAR(I4),MONTH(I4)+1,1)</f>
        <v>47908</v>
      </c>
      <c r="K4" s="33" t="n">
        <f aca="false">DATE(YEAR(J4),MONTH(J4)+1,1)</f>
        <v>47939</v>
      </c>
      <c r="L4" s="33" t="n">
        <f aca="false">DATE(YEAR(K4),MONTH(K4)+1,1)</f>
        <v>47969</v>
      </c>
      <c r="M4" s="33" t="n">
        <f aca="false">DATE(YEAR(L4),MONTH(L4)+1,1)</f>
        <v>48000</v>
      </c>
      <c r="N4" s="33" t="n">
        <f aca="false">DATE(YEAR(M4),MONTH(M4)+1,1)</f>
        <v>48030</v>
      </c>
      <c r="O4" s="33" t="n">
        <f aca="false">DATE(YEAR(N4),MONTH(N4)+1,1)</f>
        <v>48061</v>
      </c>
      <c r="P4" s="33" t="n">
        <f aca="false">DATE(YEAR(O4),MONTH(O4)+1,1)</f>
        <v>48092</v>
      </c>
      <c r="Q4" s="33" t="n">
        <f aca="false">DATE(YEAR(P4),MONTH(P4)+1,1)</f>
        <v>48122</v>
      </c>
      <c r="R4" s="33" t="n">
        <f aca="false">DATE(YEAR(Q4),MONTH(Q4)+1,1)</f>
        <v>48153</v>
      </c>
      <c r="S4" s="33" t="n">
        <f aca="false">DATE(YEAR(R4),MONTH(R4)+1,1)</f>
        <v>48183</v>
      </c>
      <c r="T4" s="33" t="n">
        <f aca="false">DATE(YEAR(S4),MONTH(S4)+1,1)</f>
        <v>48214</v>
      </c>
      <c r="U4" s="33" t="n">
        <f aca="false">DATE(YEAR(T4),MONTH(T4)+1,1)</f>
        <v>48245</v>
      </c>
      <c r="V4" s="33" t="n">
        <f aca="false">DATE(YEAR(U4),MONTH(U4)+1,1)</f>
        <v>48274</v>
      </c>
      <c r="W4" s="33" t="n">
        <f aca="false">DATE(YEAR(V4),MONTH(V4)+1,1)</f>
        <v>48305</v>
      </c>
      <c r="X4" s="33" t="n">
        <f aca="false">DATE(YEAR(W4),MONTH(W4)+1,1)</f>
        <v>48335</v>
      </c>
      <c r="Y4" s="33" t="n">
        <f aca="false">DATE(YEAR(X4),MONTH(X4)+1,1)</f>
        <v>48366</v>
      </c>
      <c r="Z4" s="33" t="n">
        <f aca="false">DATE(YEAR(Y4),MONTH(Y4)+1,1)</f>
        <v>48396</v>
      </c>
      <c r="AA4" s="33" t="n">
        <f aca="false">DATE(YEAR(Z4),MONTH(Z4)+1,1)</f>
        <v>48427</v>
      </c>
      <c r="AB4" s="33" t="n">
        <f aca="false">DATE(YEAR(AA4),MONTH(AA4)+1,1)</f>
        <v>48458</v>
      </c>
      <c r="AC4" s="33" t="n">
        <f aca="false">DATE(YEAR(AB4),MONTH(AB4)+1,1)</f>
        <v>48488</v>
      </c>
      <c r="AD4" s="33" t="n">
        <f aca="false">DATE(YEAR(AC4),MONTH(AC4)+1,1)</f>
        <v>48519</v>
      </c>
      <c r="AE4" s="33" t="n">
        <f aca="false">DATE(YEAR(AD4),MONTH(AD4)+1,1)</f>
        <v>48549</v>
      </c>
      <c r="AF4" s="33" t="n">
        <f aca="false">DATE(YEAR(AE4),MONTH(AE4)+1,1)</f>
        <v>48580</v>
      </c>
      <c r="AG4" s="33" t="n">
        <f aca="false">DATE(YEAR(AF4),MONTH(AF4)+1,1)</f>
        <v>48611</v>
      </c>
      <c r="AH4" s="33" t="n">
        <f aca="false">DATE(YEAR(AG4),MONTH(AG4)+1,1)</f>
        <v>48639</v>
      </c>
      <c r="AI4" s="33" t="n">
        <f aca="false">DATE(YEAR(AH4),MONTH(AH4)+1,1)</f>
        <v>48670</v>
      </c>
      <c r="AJ4" s="33" t="n">
        <f aca="false">DATE(YEAR(AI4),MONTH(AI4)+1,1)</f>
        <v>48700</v>
      </c>
      <c r="AK4" s="33" t="n">
        <f aca="false">DATE(YEAR(AJ4),MONTH(AJ4)+1,1)</f>
        <v>48731</v>
      </c>
      <c r="AL4" s="33" t="n">
        <f aca="false">DATE(YEAR(AK4),MONTH(AK4)+1,1)</f>
        <v>48761</v>
      </c>
      <c r="AM4" s="33" t="n">
        <f aca="false">DATE(YEAR(AL4),MONTH(AL4)+1,1)</f>
        <v>48792</v>
      </c>
      <c r="AN4" s="33" t="n">
        <f aca="false">DATE(YEAR(AM4),MONTH(AM4)+1,1)</f>
        <v>48823</v>
      </c>
      <c r="AO4" s="33" t="n">
        <f aca="false">DATE(YEAR(AN4),MONTH(AN4)+1,1)</f>
        <v>48853</v>
      </c>
      <c r="AP4" s="33" t="n">
        <f aca="false">DATE(YEAR(AO4),MONTH(AO4)+1,1)</f>
        <v>48884</v>
      </c>
      <c r="AQ4" s="33" t="n">
        <f aca="false">DATE(YEAR(AP4),MONTH(AP4)+1,1)</f>
        <v>48914</v>
      </c>
      <c r="AR4" s="33" t="n">
        <f aca="false">DATE(YEAR(AQ4),MONTH(AQ4)+1,1)</f>
        <v>48945</v>
      </c>
      <c r="AS4" s="33" t="n">
        <f aca="false">DATE(YEAR(AR4),MONTH(AR4)+1,1)</f>
        <v>48976</v>
      </c>
      <c r="AT4" s="33" t="n">
        <f aca="false">DATE(YEAR(AS4),MONTH(AS4)+1,1)</f>
        <v>49004</v>
      </c>
      <c r="AU4" s="33" t="n">
        <f aca="false">DATE(YEAR(AT4),MONTH(AT4)+1,1)</f>
        <v>49035</v>
      </c>
      <c r="AV4" s="33" t="n">
        <f aca="false">DATE(YEAR(AU4),MONTH(AU4)+1,1)</f>
        <v>49065</v>
      </c>
      <c r="AW4" s="33" t="n">
        <f aca="false">DATE(YEAR(AV4),MONTH(AV4)+1,1)</f>
        <v>49096</v>
      </c>
      <c r="AX4" s="33" t="n">
        <f aca="false">DATE(YEAR(AW4),MONTH(AW4)+1,1)</f>
        <v>49126</v>
      </c>
      <c r="AY4" s="33" t="n">
        <f aca="false">DATE(YEAR(AX4),MONTH(AX4)+1,1)</f>
        <v>49157</v>
      </c>
      <c r="AZ4" s="33" t="n">
        <f aca="false">DATE(YEAR(AY4),MONTH(AY4)+1,1)</f>
        <v>49188</v>
      </c>
      <c r="BA4" s="33" t="n">
        <f aca="false">DATE(YEAR(AZ4),MONTH(AZ4)+1,1)</f>
        <v>49218</v>
      </c>
      <c r="BB4" s="33" t="n">
        <f aca="false">DATE(YEAR(BA4),MONTH(BA4)+1,1)</f>
        <v>49249</v>
      </c>
      <c r="BC4" s="33" t="n">
        <f aca="false">DATE(YEAR(BB4),MONTH(BB4)+1,1)</f>
        <v>49279</v>
      </c>
      <c r="BD4" s="33" t="n">
        <f aca="false">DATE(YEAR(BC4),MONTH(BC4)+1,1)</f>
        <v>49310</v>
      </c>
      <c r="BE4" s="33" t="n">
        <f aca="false">DATE(YEAR(BD4),MONTH(BD4)+1,1)</f>
        <v>49341</v>
      </c>
      <c r="BF4" s="33" t="n">
        <f aca="false">DATE(YEAR(BE4),MONTH(BE4)+1,1)</f>
        <v>49369</v>
      </c>
      <c r="BG4" s="33" t="n">
        <f aca="false">DATE(YEAR(BF4),MONTH(BF4)+1,1)</f>
        <v>49400</v>
      </c>
      <c r="BH4" s="33" t="n">
        <f aca="false">DATE(YEAR(BG4),MONTH(BG4)+1,1)</f>
        <v>49430</v>
      </c>
      <c r="BI4" s="33" t="n">
        <f aca="false">DATE(YEAR(BH4),MONTH(BH4)+1,1)</f>
        <v>49461</v>
      </c>
      <c r="BJ4" s="33" t="n">
        <f aca="false">DATE(YEAR(BI4),MONTH(BI4)+1,1)</f>
        <v>49491</v>
      </c>
      <c r="BK4" s="33" t="n">
        <f aca="false">DATE(YEAR(BJ4),MONTH(BJ4)+1,1)</f>
        <v>49522</v>
      </c>
      <c r="BL4" s="33" t="n">
        <f aca="false">DATE(YEAR(BK4),MONTH(BK4)+1,1)</f>
        <v>49553</v>
      </c>
    </row>
    <row r="5" customFormat="false" ht="15" hidden="false" customHeight="false" outlineLevel="0" collapsed="false">
      <c r="B5" s="2" t="s">
        <v>261</v>
      </c>
      <c r="C5" s="2"/>
      <c r="E5" s="34" t="n">
        <f aca="false">INT((E3-1)/12)+1</f>
        <v>1</v>
      </c>
      <c r="F5" s="34" t="n">
        <f aca="false">INT((F3-1)/12)+1</f>
        <v>1</v>
      </c>
      <c r="G5" s="34" t="n">
        <f aca="false">INT((G3-1)/12)+1</f>
        <v>1</v>
      </c>
      <c r="H5" s="34" t="n">
        <f aca="false">INT((H3-1)/12)+1</f>
        <v>1</v>
      </c>
      <c r="I5" s="34" t="n">
        <f aca="false">INT((I3-1)/12)+1</f>
        <v>1</v>
      </c>
      <c r="J5" s="34" t="n">
        <f aca="false">INT((J3-1)/12)+1</f>
        <v>1</v>
      </c>
      <c r="K5" s="34" t="n">
        <f aca="false">INT((K3-1)/12)+1</f>
        <v>1</v>
      </c>
      <c r="L5" s="34" t="n">
        <f aca="false">INT((L3-1)/12)+1</f>
        <v>1</v>
      </c>
      <c r="M5" s="34" t="n">
        <f aca="false">INT((M3-1)/12)+1</f>
        <v>1</v>
      </c>
      <c r="N5" s="34" t="n">
        <f aca="false">INT((N3-1)/12)+1</f>
        <v>1</v>
      </c>
      <c r="O5" s="34" t="n">
        <f aca="false">INT((O3-1)/12)+1</f>
        <v>1</v>
      </c>
      <c r="P5" s="34" t="n">
        <f aca="false">INT((P3-1)/12)+1</f>
        <v>1</v>
      </c>
      <c r="Q5" s="34" t="n">
        <f aca="false">INT((Q3-1)/12)+1</f>
        <v>2</v>
      </c>
      <c r="R5" s="34" t="n">
        <f aca="false">INT((R3-1)/12)+1</f>
        <v>2</v>
      </c>
      <c r="S5" s="34" t="n">
        <f aca="false">INT((S3-1)/12)+1</f>
        <v>2</v>
      </c>
      <c r="T5" s="34" t="n">
        <f aca="false">INT((T3-1)/12)+1</f>
        <v>2</v>
      </c>
      <c r="U5" s="34" t="n">
        <f aca="false">INT((U3-1)/12)+1</f>
        <v>2</v>
      </c>
      <c r="V5" s="34" t="n">
        <f aca="false">INT((V3-1)/12)+1</f>
        <v>2</v>
      </c>
      <c r="W5" s="34" t="n">
        <f aca="false">INT((W3-1)/12)+1</f>
        <v>2</v>
      </c>
      <c r="X5" s="34" t="n">
        <f aca="false">INT((X3-1)/12)+1</f>
        <v>2</v>
      </c>
      <c r="Y5" s="34" t="n">
        <f aca="false">INT((Y3-1)/12)+1</f>
        <v>2</v>
      </c>
      <c r="Z5" s="34" t="n">
        <f aca="false">INT((Z3-1)/12)+1</f>
        <v>2</v>
      </c>
      <c r="AA5" s="34" t="n">
        <f aca="false">INT((AA3-1)/12)+1</f>
        <v>2</v>
      </c>
      <c r="AB5" s="34" t="n">
        <f aca="false">INT((AB3-1)/12)+1</f>
        <v>2</v>
      </c>
      <c r="AC5" s="34" t="n">
        <f aca="false">INT((AC3-1)/12)+1</f>
        <v>3</v>
      </c>
      <c r="AD5" s="34" t="n">
        <f aca="false">INT((AD3-1)/12)+1</f>
        <v>3</v>
      </c>
      <c r="AE5" s="34" t="n">
        <f aca="false">INT((AE3-1)/12)+1</f>
        <v>3</v>
      </c>
      <c r="AF5" s="34" t="n">
        <f aca="false">INT((AF3-1)/12)+1</f>
        <v>3</v>
      </c>
      <c r="AG5" s="34" t="n">
        <f aca="false">INT((AG3-1)/12)+1</f>
        <v>3</v>
      </c>
      <c r="AH5" s="34" t="n">
        <f aca="false">INT((AH3-1)/12)+1</f>
        <v>3</v>
      </c>
      <c r="AI5" s="34" t="n">
        <f aca="false">INT((AI3-1)/12)+1</f>
        <v>3</v>
      </c>
      <c r="AJ5" s="34" t="n">
        <f aca="false">INT((AJ3-1)/12)+1</f>
        <v>3</v>
      </c>
      <c r="AK5" s="34" t="n">
        <f aca="false">INT((AK3-1)/12)+1</f>
        <v>3</v>
      </c>
      <c r="AL5" s="34" t="n">
        <f aca="false">INT((AL3-1)/12)+1</f>
        <v>3</v>
      </c>
      <c r="AM5" s="34" t="n">
        <f aca="false">INT((AM3-1)/12)+1</f>
        <v>3</v>
      </c>
      <c r="AN5" s="34" t="n">
        <f aca="false">INT((AN3-1)/12)+1</f>
        <v>3</v>
      </c>
      <c r="AO5" s="34" t="n">
        <f aca="false">INT((AO3-1)/12)+1</f>
        <v>4</v>
      </c>
      <c r="AP5" s="34" t="n">
        <f aca="false">INT((AP3-1)/12)+1</f>
        <v>4</v>
      </c>
      <c r="AQ5" s="34" t="n">
        <f aca="false">INT((AQ3-1)/12)+1</f>
        <v>4</v>
      </c>
      <c r="AR5" s="34" t="n">
        <f aca="false">INT((AR3-1)/12)+1</f>
        <v>4</v>
      </c>
      <c r="AS5" s="34" t="n">
        <f aca="false">INT((AS3-1)/12)+1</f>
        <v>4</v>
      </c>
      <c r="AT5" s="34" t="n">
        <f aca="false">INT((AT3-1)/12)+1</f>
        <v>4</v>
      </c>
      <c r="AU5" s="34" t="n">
        <f aca="false">INT((AU3-1)/12)+1</f>
        <v>4</v>
      </c>
      <c r="AV5" s="34" t="n">
        <f aca="false">INT((AV3-1)/12)+1</f>
        <v>4</v>
      </c>
      <c r="AW5" s="34" t="n">
        <f aca="false">INT((AW3-1)/12)+1</f>
        <v>4</v>
      </c>
      <c r="AX5" s="34" t="n">
        <f aca="false">INT((AX3-1)/12)+1</f>
        <v>4</v>
      </c>
      <c r="AY5" s="34" t="n">
        <f aca="false">INT((AY3-1)/12)+1</f>
        <v>4</v>
      </c>
      <c r="AZ5" s="34" t="n">
        <f aca="false">INT((AZ3-1)/12)+1</f>
        <v>4</v>
      </c>
      <c r="BA5" s="34" t="n">
        <f aca="false">INT((BA3-1)/12)+1</f>
        <v>5</v>
      </c>
      <c r="BB5" s="34" t="n">
        <f aca="false">INT((BB3-1)/12)+1</f>
        <v>5</v>
      </c>
      <c r="BC5" s="34" t="n">
        <f aca="false">INT((BC3-1)/12)+1</f>
        <v>5</v>
      </c>
      <c r="BD5" s="34" t="n">
        <f aca="false">INT((BD3-1)/12)+1</f>
        <v>5</v>
      </c>
      <c r="BE5" s="34" t="n">
        <f aca="false">INT((BE3-1)/12)+1</f>
        <v>5</v>
      </c>
      <c r="BF5" s="34" t="n">
        <f aca="false">INT((BF3-1)/12)+1</f>
        <v>5</v>
      </c>
      <c r="BG5" s="34" t="n">
        <f aca="false">INT((BG3-1)/12)+1</f>
        <v>5</v>
      </c>
      <c r="BH5" s="34" t="n">
        <f aca="false">INT((BH3-1)/12)+1</f>
        <v>5</v>
      </c>
      <c r="BI5" s="34" t="n">
        <f aca="false">INT((BI3-1)/12)+1</f>
        <v>5</v>
      </c>
      <c r="BJ5" s="34" t="n">
        <f aca="false">INT((BJ3-1)/12)+1</f>
        <v>5</v>
      </c>
      <c r="BK5" s="34" t="n">
        <f aca="false">INT((BK3-1)/12)+1</f>
        <v>5</v>
      </c>
      <c r="BL5" s="34" t="n">
        <f aca="false">INT((BL3-1)/12)+1</f>
        <v>5</v>
      </c>
    </row>
    <row r="6" customFormat="false" ht="15" hidden="false" customHeight="false" outlineLevel="0" collapsed="false">
      <c r="B6" s="2" t="s">
        <v>262</v>
      </c>
      <c r="C6" s="2"/>
      <c r="E6" s="34" t="n">
        <f aca="false">MOD(E3-1,12)+1</f>
        <v>1</v>
      </c>
      <c r="F6" s="34" t="n">
        <f aca="false">MOD(F3-1,12)+1</f>
        <v>2</v>
      </c>
      <c r="G6" s="34" t="n">
        <f aca="false">MOD(G3-1,12)+1</f>
        <v>3</v>
      </c>
      <c r="H6" s="34" t="n">
        <f aca="false">MOD(H3-1,12)+1</f>
        <v>4</v>
      </c>
      <c r="I6" s="34" t="n">
        <f aca="false">MOD(I3-1,12)+1</f>
        <v>5</v>
      </c>
      <c r="J6" s="34" t="n">
        <f aca="false">MOD(J3-1,12)+1</f>
        <v>6</v>
      </c>
      <c r="K6" s="34" t="n">
        <f aca="false">MOD(K3-1,12)+1</f>
        <v>7</v>
      </c>
      <c r="L6" s="34" t="n">
        <f aca="false">MOD(L3-1,12)+1</f>
        <v>8</v>
      </c>
      <c r="M6" s="34" t="n">
        <f aca="false">MOD(M3-1,12)+1</f>
        <v>9</v>
      </c>
      <c r="N6" s="34" t="n">
        <f aca="false">MOD(N3-1,12)+1</f>
        <v>10</v>
      </c>
      <c r="O6" s="34" t="n">
        <f aca="false">MOD(O3-1,12)+1</f>
        <v>11</v>
      </c>
      <c r="P6" s="34" t="n">
        <f aca="false">MOD(P3-1,12)+1</f>
        <v>12</v>
      </c>
      <c r="Q6" s="34" t="n">
        <f aca="false">MOD(Q3-1,12)+1</f>
        <v>1</v>
      </c>
      <c r="R6" s="34" t="n">
        <f aca="false">MOD(R3-1,12)+1</f>
        <v>2</v>
      </c>
      <c r="S6" s="34" t="n">
        <f aca="false">MOD(S3-1,12)+1</f>
        <v>3</v>
      </c>
      <c r="T6" s="34" t="n">
        <f aca="false">MOD(T3-1,12)+1</f>
        <v>4</v>
      </c>
      <c r="U6" s="34" t="n">
        <f aca="false">MOD(U3-1,12)+1</f>
        <v>5</v>
      </c>
      <c r="V6" s="34" t="n">
        <f aca="false">MOD(V3-1,12)+1</f>
        <v>6</v>
      </c>
      <c r="W6" s="34" t="n">
        <f aca="false">MOD(W3-1,12)+1</f>
        <v>7</v>
      </c>
      <c r="X6" s="34" t="n">
        <f aca="false">MOD(X3-1,12)+1</f>
        <v>8</v>
      </c>
      <c r="Y6" s="34" t="n">
        <f aca="false">MOD(Y3-1,12)+1</f>
        <v>9</v>
      </c>
      <c r="Z6" s="34" t="n">
        <f aca="false">MOD(Z3-1,12)+1</f>
        <v>10</v>
      </c>
      <c r="AA6" s="34" t="n">
        <f aca="false">MOD(AA3-1,12)+1</f>
        <v>11</v>
      </c>
      <c r="AB6" s="34" t="n">
        <f aca="false">MOD(AB3-1,12)+1</f>
        <v>12</v>
      </c>
      <c r="AC6" s="34" t="n">
        <f aca="false">MOD(AC3-1,12)+1</f>
        <v>1</v>
      </c>
      <c r="AD6" s="34" t="n">
        <f aca="false">MOD(AD3-1,12)+1</f>
        <v>2</v>
      </c>
      <c r="AE6" s="34" t="n">
        <f aca="false">MOD(AE3-1,12)+1</f>
        <v>3</v>
      </c>
      <c r="AF6" s="34" t="n">
        <f aca="false">MOD(AF3-1,12)+1</f>
        <v>4</v>
      </c>
      <c r="AG6" s="34" t="n">
        <f aca="false">MOD(AG3-1,12)+1</f>
        <v>5</v>
      </c>
      <c r="AH6" s="34" t="n">
        <f aca="false">MOD(AH3-1,12)+1</f>
        <v>6</v>
      </c>
      <c r="AI6" s="34" t="n">
        <f aca="false">MOD(AI3-1,12)+1</f>
        <v>7</v>
      </c>
      <c r="AJ6" s="34" t="n">
        <f aca="false">MOD(AJ3-1,12)+1</f>
        <v>8</v>
      </c>
      <c r="AK6" s="34" t="n">
        <f aca="false">MOD(AK3-1,12)+1</f>
        <v>9</v>
      </c>
      <c r="AL6" s="34" t="n">
        <f aca="false">MOD(AL3-1,12)+1</f>
        <v>10</v>
      </c>
      <c r="AM6" s="34" t="n">
        <f aca="false">MOD(AM3-1,12)+1</f>
        <v>11</v>
      </c>
      <c r="AN6" s="34" t="n">
        <f aca="false">MOD(AN3-1,12)+1</f>
        <v>12</v>
      </c>
      <c r="AO6" s="34" t="n">
        <f aca="false">MOD(AO3-1,12)+1</f>
        <v>1</v>
      </c>
      <c r="AP6" s="34" t="n">
        <f aca="false">MOD(AP3-1,12)+1</f>
        <v>2</v>
      </c>
      <c r="AQ6" s="34" t="n">
        <f aca="false">MOD(AQ3-1,12)+1</f>
        <v>3</v>
      </c>
      <c r="AR6" s="34" t="n">
        <f aca="false">MOD(AR3-1,12)+1</f>
        <v>4</v>
      </c>
      <c r="AS6" s="34" t="n">
        <f aca="false">MOD(AS3-1,12)+1</f>
        <v>5</v>
      </c>
      <c r="AT6" s="34" t="n">
        <f aca="false">MOD(AT3-1,12)+1</f>
        <v>6</v>
      </c>
      <c r="AU6" s="34" t="n">
        <f aca="false">MOD(AU3-1,12)+1</f>
        <v>7</v>
      </c>
      <c r="AV6" s="34" t="n">
        <f aca="false">MOD(AV3-1,12)+1</f>
        <v>8</v>
      </c>
      <c r="AW6" s="34" t="n">
        <f aca="false">MOD(AW3-1,12)+1</f>
        <v>9</v>
      </c>
      <c r="AX6" s="34" t="n">
        <f aca="false">MOD(AX3-1,12)+1</f>
        <v>10</v>
      </c>
      <c r="AY6" s="34" t="n">
        <f aca="false">MOD(AY3-1,12)+1</f>
        <v>11</v>
      </c>
      <c r="AZ6" s="34" t="n">
        <f aca="false">MOD(AZ3-1,12)+1</f>
        <v>12</v>
      </c>
      <c r="BA6" s="34" t="n">
        <f aca="false">MOD(BA3-1,12)+1</f>
        <v>1</v>
      </c>
      <c r="BB6" s="34" t="n">
        <f aca="false">MOD(BB3-1,12)+1</f>
        <v>2</v>
      </c>
      <c r="BC6" s="34" t="n">
        <f aca="false">MOD(BC3-1,12)+1</f>
        <v>3</v>
      </c>
      <c r="BD6" s="34" t="n">
        <f aca="false">MOD(BD3-1,12)+1</f>
        <v>4</v>
      </c>
      <c r="BE6" s="34" t="n">
        <f aca="false">MOD(BE3-1,12)+1</f>
        <v>5</v>
      </c>
      <c r="BF6" s="34" t="n">
        <f aca="false">MOD(BF3-1,12)+1</f>
        <v>6</v>
      </c>
      <c r="BG6" s="34" t="n">
        <f aca="false">MOD(BG3-1,12)+1</f>
        <v>7</v>
      </c>
      <c r="BH6" s="34" t="n">
        <f aca="false">MOD(BH3-1,12)+1</f>
        <v>8</v>
      </c>
      <c r="BI6" s="34" t="n">
        <f aca="false">MOD(BI3-1,12)+1</f>
        <v>9</v>
      </c>
      <c r="BJ6" s="34" t="n">
        <f aca="false">MOD(BJ3-1,12)+1</f>
        <v>10</v>
      </c>
      <c r="BK6" s="34" t="n">
        <f aca="false">MOD(BK3-1,12)+1</f>
        <v>11</v>
      </c>
      <c r="BL6" s="34" t="n">
        <f aca="false">MOD(BL3-1,12)+1</f>
        <v>12</v>
      </c>
    </row>
    <row r="7" customFormat="false" ht="15" hidden="false" customHeight="false" outlineLevel="0" collapsed="false">
      <c r="B7" s="9" t="s">
        <v>263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customFormat="false" ht="15" hidden="false" customHeight="false" outlineLevel="0" collapsed="false">
      <c r="B8" s="2" t="s">
        <v>264</v>
      </c>
      <c r="C8" s="2" t="s">
        <v>64</v>
      </c>
      <c r="E8" s="27" t="n">
        <f aca="false">Hypotheses!$F$15*IF(E3&gt;=Hypotheses!$F$16,2,1)</f>
        <v>320</v>
      </c>
      <c r="F8" s="27" t="n">
        <f aca="false">Hypotheses!$F$15*IF(F3&gt;=Hypotheses!$F$16,2,1)</f>
        <v>320</v>
      </c>
      <c r="G8" s="27" t="n">
        <f aca="false">Hypotheses!$F$15*IF(G3&gt;=Hypotheses!$F$16,2,1)</f>
        <v>320</v>
      </c>
      <c r="H8" s="27" t="n">
        <f aca="false">Hypotheses!$F$15*IF(H3&gt;=Hypotheses!$F$16,2,1)</f>
        <v>320</v>
      </c>
      <c r="I8" s="27" t="n">
        <f aca="false">Hypotheses!$F$15*IF(I3&gt;=Hypotheses!$F$16,2,1)</f>
        <v>320</v>
      </c>
      <c r="J8" s="27" t="n">
        <f aca="false">Hypotheses!$F$15*IF(J3&gt;=Hypotheses!$F$16,2,1)</f>
        <v>320</v>
      </c>
      <c r="K8" s="27" t="n">
        <f aca="false">Hypotheses!$F$15*IF(K3&gt;=Hypotheses!$F$16,2,1)</f>
        <v>320</v>
      </c>
      <c r="L8" s="27" t="n">
        <f aca="false">Hypotheses!$F$15*IF(L3&gt;=Hypotheses!$F$16,2,1)</f>
        <v>320</v>
      </c>
      <c r="M8" s="27" t="n">
        <f aca="false">Hypotheses!$F$15*IF(M3&gt;=Hypotheses!$F$16,2,1)</f>
        <v>320</v>
      </c>
      <c r="N8" s="27" t="n">
        <f aca="false">Hypotheses!$F$15*IF(N3&gt;=Hypotheses!$F$16,2,1)</f>
        <v>320</v>
      </c>
      <c r="O8" s="27" t="n">
        <f aca="false">Hypotheses!$F$15*IF(O3&gt;=Hypotheses!$F$16,2,1)</f>
        <v>320</v>
      </c>
      <c r="P8" s="27" t="n">
        <f aca="false">Hypotheses!$F$15*IF(P3&gt;=Hypotheses!$F$16,2,1)</f>
        <v>320</v>
      </c>
      <c r="Q8" s="27" t="n">
        <f aca="false">Hypotheses!$F$15*IF(Q3&gt;=Hypotheses!$F$16,2,1)</f>
        <v>320</v>
      </c>
      <c r="R8" s="27" t="n">
        <f aca="false">Hypotheses!$F$15*IF(R3&gt;=Hypotheses!$F$16,2,1)</f>
        <v>320</v>
      </c>
      <c r="S8" s="27" t="n">
        <f aca="false">Hypotheses!$F$15*IF(S3&gt;=Hypotheses!$F$16,2,1)</f>
        <v>320</v>
      </c>
      <c r="T8" s="27" t="n">
        <f aca="false">Hypotheses!$F$15*IF(T3&gt;=Hypotheses!$F$16,2,1)</f>
        <v>320</v>
      </c>
      <c r="U8" s="27" t="n">
        <f aca="false">Hypotheses!$F$15*IF(U3&gt;=Hypotheses!$F$16,2,1)</f>
        <v>320</v>
      </c>
      <c r="V8" s="27" t="n">
        <f aca="false">Hypotheses!$F$15*IF(V3&gt;=Hypotheses!$F$16,2,1)</f>
        <v>320</v>
      </c>
      <c r="W8" s="27" t="n">
        <f aca="false">Hypotheses!$F$15*IF(W3&gt;=Hypotheses!$F$16,2,1)</f>
        <v>320</v>
      </c>
      <c r="X8" s="27" t="n">
        <f aca="false">Hypotheses!$F$15*IF(X3&gt;=Hypotheses!$F$16,2,1)</f>
        <v>640</v>
      </c>
      <c r="Y8" s="27" t="n">
        <f aca="false">Hypotheses!$F$15*IF(Y3&gt;=Hypotheses!$F$16,2,1)</f>
        <v>640</v>
      </c>
      <c r="Z8" s="27" t="n">
        <f aca="false">Hypotheses!$F$15*IF(Z3&gt;=Hypotheses!$F$16,2,1)</f>
        <v>640</v>
      </c>
      <c r="AA8" s="27" t="n">
        <f aca="false">Hypotheses!$F$15*IF(AA3&gt;=Hypotheses!$F$16,2,1)</f>
        <v>640</v>
      </c>
      <c r="AB8" s="27" t="n">
        <f aca="false">Hypotheses!$F$15*IF(AB3&gt;=Hypotheses!$F$16,2,1)</f>
        <v>640</v>
      </c>
      <c r="AC8" s="27" t="n">
        <f aca="false">Hypotheses!$F$15*IF(AC3&gt;=Hypotheses!$F$16,2,1)</f>
        <v>640</v>
      </c>
      <c r="AD8" s="27" t="n">
        <f aca="false">Hypotheses!$F$15*IF(AD3&gt;=Hypotheses!$F$16,2,1)</f>
        <v>640</v>
      </c>
      <c r="AE8" s="27" t="n">
        <f aca="false">Hypotheses!$F$15*IF(AE3&gt;=Hypotheses!$F$16,2,1)</f>
        <v>640</v>
      </c>
      <c r="AF8" s="27" t="n">
        <f aca="false">Hypotheses!$F$15*IF(AF3&gt;=Hypotheses!$F$16,2,1)</f>
        <v>640</v>
      </c>
      <c r="AG8" s="27" t="n">
        <f aca="false">Hypotheses!$F$15*IF(AG3&gt;=Hypotheses!$F$16,2,1)</f>
        <v>640</v>
      </c>
      <c r="AH8" s="27" t="n">
        <f aca="false">Hypotheses!$F$15*IF(AH3&gt;=Hypotheses!$F$16,2,1)</f>
        <v>640</v>
      </c>
      <c r="AI8" s="27" t="n">
        <f aca="false">Hypotheses!$F$15*IF(AI3&gt;=Hypotheses!$F$16,2,1)</f>
        <v>640</v>
      </c>
      <c r="AJ8" s="27" t="n">
        <f aca="false">Hypotheses!$F$15*IF(AJ3&gt;=Hypotheses!$F$16,2,1)</f>
        <v>640</v>
      </c>
      <c r="AK8" s="27" t="n">
        <f aca="false">Hypotheses!$F$15*IF(AK3&gt;=Hypotheses!$F$16,2,1)</f>
        <v>640</v>
      </c>
      <c r="AL8" s="27" t="n">
        <f aca="false">Hypotheses!$F$15*IF(AL3&gt;=Hypotheses!$F$16,2,1)</f>
        <v>640</v>
      </c>
      <c r="AM8" s="27" t="n">
        <f aca="false">Hypotheses!$F$15*IF(AM3&gt;=Hypotheses!$F$16,2,1)</f>
        <v>640</v>
      </c>
      <c r="AN8" s="27" t="n">
        <f aca="false">Hypotheses!$F$15*IF(AN3&gt;=Hypotheses!$F$16,2,1)</f>
        <v>640</v>
      </c>
      <c r="AO8" s="27" t="n">
        <f aca="false">Hypotheses!$F$15*IF(AO3&gt;=Hypotheses!$F$16,2,1)</f>
        <v>640</v>
      </c>
      <c r="AP8" s="27" t="n">
        <f aca="false">Hypotheses!$F$15*IF(AP3&gt;=Hypotheses!$F$16,2,1)</f>
        <v>640</v>
      </c>
      <c r="AQ8" s="27" t="n">
        <f aca="false">Hypotheses!$F$15*IF(AQ3&gt;=Hypotheses!$F$16,2,1)</f>
        <v>640</v>
      </c>
      <c r="AR8" s="27" t="n">
        <f aca="false">Hypotheses!$F$15*IF(AR3&gt;=Hypotheses!$F$16,2,1)</f>
        <v>640</v>
      </c>
      <c r="AS8" s="27" t="n">
        <f aca="false">Hypotheses!$F$15*IF(AS3&gt;=Hypotheses!$F$16,2,1)</f>
        <v>640</v>
      </c>
      <c r="AT8" s="27" t="n">
        <f aca="false">Hypotheses!$F$15*IF(AT3&gt;=Hypotheses!$F$16,2,1)</f>
        <v>640</v>
      </c>
      <c r="AU8" s="27" t="n">
        <f aca="false">Hypotheses!$F$15*IF(AU3&gt;=Hypotheses!$F$16,2,1)</f>
        <v>640</v>
      </c>
      <c r="AV8" s="27" t="n">
        <f aca="false">Hypotheses!$F$15*IF(AV3&gt;=Hypotheses!$F$16,2,1)</f>
        <v>640</v>
      </c>
      <c r="AW8" s="27" t="n">
        <f aca="false">Hypotheses!$F$15*IF(AW3&gt;=Hypotheses!$F$16,2,1)</f>
        <v>640</v>
      </c>
      <c r="AX8" s="27" t="n">
        <f aca="false">Hypotheses!$F$15*IF(AX3&gt;=Hypotheses!$F$16,2,1)</f>
        <v>640</v>
      </c>
      <c r="AY8" s="27" t="n">
        <f aca="false">Hypotheses!$F$15*IF(AY3&gt;=Hypotheses!$F$16,2,1)</f>
        <v>640</v>
      </c>
      <c r="AZ8" s="27" t="n">
        <f aca="false">Hypotheses!$F$15*IF(AZ3&gt;=Hypotheses!$F$16,2,1)</f>
        <v>640</v>
      </c>
      <c r="BA8" s="27" t="n">
        <f aca="false">Hypotheses!$F$15*IF(BA3&gt;=Hypotheses!$F$16,2,1)</f>
        <v>640</v>
      </c>
      <c r="BB8" s="27" t="n">
        <f aca="false">Hypotheses!$F$15*IF(BB3&gt;=Hypotheses!$F$16,2,1)</f>
        <v>640</v>
      </c>
      <c r="BC8" s="27" t="n">
        <f aca="false">Hypotheses!$F$15*IF(BC3&gt;=Hypotheses!$F$16,2,1)</f>
        <v>640</v>
      </c>
      <c r="BD8" s="27" t="n">
        <f aca="false">Hypotheses!$F$15*IF(BD3&gt;=Hypotheses!$F$16,2,1)</f>
        <v>640</v>
      </c>
      <c r="BE8" s="27" t="n">
        <f aca="false">Hypotheses!$F$15*IF(BE3&gt;=Hypotheses!$F$16,2,1)</f>
        <v>640</v>
      </c>
      <c r="BF8" s="27" t="n">
        <f aca="false">Hypotheses!$F$15*IF(BF3&gt;=Hypotheses!$F$16,2,1)</f>
        <v>640</v>
      </c>
      <c r="BG8" s="27" t="n">
        <f aca="false">Hypotheses!$F$15*IF(BG3&gt;=Hypotheses!$F$16,2,1)</f>
        <v>640</v>
      </c>
      <c r="BH8" s="27" t="n">
        <f aca="false">Hypotheses!$F$15*IF(BH3&gt;=Hypotheses!$F$16,2,1)</f>
        <v>640</v>
      </c>
      <c r="BI8" s="27" t="n">
        <f aca="false">Hypotheses!$F$15*IF(BI3&gt;=Hypotheses!$F$16,2,1)</f>
        <v>640</v>
      </c>
      <c r="BJ8" s="27" t="n">
        <f aca="false">Hypotheses!$F$15*IF(BJ3&gt;=Hypotheses!$F$16,2,1)</f>
        <v>640</v>
      </c>
      <c r="BK8" s="27" t="n">
        <f aca="false">Hypotheses!$F$15*IF(BK3&gt;=Hypotheses!$F$16,2,1)</f>
        <v>640</v>
      </c>
      <c r="BL8" s="27" t="n">
        <f aca="false">Hypotheses!$F$15*IF(BL3&gt;=Hypotheses!$F$16,2,1)</f>
        <v>640</v>
      </c>
    </row>
    <row r="9" customFormat="false" ht="15" hidden="false" customHeight="false" outlineLevel="0" collapsed="false">
      <c r="B9" s="2" t="s">
        <v>265</v>
      </c>
      <c r="C9" s="2" t="s">
        <v>64</v>
      </c>
      <c r="E9" s="27" t="n">
        <f aca="false">MIN(E8,Hypotheses!$F$11+(Hypotheses!$F$12-Hypotheses!$F$11)*MIN(1,(E3-1)/MAX(1,Hypotheses!$F$13-1))+Hypotheses!$F$14*MAX(0,E3-Hypotheses!$F$13))</f>
        <v>80</v>
      </c>
      <c r="F9" s="27" t="n">
        <f aca="false">MIN(F8,Hypotheses!$F$11+(Hypotheses!$F$12-Hypotheses!$F$11)*MIN(1,(F3-1)/MAX(1,Hypotheses!$F$13-1))+Hypotheses!$F$14*MAX(0,F3-Hypotheses!$F$13))</f>
        <v>101.818181818182</v>
      </c>
      <c r="G9" s="27" t="n">
        <f aca="false">MIN(G8,Hypotheses!$F$11+(Hypotheses!$F$12-Hypotheses!$F$11)*MIN(1,(G3-1)/MAX(1,Hypotheses!$F$13-1))+Hypotheses!$F$14*MAX(0,G3-Hypotheses!$F$13))</f>
        <v>123.636363636364</v>
      </c>
      <c r="H9" s="27" t="n">
        <f aca="false">MIN(H8,Hypotheses!$F$11+(Hypotheses!$F$12-Hypotheses!$F$11)*MIN(1,(H3-1)/MAX(1,Hypotheses!$F$13-1))+Hypotheses!$F$14*MAX(0,H3-Hypotheses!$F$13))</f>
        <v>145.454545454545</v>
      </c>
      <c r="I9" s="27" t="n">
        <f aca="false">MIN(I8,Hypotheses!$F$11+(Hypotheses!$F$12-Hypotheses!$F$11)*MIN(1,(I3-1)/MAX(1,Hypotheses!$F$13-1))+Hypotheses!$F$14*MAX(0,I3-Hypotheses!$F$13))</f>
        <v>167.272727272727</v>
      </c>
      <c r="J9" s="27" t="n">
        <f aca="false">MIN(J8,Hypotheses!$F$11+(Hypotheses!$F$12-Hypotheses!$F$11)*MIN(1,(J3-1)/MAX(1,Hypotheses!$F$13-1))+Hypotheses!$F$14*MAX(0,J3-Hypotheses!$F$13))</f>
        <v>189.090909090909</v>
      </c>
      <c r="K9" s="27" t="n">
        <f aca="false">MIN(K8,Hypotheses!$F$11+(Hypotheses!$F$12-Hypotheses!$F$11)*MIN(1,(K3-1)/MAX(1,Hypotheses!$F$13-1))+Hypotheses!$F$14*MAX(0,K3-Hypotheses!$F$13))</f>
        <v>210.909090909091</v>
      </c>
      <c r="L9" s="27" t="n">
        <f aca="false">MIN(L8,Hypotheses!$F$11+(Hypotheses!$F$12-Hypotheses!$F$11)*MIN(1,(L3-1)/MAX(1,Hypotheses!$F$13-1))+Hypotheses!$F$14*MAX(0,L3-Hypotheses!$F$13))</f>
        <v>232.727272727273</v>
      </c>
      <c r="M9" s="27" t="n">
        <f aca="false">MIN(M8,Hypotheses!$F$11+(Hypotheses!$F$12-Hypotheses!$F$11)*MIN(1,(M3-1)/MAX(1,Hypotheses!$F$13-1))+Hypotheses!$F$14*MAX(0,M3-Hypotheses!$F$13))</f>
        <v>254.545454545455</v>
      </c>
      <c r="N9" s="27" t="n">
        <f aca="false">MIN(N8,Hypotheses!$F$11+(Hypotheses!$F$12-Hypotheses!$F$11)*MIN(1,(N3-1)/MAX(1,Hypotheses!$F$13-1))+Hypotheses!$F$14*MAX(0,N3-Hypotheses!$F$13))</f>
        <v>276.363636363636</v>
      </c>
      <c r="O9" s="27" t="n">
        <f aca="false">MIN(O8,Hypotheses!$F$11+(Hypotheses!$F$12-Hypotheses!$F$11)*MIN(1,(O3-1)/MAX(1,Hypotheses!$F$13-1))+Hypotheses!$F$14*MAX(0,O3-Hypotheses!$F$13))</f>
        <v>298.181818181818</v>
      </c>
      <c r="P9" s="27" t="n">
        <f aca="false">MIN(P8,Hypotheses!$F$11+(Hypotheses!$F$12-Hypotheses!$F$11)*MIN(1,(P3-1)/MAX(1,Hypotheses!$F$13-1))+Hypotheses!$F$14*MAX(0,P3-Hypotheses!$F$13))</f>
        <v>320</v>
      </c>
      <c r="Q9" s="27" t="n">
        <f aca="false">MIN(Q8,Hypotheses!$F$11+(Hypotheses!$F$12-Hypotheses!$F$11)*MIN(1,(Q3-1)/MAX(1,Hypotheses!$F$13-1))+Hypotheses!$F$14*MAX(0,Q3-Hypotheses!$F$13))</f>
        <v>320</v>
      </c>
      <c r="R9" s="27" t="n">
        <f aca="false">MIN(R8,Hypotheses!$F$11+(Hypotheses!$F$12-Hypotheses!$F$11)*MIN(1,(R3-1)/MAX(1,Hypotheses!$F$13-1))+Hypotheses!$F$14*MAX(0,R3-Hypotheses!$F$13))</f>
        <v>320</v>
      </c>
      <c r="S9" s="27" t="n">
        <f aca="false">MIN(S8,Hypotheses!$F$11+(Hypotheses!$F$12-Hypotheses!$F$11)*MIN(1,(S3-1)/MAX(1,Hypotheses!$F$13-1))+Hypotheses!$F$14*MAX(0,S3-Hypotheses!$F$13))</f>
        <v>320</v>
      </c>
      <c r="T9" s="27" t="n">
        <f aca="false">MIN(T8,Hypotheses!$F$11+(Hypotheses!$F$12-Hypotheses!$F$11)*MIN(1,(T3-1)/MAX(1,Hypotheses!$F$13-1))+Hypotheses!$F$14*MAX(0,T3-Hypotheses!$F$13))</f>
        <v>320</v>
      </c>
      <c r="U9" s="27" t="n">
        <f aca="false">MIN(U8,Hypotheses!$F$11+(Hypotheses!$F$12-Hypotheses!$F$11)*MIN(1,(U3-1)/MAX(1,Hypotheses!$F$13-1))+Hypotheses!$F$14*MAX(0,U3-Hypotheses!$F$13))</f>
        <v>320</v>
      </c>
      <c r="V9" s="27" t="n">
        <f aca="false">MIN(V8,Hypotheses!$F$11+(Hypotheses!$F$12-Hypotheses!$F$11)*MIN(1,(V3-1)/MAX(1,Hypotheses!$F$13-1))+Hypotheses!$F$14*MAX(0,V3-Hypotheses!$F$13))</f>
        <v>320</v>
      </c>
      <c r="W9" s="27" t="n">
        <f aca="false">MIN(W8,Hypotheses!$F$11+(Hypotheses!$F$12-Hypotheses!$F$11)*MIN(1,(W3-1)/MAX(1,Hypotheses!$F$13-1))+Hypotheses!$F$14*MAX(0,W3-Hypotheses!$F$13))</f>
        <v>320</v>
      </c>
      <c r="X9" s="27" t="n">
        <f aca="false">MIN(X8,Hypotheses!$F$11+(Hypotheses!$F$12-Hypotheses!$F$11)*MIN(1,(X3-1)/MAX(1,Hypotheses!$F$13-1))+Hypotheses!$F$14*MAX(0,X3-Hypotheses!$F$13))</f>
        <v>400</v>
      </c>
      <c r="Y9" s="27" t="n">
        <f aca="false">MIN(Y8,Hypotheses!$F$11+(Hypotheses!$F$12-Hypotheses!$F$11)*MIN(1,(Y3-1)/MAX(1,Hypotheses!$F$13-1))+Hypotheses!$F$14*MAX(0,Y3-Hypotheses!$F$13))</f>
        <v>410</v>
      </c>
      <c r="Z9" s="27" t="n">
        <f aca="false">MIN(Z8,Hypotheses!$F$11+(Hypotheses!$F$12-Hypotheses!$F$11)*MIN(1,(Z3-1)/MAX(1,Hypotheses!$F$13-1))+Hypotheses!$F$14*MAX(0,Z3-Hypotheses!$F$13))</f>
        <v>420</v>
      </c>
      <c r="AA9" s="27" t="n">
        <f aca="false">MIN(AA8,Hypotheses!$F$11+(Hypotheses!$F$12-Hypotheses!$F$11)*MIN(1,(AA3-1)/MAX(1,Hypotheses!$F$13-1))+Hypotheses!$F$14*MAX(0,AA3-Hypotheses!$F$13))</f>
        <v>430</v>
      </c>
      <c r="AB9" s="27" t="n">
        <f aca="false">MIN(AB8,Hypotheses!$F$11+(Hypotheses!$F$12-Hypotheses!$F$11)*MIN(1,(AB3-1)/MAX(1,Hypotheses!$F$13-1))+Hypotheses!$F$14*MAX(0,AB3-Hypotheses!$F$13))</f>
        <v>440</v>
      </c>
      <c r="AC9" s="27" t="n">
        <f aca="false">MIN(AC8,Hypotheses!$F$11+(Hypotheses!$F$12-Hypotheses!$F$11)*MIN(1,(AC3-1)/MAX(1,Hypotheses!$F$13-1))+Hypotheses!$F$14*MAX(0,AC3-Hypotheses!$F$13))</f>
        <v>450</v>
      </c>
      <c r="AD9" s="27" t="n">
        <f aca="false">MIN(AD8,Hypotheses!$F$11+(Hypotheses!$F$12-Hypotheses!$F$11)*MIN(1,(AD3-1)/MAX(1,Hypotheses!$F$13-1))+Hypotheses!$F$14*MAX(0,AD3-Hypotheses!$F$13))</f>
        <v>460</v>
      </c>
      <c r="AE9" s="27" t="n">
        <f aca="false">MIN(AE8,Hypotheses!$F$11+(Hypotheses!$F$12-Hypotheses!$F$11)*MIN(1,(AE3-1)/MAX(1,Hypotheses!$F$13-1))+Hypotheses!$F$14*MAX(0,AE3-Hypotheses!$F$13))</f>
        <v>470</v>
      </c>
      <c r="AF9" s="27" t="n">
        <f aca="false">MIN(AF8,Hypotheses!$F$11+(Hypotheses!$F$12-Hypotheses!$F$11)*MIN(1,(AF3-1)/MAX(1,Hypotheses!$F$13-1))+Hypotheses!$F$14*MAX(0,AF3-Hypotheses!$F$13))</f>
        <v>480</v>
      </c>
      <c r="AG9" s="27" t="n">
        <f aca="false">MIN(AG8,Hypotheses!$F$11+(Hypotheses!$F$12-Hypotheses!$F$11)*MIN(1,(AG3-1)/MAX(1,Hypotheses!$F$13-1))+Hypotheses!$F$14*MAX(0,AG3-Hypotheses!$F$13))</f>
        <v>490</v>
      </c>
      <c r="AH9" s="27" t="n">
        <f aca="false">MIN(AH8,Hypotheses!$F$11+(Hypotheses!$F$12-Hypotheses!$F$11)*MIN(1,(AH3-1)/MAX(1,Hypotheses!$F$13-1))+Hypotheses!$F$14*MAX(0,AH3-Hypotheses!$F$13))</f>
        <v>500</v>
      </c>
      <c r="AI9" s="27" t="n">
        <f aca="false">MIN(AI8,Hypotheses!$F$11+(Hypotheses!$F$12-Hypotheses!$F$11)*MIN(1,(AI3-1)/MAX(1,Hypotheses!$F$13-1))+Hypotheses!$F$14*MAX(0,AI3-Hypotheses!$F$13))</f>
        <v>510</v>
      </c>
      <c r="AJ9" s="27" t="n">
        <f aca="false">MIN(AJ8,Hypotheses!$F$11+(Hypotheses!$F$12-Hypotheses!$F$11)*MIN(1,(AJ3-1)/MAX(1,Hypotheses!$F$13-1))+Hypotheses!$F$14*MAX(0,AJ3-Hypotheses!$F$13))</f>
        <v>520</v>
      </c>
      <c r="AK9" s="27" t="n">
        <f aca="false">MIN(AK8,Hypotheses!$F$11+(Hypotheses!$F$12-Hypotheses!$F$11)*MIN(1,(AK3-1)/MAX(1,Hypotheses!$F$13-1))+Hypotheses!$F$14*MAX(0,AK3-Hypotheses!$F$13))</f>
        <v>530</v>
      </c>
      <c r="AL9" s="27" t="n">
        <f aca="false">MIN(AL8,Hypotheses!$F$11+(Hypotheses!$F$12-Hypotheses!$F$11)*MIN(1,(AL3-1)/MAX(1,Hypotheses!$F$13-1))+Hypotheses!$F$14*MAX(0,AL3-Hypotheses!$F$13))</f>
        <v>540</v>
      </c>
      <c r="AM9" s="27" t="n">
        <f aca="false">MIN(AM8,Hypotheses!$F$11+(Hypotheses!$F$12-Hypotheses!$F$11)*MIN(1,(AM3-1)/MAX(1,Hypotheses!$F$13-1))+Hypotheses!$F$14*MAX(0,AM3-Hypotheses!$F$13))</f>
        <v>550</v>
      </c>
      <c r="AN9" s="27" t="n">
        <f aca="false">MIN(AN8,Hypotheses!$F$11+(Hypotheses!$F$12-Hypotheses!$F$11)*MIN(1,(AN3-1)/MAX(1,Hypotheses!$F$13-1))+Hypotheses!$F$14*MAX(0,AN3-Hypotheses!$F$13))</f>
        <v>560</v>
      </c>
      <c r="AO9" s="27" t="n">
        <f aca="false">MIN(AO8,Hypotheses!$F$11+(Hypotheses!$F$12-Hypotheses!$F$11)*MIN(1,(AO3-1)/MAX(1,Hypotheses!$F$13-1))+Hypotheses!$F$14*MAX(0,AO3-Hypotheses!$F$13))</f>
        <v>570</v>
      </c>
      <c r="AP9" s="27" t="n">
        <f aca="false">MIN(AP8,Hypotheses!$F$11+(Hypotheses!$F$12-Hypotheses!$F$11)*MIN(1,(AP3-1)/MAX(1,Hypotheses!$F$13-1))+Hypotheses!$F$14*MAX(0,AP3-Hypotheses!$F$13))</f>
        <v>580</v>
      </c>
      <c r="AQ9" s="27" t="n">
        <f aca="false">MIN(AQ8,Hypotheses!$F$11+(Hypotheses!$F$12-Hypotheses!$F$11)*MIN(1,(AQ3-1)/MAX(1,Hypotheses!$F$13-1))+Hypotheses!$F$14*MAX(0,AQ3-Hypotheses!$F$13))</f>
        <v>590</v>
      </c>
      <c r="AR9" s="27" t="n">
        <f aca="false">MIN(AR8,Hypotheses!$F$11+(Hypotheses!$F$12-Hypotheses!$F$11)*MIN(1,(AR3-1)/MAX(1,Hypotheses!$F$13-1))+Hypotheses!$F$14*MAX(0,AR3-Hypotheses!$F$13))</f>
        <v>600</v>
      </c>
      <c r="AS9" s="27" t="n">
        <f aca="false">MIN(AS8,Hypotheses!$F$11+(Hypotheses!$F$12-Hypotheses!$F$11)*MIN(1,(AS3-1)/MAX(1,Hypotheses!$F$13-1))+Hypotheses!$F$14*MAX(0,AS3-Hypotheses!$F$13))</f>
        <v>610</v>
      </c>
      <c r="AT9" s="27" t="n">
        <f aca="false">MIN(AT8,Hypotheses!$F$11+(Hypotheses!$F$12-Hypotheses!$F$11)*MIN(1,(AT3-1)/MAX(1,Hypotheses!$F$13-1))+Hypotheses!$F$14*MAX(0,AT3-Hypotheses!$F$13))</f>
        <v>620</v>
      </c>
      <c r="AU9" s="27" t="n">
        <f aca="false">MIN(AU8,Hypotheses!$F$11+(Hypotheses!$F$12-Hypotheses!$F$11)*MIN(1,(AU3-1)/MAX(1,Hypotheses!$F$13-1))+Hypotheses!$F$14*MAX(0,AU3-Hypotheses!$F$13))</f>
        <v>630</v>
      </c>
      <c r="AV9" s="27" t="n">
        <f aca="false">MIN(AV8,Hypotheses!$F$11+(Hypotheses!$F$12-Hypotheses!$F$11)*MIN(1,(AV3-1)/MAX(1,Hypotheses!$F$13-1))+Hypotheses!$F$14*MAX(0,AV3-Hypotheses!$F$13))</f>
        <v>640</v>
      </c>
      <c r="AW9" s="27" t="n">
        <f aca="false">MIN(AW8,Hypotheses!$F$11+(Hypotheses!$F$12-Hypotheses!$F$11)*MIN(1,(AW3-1)/MAX(1,Hypotheses!$F$13-1))+Hypotheses!$F$14*MAX(0,AW3-Hypotheses!$F$13))</f>
        <v>640</v>
      </c>
      <c r="AX9" s="27" t="n">
        <f aca="false">MIN(AX8,Hypotheses!$F$11+(Hypotheses!$F$12-Hypotheses!$F$11)*MIN(1,(AX3-1)/MAX(1,Hypotheses!$F$13-1))+Hypotheses!$F$14*MAX(0,AX3-Hypotheses!$F$13))</f>
        <v>640</v>
      </c>
      <c r="AY9" s="27" t="n">
        <f aca="false">MIN(AY8,Hypotheses!$F$11+(Hypotheses!$F$12-Hypotheses!$F$11)*MIN(1,(AY3-1)/MAX(1,Hypotheses!$F$13-1))+Hypotheses!$F$14*MAX(0,AY3-Hypotheses!$F$13))</f>
        <v>640</v>
      </c>
      <c r="AZ9" s="27" t="n">
        <f aca="false">MIN(AZ8,Hypotheses!$F$11+(Hypotheses!$F$12-Hypotheses!$F$11)*MIN(1,(AZ3-1)/MAX(1,Hypotheses!$F$13-1))+Hypotheses!$F$14*MAX(0,AZ3-Hypotheses!$F$13))</f>
        <v>640</v>
      </c>
      <c r="BA9" s="27" t="n">
        <f aca="false">MIN(BA8,Hypotheses!$F$11+(Hypotheses!$F$12-Hypotheses!$F$11)*MIN(1,(BA3-1)/MAX(1,Hypotheses!$F$13-1))+Hypotheses!$F$14*MAX(0,BA3-Hypotheses!$F$13))</f>
        <v>640</v>
      </c>
      <c r="BB9" s="27" t="n">
        <f aca="false">MIN(BB8,Hypotheses!$F$11+(Hypotheses!$F$12-Hypotheses!$F$11)*MIN(1,(BB3-1)/MAX(1,Hypotheses!$F$13-1))+Hypotheses!$F$14*MAX(0,BB3-Hypotheses!$F$13))</f>
        <v>640</v>
      </c>
      <c r="BC9" s="27" t="n">
        <f aca="false">MIN(BC8,Hypotheses!$F$11+(Hypotheses!$F$12-Hypotheses!$F$11)*MIN(1,(BC3-1)/MAX(1,Hypotheses!$F$13-1))+Hypotheses!$F$14*MAX(0,BC3-Hypotheses!$F$13))</f>
        <v>640</v>
      </c>
      <c r="BD9" s="27" t="n">
        <f aca="false">MIN(BD8,Hypotheses!$F$11+(Hypotheses!$F$12-Hypotheses!$F$11)*MIN(1,(BD3-1)/MAX(1,Hypotheses!$F$13-1))+Hypotheses!$F$14*MAX(0,BD3-Hypotheses!$F$13))</f>
        <v>640</v>
      </c>
      <c r="BE9" s="27" t="n">
        <f aca="false">MIN(BE8,Hypotheses!$F$11+(Hypotheses!$F$12-Hypotheses!$F$11)*MIN(1,(BE3-1)/MAX(1,Hypotheses!$F$13-1))+Hypotheses!$F$14*MAX(0,BE3-Hypotheses!$F$13))</f>
        <v>640</v>
      </c>
      <c r="BF9" s="27" t="n">
        <f aca="false">MIN(BF8,Hypotheses!$F$11+(Hypotheses!$F$12-Hypotheses!$F$11)*MIN(1,(BF3-1)/MAX(1,Hypotheses!$F$13-1))+Hypotheses!$F$14*MAX(0,BF3-Hypotheses!$F$13))</f>
        <v>640</v>
      </c>
      <c r="BG9" s="27" t="n">
        <f aca="false">MIN(BG8,Hypotheses!$F$11+(Hypotheses!$F$12-Hypotheses!$F$11)*MIN(1,(BG3-1)/MAX(1,Hypotheses!$F$13-1))+Hypotheses!$F$14*MAX(0,BG3-Hypotheses!$F$13))</f>
        <v>640</v>
      </c>
      <c r="BH9" s="27" t="n">
        <f aca="false">MIN(BH8,Hypotheses!$F$11+(Hypotheses!$F$12-Hypotheses!$F$11)*MIN(1,(BH3-1)/MAX(1,Hypotheses!$F$13-1))+Hypotheses!$F$14*MAX(0,BH3-Hypotheses!$F$13))</f>
        <v>640</v>
      </c>
      <c r="BI9" s="27" t="n">
        <f aca="false">MIN(BI8,Hypotheses!$F$11+(Hypotheses!$F$12-Hypotheses!$F$11)*MIN(1,(BI3-1)/MAX(1,Hypotheses!$F$13-1))+Hypotheses!$F$14*MAX(0,BI3-Hypotheses!$F$13))</f>
        <v>640</v>
      </c>
      <c r="BJ9" s="27" t="n">
        <f aca="false">MIN(BJ8,Hypotheses!$F$11+(Hypotheses!$F$12-Hypotheses!$F$11)*MIN(1,(BJ3-1)/MAX(1,Hypotheses!$F$13-1))+Hypotheses!$F$14*MAX(0,BJ3-Hypotheses!$F$13))</f>
        <v>640</v>
      </c>
      <c r="BK9" s="27" t="n">
        <f aca="false">MIN(BK8,Hypotheses!$F$11+(Hypotheses!$F$12-Hypotheses!$F$11)*MIN(1,(BK3-1)/MAX(1,Hypotheses!$F$13-1))+Hypotheses!$F$14*MAX(0,BK3-Hypotheses!$F$13))</f>
        <v>640</v>
      </c>
      <c r="BL9" s="27" t="n">
        <f aca="false">MIN(BL8,Hypotheses!$F$11+(Hypotheses!$F$12-Hypotheses!$F$11)*MIN(1,(BL3-1)/MAX(1,Hypotheses!$F$13-1))+Hypotheses!$F$14*MAX(0,BL3-Hypotheses!$F$13))</f>
        <v>640</v>
      </c>
    </row>
    <row r="10" customFormat="false" ht="15" hidden="false" customHeight="false" outlineLevel="0" collapsed="false">
      <c r="B10" s="2" t="s">
        <v>266</v>
      </c>
      <c r="C10" s="2" t="s">
        <v>167</v>
      </c>
      <c r="E10" s="35" t="n">
        <f aca="false">IF(E8&gt;0,E9/E8,0)</f>
        <v>0.25</v>
      </c>
      <c r="F10" s="35" t="n">
        <f aca="false">IF(F8&gt;0,F9/F8,0)</f>
        <v>0.318181818181818</v>
      </c>
      <c r="G10" s="35" t="n">
        <f aca="false">IF(G8&gt;0,G9/G8,0)</f>
        <v>0.386363636363636</v>
      </c>
      <c r="H10" s="35" t="n">
        <f aca="false">IF(H8&gt;0,H9/H8,0)</f>
        <v>0.454545454545455</v>
      </c>
      <c r="I10" s="35" t="n">
        <f aca="false">IF(I8&gt;0,I9/I8,0)</f>
        <v>0.522727272727273</v>
      </c>
      <c r="J10" s="35" t="n">
        <f aca="false">IF(J8&gt;0,J9/J8,0)</f>
        <v>0.590909090909091</v>
      </c>
      <c r="K10" s="35" t="n">
        <f aca="false">IF(K8&gt;0,K9/K8,0)</f>
        <v>0.659090909090909</v>
      </c>
      <c r="L10" s="35" t="n">
        <f aca="false">IF(L8&gt;0,L9/L8,0)</f>
        <v>0.727272727272727</v>
      </c>
      <c r="M10" s="35" t="n">
        <f aca="false">IF(M8&gt;0,M9/M8,0)</f>
        <v>0.795454545454546</v>
      </c>
      <c r="N10" s="35" t="n">
        <f aca="false">IF(N8&gt;0,N9/N8,0)</f>
        <v>0.863636363636364</v>
      </c>
      <c r="O10" s="35" t="n">
        <f aca="false">IF(O8&gt;0,O9/O8,0)</f>
        <v>0.931818181818182</v>
      </c>
      <c r="P10" s="35" t="n">
        <f aca="false">IF(P8&gt;0,P9/P8,0)</f>
        <v>1</v>
      </c>
      <c r="Q10" s="35" t="n">
        <f aca="false">IF(Q8&gt;0,Q9/Q8,0)</f>
        <v>1</v>
      </c>
      <c r="R10" s="35" t="n">
        <f aca="false">IF(R8&gt;0,R9/R8,0)</f>
        <v>1</v>
      </c>
      <c r="S10" s="35" t="n">
        <f aca="false">IF(S8&gt;0,S9/S8,0)</f>
        <v>1</v>
      </c>
      <c r="T10" s="35" t="n">
        <f aca="false">IF(T8&gt;0,T9/T8,0)</f>
        <v>1</v>
      </c>
      <c r="U10" s="35" t="n">
        <f aca="false">IF(U8&gt;0,U9/U8,0)</f>
        <v>1</v>
      </c>
      <c r="V10" s="35" t="n">
        <f aca="false">IF(V8&gt;0,V9/V8,0)</f>
        <v>1</v>
      </c>
      <c r="W10" s="35" t="n">
        <f aca="false">IF(W8&gt;0,W9/W8,0)</f>
        <v>1</v>
      </c>
      <c r="X10" s="35" t="n">
        <f aca="false">IF(X8&gt;0,X9/X8,0)</f>
        <v>0.625</v>
      </c>
      <c r="Y10" s="35" t="n">
        <f aca="false">IF(Y8&gt;0,Y9/Y8,0)</f>
        <v>0.640625</v>
      </c>
      <c r="Z10" s="35" t="n">
        <f aca="false">IF(Z8&gt;0,Z9/Z8,0)</f>
        <v>0.65625</v>
      </c>
      <c r="AA10" s="35" t="n">
        <f aca="false">IF(AA8&gt;0,AA9/AA8,0)</f>
        <v>0.671875</v>
      </c>
      <c r="AB10" s="35" t="n">
        <f aca="false">IF(AB8&gt;0,AB9/AB8,0)</f>
        <v>0.6875</v>
      </c>
      <c r="AC10" s="35" t="n">
        <f aca="false">IF(AC8&gt;0,AC9/AC8,0)</f>
        <v>0.703125</v>
      </c>
      <c r="AD10" s="35" t="n">
        <f aca="false">IF(AD8&gt;0,AD9/AD8,0)</f>
        <v>0.71875</v>
      </c>
      <c r="AE10" s="35" t="n">
        <f aca="false">IF(AE8&gt;0,AE9/AE8,0)</f>
        <v>0.734375</v>
      </c>
      <c r="AF10" s="35" t="n">
        <f aca="false">IF(AF8&gt;0,AF9/AF8,0)</f>
        <v>0.75</v>
      </c>
      <c r="AG10" s="35" t="n">
        <f aca="false">IF(AG8&gt;0,AG9/AG8,0)</f>
        <v>0.765625</v>
      </c>
      <c r="AH10" s="35" t="n">
        <f aca="false">IF(AH8&gt;0,AH9/AH8,0)</f>
        <v>0.78125</v>
      </c>
      <c r="AI10" s="35" t="n">
        <f aca="false">IF(AI8&gt;0,AI9/AI8,0)</f>
        <v>0.796875</v>
      </c>
      <c r="AJ10" s="35" t="n">
        <f aca="false">IF(AJ8&gt;0,AJ9/AJ8,0)</f>
        <v>0.8125</v>
      </c>
      <c r="AK10" s="35" t="n">
        <f aca="false">IF(AK8&gt;0,AK9/AK8,0)</f>
        <v>0.828125</v>
      </c>
      <c r="AL10" s="35" t="n">
        <f aca="false">IF(AL8&gt;0,AL9/AL8,0)</f>
        <v>0.84375</v>
      </c>
      <c r="AM10" s="35" t="n">
        <f aca="false">IF(AM8&gt;0,AM9/AM8,0)</f>
        <v>0.859375</v>
      </c>
      <c r="AN10" s="35" t="n">
        <f aca="false">IF(AN8&gt;0,AN9/AN8,0)</f>
        <v>0.875</v>
      </c>
      <c r="AO10" s="35" t="n">
        <f aca="false">IF(AO8&gt;0,AO9/AO8,0)</f>
        <v>0.890625</v>
      </c>
      <c r="AP10" s="35" t="n">
        <f aca="false">IF(AP8&gt;0,AP9/AP8,0)</f>
        <v>0.90625</v>
      </c>
      <c r="AQ10" s="35" t="n">
        <f aca="false">IF(AQ8&gt;0,AQ9/AQ8,0)</f>
        <v>0.921875</v>
      </c>
      <c r="AR10" s="35" t="n">
        <f aca="false">IF(AR8&gt;0,AR9/AR8,0)</f>
        <v>0.9375</v>
      </c>
      <c r="AS10" s="35" t="n">
        <f aca="false">IF(AS8&gt;0,AS9/AS8,0)</f>
        <v>0.953125</v>
      </c>
      <c r="AT10" s="35" t="n">
        <f aca="false">IF(AT8&gt;0,AT9/AT8,0)</f>
        <v>0.96875</v>
      </c>
      <c r="AU10" s="35" t="n">
        <f aca="false">IF(AU8&gt;0,AU9/AU8,0)</f>
        <v>0.984375</v>
      </c>
      <c r="AV10" s="35" t="n">
        <f aca="false">IF(AV8&gt;0,AV9/AV8,0)</f>
        <v>1</v>
      </c>
      <c r="AW10" s="35" t="n">
        <f aca="false">IF(AW8&gt;0,AW9/AW8,0)</f>
        <v>1</v>
      </c>
      <c r="AX10" s="35" t="n">
        <f aca="false">IF(AX8&gt;0,AX9/AX8,0)</f>
        <v>1</v>
      </c>
      <c r="AY10" s="35" t="n">
        <f aca="false">IF(AY8&gt;0,AY9/AY8,0)</f>
        <v>1</v>
      </c>
      <c r="AZ10" s="35" t="n">
        <f aca="false">IF(AZ8&gt;0,AZ9/AZ8,0)</f>
        <v>1</v>
      </c>
      <c r="BA10" s="35" t="n">
        <f aca="false">IF(BA8&gt;0,BA9/BA8,0)</f>
        <v>1</v>
      </c>
      <c r="BB10" s="35" t="n">
        <f aca="false">IF(BB8&gt;0,BB9/BB8,0)</f>
        <v>1</v>
      </c>
      <c r="BC10" s="35" t="n">
        <f aca="false">IF(BC8&gt;0,BC9/BC8,0)</f>
        <v>1</v>
      </c>
      <c r="BD10" s="35" t="n">
        <f aca="false">IF(BD8&gt;0,BD9/BD8,0)</f>
        <v>1</v>
      </c>
      <c r="BE10" s="35" t="n">
        <f aca="false">IF(BE8&gt;0,BE9/BE8,0)</f>
        <v>1</v>
      </c>
      <c r="BF10" s="35" t="n">
        <f aca="false">IF(BF8&gt;0,BF9/BF8,0)</f>
        <v>1</v>
      </c>
      <c r="BG10" s="35" t="n">
        <f aca="false">IF(BG8&gt;0,BG9/BG8,0)</f>
        <v>1</v>
      </c>
      <c r="BH10" s="35" t="n">
        <f aca="false">IF(BH8&gt;0,BH9/BH8,0)</f>
        <v>1</v>
      </c>
      <c r="BI10" s="35" t="n">
        <f aca="false">IF(BI8&gt;0,BI9/BI8,0)</f>
        <v>1</v>
      </c>
      <c r="BJ10" s="35" t="n">
        <f aca="false">IF(BJ8&gt;0,BJ9/BJ8,0)</f>
        <v>1</v>
      </c>
      <c r="BK10" s="35" t="n">
        <f aca="false">IF(BK8&gt;0,BK9/BK8,0)</f>
        <v>1</v>
      </c>
      <c r="BL10" s="35" t="n">
        <f aca="false">IF(BL8&gt;0,BL9/BL8,0)</f>
        <v>1</v>
      </c>
    </row>
    <row r="11" customFormat="false" ht="15" hidden="false" customHeight="false" outlineLevel="0" collapsed="false">
      <c r="B11" s="2" t="s">
        <v>267</v>
      </c>
      <c r="C11" s="2" t="s">
        <v>268</v>
      </c>
      <c r="E11" s="27" t="n">
        <f aca="false">E9*Hypotheses!$F$17</f>
        <v>2080</v>
      </c>
      <c r="F11" s="27" t="n">
        <f aca="false">F9*Hypotheses!$F$17</f>
        <v>2647.27272727273</v>
      </c>
      <c r="G11" s="27" t="n">
        <f aca="false">G9*Hypotheses!$F$17</f>
        <v>3214.54545454545</v>
      </c>
      <c r="H11" s="27" t="n">
        <f aca="false">H9*Hypotheses!$F$17</f>
        <v>3781.81818181818</v>
      </c>
      <c r="I11" s="27" t="n">
        <f aca="false">I9*Hypotheses!$F$17</f>
        <v>4349.09090909091</v>
      </c>
      <c r="J11" s="27" t="n">
        <f aca="false">J9*Hypotheses!$F$17</f>
        <v>4916.36363636364</v>
      </c>
      <c r="K11" s="27" t="n">
        <f aca="false">K9*Hypotheses!$F$17</f>
        <v>5483.63636363636</v>
      </c>
      <c r="L11" s="27" t="n">
        <f aca="false">L9*Hypotheses!$F$17</f>
        <v>6050.90909090909</v>
      </c>
      <c r="M11" s="27" t="n">
        <f aca="false">M9*Hypotheses!$F$17</f>
        <v>6618.18181818182</v>
      </c>
      <c r="N11" s="27" t="n">
        <f aca="false">N9*Hypotheses!$F$17</f>
        <v>7185.45454545455</v>
      </c>
      <c r="O11" s="27" t="n">
        <f aca="false">O9*Hypotheses!$F$17</f>
        <v>7752.72727272727</v>
      </c>
      <c r="P11" s="27" t="n">
        <f aca="false">P9*Hypotheses!$F$17</f>
        <v>8320</v>
      </c>
      <c r="Q11" s="27" t="n">
        <f aca="false">Q9*Hypotheses!$F$17</f>
        <v>8320</v>
      </c>
      <c r="R11" s="27" t="n">
        <f aca="false">R9*Hypotheses!$F$17</f>
        <v>8320</v>
      </c>
      <c r="S11" s="27" t="n">
        <f aca="false">S9*Hypotheses!$F$17</f>
        <v>8320</v>
      </c>
      <c r="T11" s="27" t="n">
        <f aca="false">T9*Hypotheses!$F$17</f>
        <v>8320</v>
      </c>
      <c r="U11" s="27" t="n">
        <f aca="false">U9*Hypotheses!$F$17</f>
        <v>8320</v>
      </c>
      <c r="V11" s="27" t="n">
        <f aca="false">V9*Hypotheses!$F$17</f>
        <v>8320</v>
      </c>
      <c r="W11" s="27" t="n">
        <f aca="false">W9*Hypotheses!$F$17</f>
        <v>8320</v>
      </c>
      <c r="X11" s="27" t="n">
        <f aca="false">X9*Hypotheses!$F$17</f>
        <v>10400</v>
      </c>
      <c r="Y11" s="27" t="n">
        <f aca="false">Y9*Hypotheses!$F$17</f>
        <v>10660</v>
      </c>
      <c r="Z11" s="27" t="n">
        <f aca="false">Z9*Hypotheses!$F$17</f>
        <v>10920</v>
      </c>
      <c r="AA11" s="27" t="n">
        <f aca="false">AA9*Hypotheses!$F$17</f>
        <v>11180</v>
      </c>
      <c r="AB11" s="27" t="n">
        <f aca="false">AB9*Hypotheses!$F$17</f>
        <v>11440</v>
      </c>
      <c r="AC11" s="27" t="n">
        <f aca="false">AC9*Hypotheses!$F$17</f>
        <v>11700</v>
      </c>
      <c r="AD11" s="27" t="n">
        <f aca="false">AD9*Hypotheses!$F$17</f>
        <v>11960</v>
      </c>
      <c r="AE11" s="27" t="n">
        <f aca="false">AE9*Hypotheses!$F$17</f>
        <v>12220</v>
      </c>
      <c r="AF11" s="27" t="n">
        <f aca="false">AF9*Hypotheses!$F$17</f>
        <v>12480</v>
      </c>
      <c r="AG11" s="27" t="n">
        <f aca="false">AG9*Hypotheses!$F$17</f>
        <v>12740</v>
      </c>
      <c r="AH11" s="27" t="n">
        <f aca="false">AH9*Hypotheses!$F$17</f>
        <v>13000</v>
      </c>
      <c r="AI11" s="27" t="n">
        <f aca="false">AI9*Hypotheses!$F$17</f>
        <v>13260</v>
      </c>
      <c r="AJ11" s="27" t="n">
        <f aca="false">AJ9*Hypotheses!$F$17</f>
        <v>13520</v>
      </c>
      <c r="AK11" s="27" t="n">
        <f aca="false">AK9*Hypotheses!$F$17</f>
        <v>13780</v>
      </c>
      <c r="AL11" s="27" t="n">
        <f aca="false">AL9*Hypotheses!$F$17</f>
        <v>14040</v>
      </c>
      <c r="AM11" s="27" t="n">
        <f aca="false">AM9*Hypotheses!$F$17</f>
        <v>14300</v>
      </c>
      <c r="AN11" s="27" t="n">
        <f aca="false">AN9*Hypotheses!$F$17</f>
        <v>14560</v>
      </c>
      <c r="AO11" s="27" t="n">
        <f aca="false">AO9*Hypotheses!$F$17</f>
        <v>14820</v>
      </c>
      <c r="AP11" s="27" t="n">
        <f aca="false">AP9*Hypotheses!$F$17</f>
        <v>15080</v>
      </c>
      <c r="AQ11" s="27" t="n">
        <f aca="false">AQ9*Hypotheses!$F$17</f>
        <v>15340</v>
      </c>
      <c r="AR11" s="27" t="n">
        <f aca="false">AR9*Hypotheses!$F$17</f>
        <v>15600</v>
      </c>
      <c r="AS11" s="27" t="n">
        <f aca="false">AS9*Hypotheses!$F$17</f>
        <v>15860</v>
      </c>
      <c r="AT11" s="27" t="n">
        <f aca="false">AT9*Hypotheses!$F$17</f>
        <v>16120</v>
      </c>
      <c r="AU11" s="27" t="n">
        <f aca="false">AU9*Hypotheses!$F$17</f>
        <v>16380</v>
      </c>
      <c r="AV11" s="27" t="n">
        <f aca="false">AV9*Hypotheses!$F$17</f>
        <v>16640</v>
      </c>
      <c r="AW11" s="27" t="n">
        <f aca="false">AW9*Hypotheses!$F$17</f>
        <v>16640</v>
      </c>
      <c r="AX11" s="27" t="n">
        <f aca="false">AX9*Hypotheses!$F$17</f>
        <v>16640</v>
      </c>
      <c r="AY11" s="27" t="n">
        <f aca="false">AY9*Hypotheses!$F$17</f>
        <v>16640</v>
      </c>
      <c r="AZ11" s="27" t="n">
        <f aca="false">AZ9*Hypotheses!$F$17</f>
        <v>16640</v>
      </c>
      <c r="BA11" s="27" t="n">
        <f aca="false">BA9*Hypotheses!$F$17</f>
        <v>16640</v>
      </c>
      <c r="BB11" s="27" t="n">
        <f aca="false">BB9*Hypotheses!$F$17</f>
        <v>16640</v>
      </c>
      <c r="BC11" s="27" t="n">
        <f aca="false">BC9*Hypotheses!$F$17</f>
        <v>16640</v>
      </c>
      <c r="BD11" s="27" t="n">
        <f aca="false">BD9*Hypotheses!$F$17</f>
        <v>16640</v>
      </c>
      <c r="BE11" s="27" t="n">
        <f aca="false">BE9*Hypotheses!$F$17</f>
        <v>16640</v>
      </c>
      <c r="BF11" s="27" t="n">
        <f aca="false">BF9*Hypotheses!$F$17</f>
        <v>16640</v>
      </c>
      <c r="BG11" s="27" t="n">
        <f aca="false">BG9*Hypotheses!$F$17</f>
        <v>16640</v>
      </c>
      <c r="BH11" s="27" t="n">
        <f aca="false">BH9*Hypotheses!$F$17</f>
        <v>16640</v>
      </c>
      <c r="BI11" s="27" t="n">
        <f aca="false">BI9*Hypotheses!$F$17</f>
        <v>16640</v>
      </c>
      <c r="BJ11" s="27" t="n">
        <f aca="false">BJ9*Hypotheses!$F$17</f>
        <v>16640</v>
      </c>
      <c r="BK11" s="27" t="n">
        <f aca="false">BK9*Hypotheses!$F$17</f>
        <v>16640</v>
      </c>
      <c r="BL11" s="27" t="n">
        <f aca="false">BL9*Hypotheses!$F$17</f>
        <v>16640</v>
      </c>
    </row>
    <row r="12" customFormat="false" ht="15" hidden="false" customHeight="false" outlineLevel="0" collapsed="false">
      <c r="B12" s="2" t="s">
        <v>269</v>
      </c>
      <c r="C12" s="2" t="s">
        <v>167</v>
      </c>
      <c r="E12" s="35" t="n">
        <f aca="false">Hypotheses!$F$21*MIN(1,(E3-1)/47)</f>
        <v>0</v>
      </c>
      <c r="F12" s="35" t="n">
        <f aca="false">Hypotheses!$F$21*MIN(1,(F3-1)/47)</f>
        <v>0.0127659574468085</v>
      </c>
      <c r="G12" s="35" t="n">
        <f aca="false">Hypotheses!$F$21*MIN(1,(G3-1)/47)</f>
        <v>0.025531914893617</v>
      </c>
      <c r="H12" s="35" t="n">
        <f aca="false">Hypotheses!$F$21*MIN(1,(H3-1)/47)</f>
        <v>0.0382978723404255</v>
      </c>
      <c r="I12" s="35" t="n">
        <f aca="false">Hypotheses!$F$21*MIN(1,(I3-1)/47)</f>
        <v>0.051063829787234</v>
      </c>
      <c r="J12" s="35" t="n">
        <f aca="false">Hypotheses!$F$21*MIN(1,(J3-1)/47)</f>
        <v>0.0638297872340426</v>
      </c>
      <c r="K12" s="35" t="n">
        <f aca="false">Hypotheses!$F$21*MIN(1,(K3-1)/47)</f>
        <v>0.0765957446808511</v>
      </c>
      <c r="L12" s="35" t="n">
        <f aca="false">Hypotheses!$F$21*MIN(1,(L3-1)/47)</f>
        <v>0.0893617021276596</v>
      </c>
      <c r="M12" s="35" t="n">
        <f aca="false">Hypotheses!$F$21*MIN(1,(M3-1)/47)</f>
        <v>0.102127659574468</v>
      </c>
      <c r="N12" s="35" t="n">
        <f aca="false">Hypotheses!$F$21*MIN(1,(N3-1)/47)</f>
        <v>0.114893617021277</v>
      </c>
      <c r="O12" s="35" t="n">
        <f aca="false">Hypotheses!$F$21*MIN(1,(O3-1)/47)</f>
        <v>0.127659574468085</v>
      </c>
      <c r="P12" s="35" t="n">
        <f aca="false">Hypotheses!$F$21*MIN(1,(P3-1)/47)</f>
        <v>0.140425531914894</v>
      </c>
      <c r="Q12" s="35" t="n">
        <f aca="false">Hypotheses!$F$21*MIN(1,(Q3-1)/47)</f>
        <v>0.153191489361702</v>
      </c>
      <c r="R12" s="35" t="n">
        <f aca="false">Hypotheses!$F$21*MIN(1,(R3-1)/47)</f>
        <v>0.165957446808511</v>
      </c>
      <c r="S12" s="35" t="n">
        <f aca="false">Hypotheses!$F$21*MIN(1,(S3-1)/47)</f>
        <v>0.178723404255319</v>
      </c>
      <c r="T12" s="35" t="n">
        <f aca="false">Hypotheses!$F$21*MIN(1,(T3-1)/47)</f>
        <v>0.191489361702128</v>
      </c>
      <c r="U12" s="35" t="n">
        <f aca="false">Hypotheses!$F$21*MIN(1,(U3-1)/47)</f>
        <v>0.204255319148936</v>
      </c>
      <c r="V12" s="35" t="n">
        <f aca="false">Hypotheses!$F$21*MIN(1,(V3-1)/47)</f>
        <v>0.217021276595745</v>
      </c>
      <c r="W12" s="35" t="n">
        <f aca="false">Hypotheses!$F$21*MIN(1,(W3-1)/47)</f>
        <v>0.229787234042553</v>
      </c>
      <c r="X12" s="35" t="n">
        <f aca="false">Hypotheses!$F$21*MIN(1,(X3-1)/47)</f>
        <v>0.242553191489362</v>
      </c>
      <c r="Y12" s="35" t="n">
        <f aca="false">Hypotheses!$F$21*MIN(1,(Y3-1)/47)</f>
        <v>0.25531914893617</v>
      </c>
      <c r="Z12" s="35" t="n">
        <f aca="false">Hypotheses!$F$21*MIN(1,(Z3-1)/47)</f>
        <v>0.268085106382979</v>
      </c>
      <c r="AA12" s="35" t="n">
        <f aca="false">Hypotheses!$F$21*MIN(1,(AA3-1)/47)</f>
        <v>0.280851063829787</v>
      </c>
      <c r="AB12" s="35" t="n">
        <f aca="false">Hypotheses!$F$21*MIN(1,(AB3-1)/47)</f>
        <v>0.293617021276596</v>
      </c>
      <c r="AC12" s="35" t="n">
        <f aca="false">Hypotheses!$F$21*MIN(1,(AC3-1)/47)</f>
        <v>0.306382978723404</v>
      </c>
      <c r="AD12" s="35" t="n">
        <f aca="false">Hypotheses!$F$21*MIN(1,(AD3-1)/47)</f>
        <v>0.319148936170213</v>
      </c>
      <c r="AE12" s="35" t="n">
        <f aca="false">Hypotheses!$F$21*MIN(1,(AE3-1)/47)</f>
        <v>0.331914893617021</v>
      </c>
      <c r="AF12" s="35" t="n">
        <f aca="false">Hypotheses!$F$21*MIN(1,(AF3-1)/47)</f>
        <v>0.34468085106383</v>
      </c>
      <c r="AG12" s="35" t="n">
        <f aca="false">Hypotheses!$F$21*MIN(1,(AG3-1)/47)</f>
        <v>0.357446808510638</v>
      </c>
      <c r="AH12" s="35" t="n">
        <f aca="false">Hypotheses!$F$21*MIN(1,(AH3-1)/47)</f>
        <v>0.370212765957447</v>
      </c>
      <c r="AI12" s="35" t="n">
        <f aca="false">Hypotheses!$F$21*MIN(1,(AI3-1)/47)</f>
        <v>0.382978723404255</v>
      </c>
      <c r="AJ12" s="35" t="n">
        <f aca="false">Hypotheses!$F$21*MIN(1,(AJ3-1)/47)</f>
        <v>0.395744680851064</v>
      </c>
      <c r="AK12" s="35" t="n">
        <f aca="false">Hypotheses!$F$21*MIN(1,(AK3-1)/47)</f>
        <v>0.408510638297872</v>
      </c>
      <c r="AL12" s="35" t="n">
        <f aca="false">Hypotheses!$F$21*MIN(1,(AL3-1)/47)</f>
        <v>0.421276595744681</v>
      </c>
      <c r="AM12" s="35" t="n">
        <f aca="false">Hypotheses!$F$21*MIN(1,(AM3-1)/47)</f>
        <v>0.434042553191489</v>
      </c>
      <c r="AN12" s="35" t="n">
        <f aca="false">Hypotheses!$F$21*MIN(1,(AN3-1)/47)</f>
        <v>0.446808510638298</v>
      </c>
      <c r="AO12" s="35" t="n">
        <f aca="false">Hypotheses!$F$21*MIN(1,(AO3-1)/47)</f>
        <v>0.459574468085106</v>
      </c>
      <c r="AP12" s="35" t="n">
        <f aca="false">Hypotheses!$F$21*MIN(1,(AP3-1)/47)</f>
        <v>0.472340425531915</v>
      </c>
      <c r="AQ12" s="35" t="n">
        <f aca="false">Hypotheses!$F$21*MIN(1,(AQ3-1)/47)</f>
        <v>0.485106382978723</v>
      </c>
      <c r="AR12" s="35" t="n">
        <f aca="false">Hypotheses!$F$21*MIN(1,(AR3-1)/47)</f>
        <v>0.497872340425532</v>
      </c>
      <c r="AS12" s="35" t="n">
        <f aca="false">Hypotheses!$F$21*MIN(1,(AS3-1)/47)</f>
        <v>0.51063829787234</v>
      </c>
      <c r="AT12" s="35" t="n">
        <f aca="false">Hypotheses!$F$21*MIN(1,(AT3-1)/47)</f>
        <v>0.523404255319149</v>
      </c>
      <c r="AU12" s="35" t="n">
        <f aca="false">Hypotheses!$F$21*MIN(1,(AU3-1)/47)</f>
        <v>0.536170212765957</v>
      </c>
      <c r="AV12" s="35" t="n">
        <f aca="false">Hypotheses!$F$21*MIN(1,(AV3-1)/47)</f>
        <v>0.548936170212766</v>
      </c>
      <c r="AW12" s="35" t="n">
        <f aca="false">Hypotheses!$F$21*MIN(1,(AW3-1)/47)</f>
        <v>0.561702127659575</v>
      </c>
      <c r="AX12" s="35" t="n">
        <f aca="false">Hypotheses!$F$21*MIN(1,(AX3-1)/47)</f>
        <v>0.574468085106383</v>
      </c>
      <c r="AY12" s="35" t="n">
        <f aca="false">Hypotheses!$F$21*MIN(1,(AY3-1)/47)</f>
        <v>0.587234042553191</v>
      </c>
      <c r="AZ12" s="35" t="n">
        <f aca="false">Hypotheses!$F$21*MIN(1,(AZ3-1)/47)</f>
        <v>0.6</v>
      </c>
      <c r="BA12" s="35" t="n">
        <f aca="false">Hypotheses!$F$21*MIN(1,(BA3-1)/47)</f>
        <v>0.6</v>
      </c>
      <c r="BB12" s="35" t="n">
        <f aca="false">Hypotheses!$F$21*MIN(1,(BB3-1)/47)</f>
        <v>0.6</v>
      </c>
      <c r="BC12" s="35" t="n">
        <f aca="false">Hypotheses!$F$21*MIN(1,(BC3-1)/47)</f>
        <v>0.6</v>
      </c>
      <c r="BD12" s="35" t="n">
        <f aca="false">Hypotheses!$F$21*MIN(1,(BD3-1)/47)</f>
        <v>0.6</v>
      </c>
      <c r="BE12" s="35" t="n">
        <f aca="false">Hypotheses!$F$21*MIN(1,(BE3-1)/47)</f>
        <v>0.6</v>
      </c>
      <c r="BF12" s="35" t="n">
        <f aca="false">Hypotheses!$F$21*MIN(1,(BF3-1)/47)</f>
        <v>0.6</v>
      </c>
      <c r="BG12" s="35" t="n">
        <f aca="false">Hypotheses!$F$21*MIN(1,(BG3-1)/47)</f>
        <v>0.6</v>
      </c>
      <c r="BH12" s="35" t="n">
        <f aca="false">Hypotheses!$F$21*MIN(1,(BH3-1)/47)</f>
        <v>0.6</v>
      </c>
      <c r="BI12" s="35" t="n">
        <f aca="false">Hypotheses!$F$21*MIN(1,(BI3-1)/47)</f>
        <v>0.6</v>
      </c>
      <c r="BJ12" s="35" t="n">
        <f aca="false">Hypotheses!$F$21*MIN(1,(BJ3-1)/47)</f>
        <v>0.6</v>
      </c>
      <c r="BK12" s="35" t="n">
        <f aca="false">Hypotheses!$F$21*MIN(1,(BK3-1)/47)</f>
        <v>0.6</v>
      </c>
      <c r="BL12" s="35" t="n">
        <f aca="false">Hypotheses!$F$21*MIN(1,(BL3-1)/47)</f>
        <v>0.6</v>
      </c>
    </row>
    <row r="13" customFormat="false" ht="15" hidden="false" customHeight="false" outlineLevel="0" collapsed="false">
      <c r="B13" s="2" t="s">
        <v>270</v>
      </c>
      <c r="C13" s="2" t="s">
        <v>268</v>
      </c>
      <c r="E13" s="27" t="n">
        <f aca="false">E11*(1-E12)</f>
        <v>2080</v>
      </c>
      <c r="F13" s="27" t="n">
        <f aca="false">F11*(1-F12)</f>
        <v>2613.47775628627</v>
      </c>
      <c r="G13" s="27" t="n">
        <f aca="false">G11*(1-G12)</f>
        <v>3132.47195357834</v>
      </c>
      <c r="H13" s="27" t="n">
        <f aca="false">H11*(1-H12)</f>
        <v>3636.98259187621</v>
      </c>
      <c r="I13" s="27" t="n">
        <f aca="false">I11*(1-I12)</f>
        <v>4127.00967117988</v>
      </c>
      <c r="J13" s="27" t="n">
        <f aca="false">J11*(1-J12)</f>
        <v>4602.55319148936</v>
      </c>
      <c r="K13" s="27" t="n">
        <f aca="false">K11*(1-K12)</f>
        <v>5063.61315280464</v>
      </c>
      <c r="L13" s="27" t="n">
        <f aca="false">L11*(1-L12)</f>
        <v>5510.18955512573</v>
      </c>
      <c r="M13" s="27" t="n">
        <f aca="false">M11*(1-M12)</f>
        <v>5942.28239845261</v>
      </c>
      <c r="N13" s="27" t="n">
        <f aca="false">N11*(1-N12)</f>
        <v>6359.8916827853</v>
      </c>
      <c r="O13" s="27" t="n">
        <f aca="false">O11*(1-O12)</f>
        <v>6763.01740812379</v>
      </c>
      <c r="P13" s="27" t="n">
        <f aca="false">P11*(1-P12)</f>
        <v>7151.65957446809</v>
      </c>
      <c r="Q13" s="27" t="n">
        <f aca="false">Q11*(1-Q12)</f>
        <v>7045.44680851064</v>
      </c>
      <c r="R13" s="27" t="n">
        <f aca="false">R11*(1-R12)</f>
        <v>6939.23404255319</v>
      </c>
      <c r="S13" s="27" t="n">
        <f aca="false">S11*(1-S12)</f>
        <v>6833.02127659574</v>
      </c>
      <c r="T13" s="27" t="n">
        <f aca="false">T11*(1-T12)</f>
        <v>6726.8085106383</v>
      </c>
      <c r="U13" s="27" t="n">
        <f aca="false">U11*(1-U12)</f>
        <v>6620.59574468085</v>
      </c>
      <c r="V13" s="27" t="n">
        <f aca="false">V11*(1-V12)</f>
        <v>6514.3829787234</v>
      </c>
      <c r="W13" s="27" t="n">
        <f aca="false">W11*(1-W12)</f>
        <v>6408.17021276596</v>
      </c>
      <c r="X13" s="27" t="n">
        <f aca="false">X11*(1-X12)</f>
        <v>7877.44680851064</v>
      </c>
      <c r="Y13" s="27" t="n">
        <f aca="false">Y11*(1-Y12)</f>
        <v>7938.29787234043</v>
      </c>
      <c r="Z13" s="27" t="n">
        <f aca="false">Z11*(1-Z12)</f>
        <v>7992.51063829787</v>
      </c>
      <c r="AA13" s="27" t="n">
        <f aca="false">AA11*(1-AA12)</f>
        <v>8040.08510638298</v>
      </c>
      <c r="AB13" s="27" t="n">
        <f aca="false">AB11*(1-AB12)</f>
        <v>8081.02127659575</v>
      </c>
      <c r="AC13" s="27" t="n">
        <f aca="false">AC11*(1-AC12)</f>
        <v>8115.31914893617</v>
      </c>
      <c r="AD13" s="27" t="n">
        <f aca="false">AD11*(1-AD12)</f>
        <v>8142.97872340426</v>
      </c>
      <c r="AE13" s="27" t="n">
        <f aca="false">AE11*(1-AE12)</f>
        <v>8164</v>
      </c>
      <c r="AF13" s="27" t="n">
        <f aca="false">AF11*(1-AF12)</f>
        <v>8178.38297872341</v>
      </c>
      <c r="AG13" s="27" t="n">
        <f aca="false">AG11*(1-AG12)</f>
        <v>8186.12765957447</v>
      </c>
      <c r="AH13" s="27" t="n">
        <f aca="false">AH11*(1-AH12)</f>
        <v>8187.23404255319</v>
      </c>
      <c r="AI13" s="27" t="n">
        <f aca="false">AI11*(1-AI12)</f>
        <v>8181.70212765957</v>
      </c>
      <c r="AJ13" s="27" t="n">
        <f aca="false">AJ11*(1-AJ12)</f>
        <v>8169.53191489362</v>
      </c>
      <c r="AK13" s="27" t="n">
        <f aca="false">AK11*(1-AK12)</f>
        <v>8150.72340425532</v>
      </c>
      <c r="AL13" s="27" t="n">
        <f aca="false">AL11*(1-AL12)</f>
        <v>8125.27659574468</v>
      </c>
      <c r="AM13" s="27" t="n">
        <f aca="false">AM11*(1-AM12)</f>
        <v>8093.1914893617</v>
      </c>
      <c r="AN13" s="27" t="n">
        <f aca="false">AN11*(1-AN12)</f>
        <v>8054.46808510638</v>
      </c>
      <c r="AO13" s="27" t="n">
        <f aca="false">AO11*(1-AO12)</f>
        <v>8009.10638297872</v>
      </c>
      <c r="AP13" s="27" t="n">
        <f aca="false">AP11*(1-AP12)</f>
        <v>7957.10638297872</v>
      </c>
      <c r="AQ13" s="27" t="n">
        <f aca="false">AQ11*(1-AQ12)</f>
        <v>7898.46808510638</v>
      </c>
      <c r="AR13" s="27" t="n">
        <f aca="false">AR11*(1-AR12)</f>
        <v>7833.1914893617</v>
      </c>
      <c r="AS13" s="27" t="n">
        <f aca="false">AS11*(1-AS12)</f>
        <v>7761.27659574468</v>
      </c>
      <c r="AT13" s="27" t="n">
        <f aca="false">AT11*(1-AT12)</f>
        <v>7682.72340425532</v>
      </c>
      <c r="AU13" s="27" t="n">
        <f aca="false">AU11*(1-AU12)</f>
        <v>7597.53191489362</v>
      </c>
      <c r="AV13" s="27" t="n">
        <f aca="false">AV11*(1-AV12)</f>
        <v>7505.70212765957</v>
      </c>
      <c r="AW13" s="27" t="n">
        <f aca="false">AW11*(1-AW12)</f>
        <v>7293.27659574468</v>
      </c>
      <c r="AX13" s="27" t="n">
        <f aca="false">AX11*(1-AX12)</f>
        <v>7080.85106382979</v>
      </c>
      <c r="AY13" s="27" t="n">
        <f aca="false">AY11*(1-AY12)</f>
        <v>6868.42553191489</v>
      </c>
      <c r="AZ13" s="27" t="n">
        <f aca="false">AZ11*(1-AZ12)</f>
        <v>6656</v>
      </c>
      <c r="BA13" s="27" t="n">
        <f aca="false">BA11*(1-BA12)</f>
        <v>6656</v>
      </c>
      <c r="BB13" s="27" t="n">
        <f aca="false">BB11*(1-BB12)</f>
        <v>6656</v>
      </c>
      <c r="BC13" s="27" t="n">
        <f aca="false">BC11*(1-BC12)</f>
        <v>6656</v>
      </c>
      <c r="BD13" s="27" t="n">
        <f aca="false">BD11*(1-BD12)</f>
        <v>6656</v>
      </c>
      <c r="BE13" s="27" t="n">
        <f aca="false">BE11*(1-BE12)</f>
        <v>6656</v>
      </c>
      <c r="BF13" s="27" t="n">
        <f aca="false">BF11*(1-BF12)</f>
        <v>6656</v>
      </c>
      <c r="BG13" s="27" t="n">
        <f aca="false">BG11*(1-BG12)</f>
        <v>6656</v>
      </c>
      <c r="BH13" s="27" t="n">
        <f aca="false">BH11*(1-BH12)</f>
        <v>6656</v>
      </c>
      <c r="BI13" s="27" t="n">
        <f aca="false">BI11*(1-BI12)</f>
        <v>6656</v>
      </c>
      <c r="BJ13" s="27" t="n">
        <f aca="false">BJ11*(1-BJ12)</f>
        <v>6656</v>
      </c>
      <c r="BK13" s="27" t="n">
        <f aca="false">BK11*(1-BK12)</f>
        <v>6656</v>
      </c>
      <c r="BL13" s="27" t="n">
        <f aca="false">BL11*(1-BL12)</f>
        <v>6656</v>
      </c>
    </row>
    <row r="14" customFormat="false" ht="15" hidden="false" customHeight="false" outlineLevel="0" collapsed="false">
      <c r="B14" s="2" t="s">
        <v>271</v>
      </c>
      <c r="C14" s="2" t="s">
        <v>268</v>
      </c>
      <c r="E14" s="27" t="n">
        <f aca="false">E11*E12</f>
        <v>0</v>
      </c>
      <c r="F14" s="27" t="n">
        <f aca="false">F11*F12</f>
        <v>33.7949709864603</v>
      </c>
      <c r="G14" s="27" t="n">
        <f aca="false">G11*G12</f>
        <v>82.073500967118</v>
      </c>
      <c r="H14" s="27" t="n">
        <f aca="false">H11*H12</f>
        <v>144.835589941973</v>
      </c>
      <c r="I14" s="27" t="n">
        <f aca="false">I11*I12</f>
        <v>222.081237911025</v>
      </c>
      <c r="J14" s="27" t="n">
        <f aca="false">J11*J12</f>
        <v>313.810444874275</v>
      </c>
      <c r="K14" s="27" t="n">
        <f aca="false">K11*K12</f>
        <v>420.023210831721</v>
      </c>
      <c r="L14" s="27" t="n">
        <f aca="false">L11*L12</f>
        <v>540.719535783366</v>
      </c>
      <c r="M14" s="27" t="n">
        <f aca="false">M11*M12</f>
        <v>675.899419729207</v>
      </c>
      <c r="N14" s="27" t="n">
        <f aca="false">N11*N12</f>
        <v>825.562862669246</v>
      </c>
      <c r="O14" s="27" t="n">
        <f aca="false">O11*O12</f>
        <v>989.709864603482</v>
      </c>
      <c r="P14" s="27" t="n">
        <f aca="false">P11*P12</f>
        <v>1168.34042553192</v>
      </c>
      <c r="Q14" s="27" t="n">
        <f aca="false">Q11*Q12</f>
        <v>1274.55319148936</v>
      </c>
      <c r="R14" s="27" t="n">
        <f aca="false">R11*R12</f>
        <v>1380.76595744681</v>
      </c>
      <c r="S14" s="27" t="n">
        <f aca="false">S11*S12</f>
        <v>1486.97872340426</v>
      </c>
      <c r="T14" s="27" t="n">
        <f aca="false">T11*T12</f>
        <v>1593.1914893617</v>
      </c>
      <c r="U14" s="27" t="n">
        <f aca="false">U11*U12</f>
        <v>1699.40425531915</v>
      </c>
      <c r="V14" s="27" t="n">
        <f aca="false">V11*V12</f>
        <v>1805.6170212766</v>
      </c>
      <c r="W14" s="27" t="n">
        <f aca="false">W11*W12</f>
        <v>1911.82978723404</v>
      </c>
      <c r="X14" s="27" t="n">
        <f aca="false">X11*X12</f>
        <v>2522.55319148936</v>
      </c>
      <c r="Y14" s="27" t="n">
        <f aca="false">Y11*Y12</f>
        <v>2721.70212765957</v>
      </c>
      <c r="Z14" s="27" t="n">
        <f aca="false">Z11*Z12</f>
        <v>2927.48936170213</v>
      </c>
      <c r="AA14" s="27" t="n">
        <f aca="false">AA11*AA12</f>
        <v>3139.91489361702</v>
      </c>
      <c r="AB14" s="27" t="n">
        <f aca="false">AB11*AB12</f>
        <v>3358.97872340426</v>
      </c>
      <c r="AC14" s="27" t="n">
        <f aca="false">AC11*AC12</f>
        <v>3584.68085106383</v>
      </c>
      <c r="AD14" s="27" t="n">
        <f aca="false">AD11*AD12</f>
        <v>3817.02127659574</v>
      </c>
      <c r="AE14" s="27" t="n">
        <f aca="false">AE11*AE12</f>
        <v>4056</v>
      </c>
      <c r="AF14" s="27" t="n">
        <f aca="false">AF11*AF12</f>
        <v>4301.6170212766</v>
      </c>
      <c r="AG14" s="27" t="n">
        <f aca="false">AG11*AG12</f>
        <v>4553.87234042553</v>
      </c>
      <c r="AH14" s="27" t="n">
        <f aca="false">AH11*AH12</f>
        <v>4812.76595744681</v>
      </c>
      <c r="AI14" s="27" t="n">
        <f aca="false">AI11*AI12</f>
        <v>5078.29787234043</v>
      </c>
      <c r="AJ14" s="27" t="n">
        <f aca="false">AJ11*AJ12</f>
        <v>5350.46808510638</v>
      </c>
      <c r="AK14" s="27" t="n">
        <f aca="false">AK11*AK12</f>
        <v>5629.27659574468</v>
      </c>
      <c r="AL14" s="27" t="n">
        <f aca="false">AL11*AL12</f>
        <v>5914.72340425532</v>
      </c>
      <c r="AM14" s="27" t="n">
        <f aca="false">AM11*AM12</f>
        <v>6206.8085106383</v>
      </c>
      <c r="AN14" s="27" t="n">
        <f aca="false">AN11*AN12</f>
        <v>6505.53191489362</v>
      </c>
      <c r="AO14" s="27" t="n">
        <f aca="false">AO11*AO12</f>
        <v>6810.89361702128</v>
      </c>
      <c r="AP14" s="27" t="n">
        <f aca="false">AP11*AP12</f>
        <v>7122.89361702128</v>
      </c>
      <c r="AQ14" s="27" t="n">
        <f aca="false">AQ11*AQ12</f>
        <v>7441.53191489362</v>
      </c>
      <c r="AR14" s="27" t="n">
        <f aca="false">AR11*AR12</f>
        <v>7766.8085106383</v>
      </c>
      <c r="AS14" s="27" t="n">
        <f aca="false">AS11*AS12</f>
        <v>8098.72340425532</v>
      </c>
      <c r="AT14" s="27" t="n">
        <f aca="false">AT11*AT12</f>
        <v>8437.27659574468</v>
      </c>
      <c r="AU14" s="27" t="n">
        <f aca="false">AU11*AU12</f>
        <v>8782.46808510638</v>
      </c>
      <c r="AV14" s="27" t="n">
        <f aca="false">AV11*AV12</f>
        <v>9134.29787234043</v>
      </c>
      <c r="AW14" s="27" t="n">
        <f aca="false">AW11*AW12</f>
        <v>9346.72340425532</v>
      </c>
      <c r="AX14" s="27" t="n">
        <f aca="false">AX11*AX12</f>
        <v>9559.14893617021</v>
      </c>
      <c r="AY14" s="27" t="n">
        <f aca="false">AY11*AY12</f>
        <v>9771.57446808511</v>
      </c>
      <c r="AZ14" s="27" t="n">
        <f aca="false">AZ11*AZ12</f>
        <v>9984</v>
      </c>
      <c r="BA14" s="27" t="n">
        <f aca="false">BA11*BA12</f>
        <v>9984</v>
      </c>
      <c r="BB14" s="27" t="n">
        <f aca="false">BB11*BB12</f>
        <v>9984</v>
      </c>
      <c r="BC14" s="27" t="n">
        <f aca="false">BC11*BC12</f>
        <v>9984</v>
      </c>
      <c r="BD14" s="27" t="n">
        <f aca="false">BD11*BD12</f>
        <v>9984</v>
      </c>
      <c r="BE14" s="27" t="n">
        <f aca="false">BE11*BE12</f>
        <v>9984</v>
      </c>
      <c r="BF14" s="27" t="n">
        <f aca="false">BF11*BF12</f>
        <v>9984</v>
      </c>
      <c r="BG14" s="27" t="n">
        <f aca="false">BG11*BG12</f>
        <v>9984</v>
      </c>
      <c r="BH14" s="27" t="n">
        <f aca="false">BH11*BH12</f>
        <v>9984</v>
      </c>
      <c r="BI14" s="27" t="n">
        <f aca="false">BI11*BI12</f>
        <v>9984</v>
      </c>
      <c r="BJ14" s="27" t="n">
        <f aca="false">BJ11*BJ12</f>
        <v>9984</v>
      </c>
      <c r="BK14" s="27" t="n">
        <f aca="false">BK11*BK12</f>
        <v>9984</v>
      </c>
      <c r="BL14" s="27" t="n">
        <f aca="false">BL11*BL12</f>
        <v>9984</v>
      </c>
    </row>
    <row r="15" customFormat="false" ht="15" hidden="false" customHeight="false" outlineLevel="0" collapsed="false">
      <c r="B15" s="9" t="s">
        <v>272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customFormat="false" ht="15" hidden="false" customHeight="false" outlineLevel="0" collapsed="false">
      <c r="B16" s="2" t="s">
        <v>273</v>
      </c>
      <c r="C16" s="2" t="s">
        <v>141</v>
      </c>
      <c r="E16" s="27" t="n">
        <f aca="false">E13*Hypotheses!$F$19</f>
        <v>1768000</v>
      </c>
      <c r="F16" s="27" t="n">
        <f aca="false">F13*Hypotheses!$F$19</f>
        <v>2221456.09284333</v>
      </c>
      <c r="G16" s="27" t="n">
        <f aca="false">G13*Hypotheses!$F$19</f>
        <v>2662601.16054159</v>
      </c>
      <c r="H16" s="27" t="n">
        <f aca="false">H13*Hypotheses!$F$19</f>
        <v>3091435.20309478</v>
      </c>
      <c r="I16" s="27" t="n">
        <f aca="false">I13*Hypotheses!$F$19</f>
        <v>3507958.2205029</v>
      </c>
      <c r="J16" s="27" t="n">
        <f aca="false">J13*Hypotheses!$F$19</f>
        <v>3912170.21276596</v>
      </c>
      <c r="K16" s="27" t="n">
        <f aca="false">K13*Hypotheses!$F$19</f>
        <v>4304071.17988395</v>
      </c>
      <c r="L16" s="27" t="n">
        <f aca="false">L13*Hypotheses!$F$19</f>
        <v>4683661.12185687</v>
      </c>
      <c r="M16" s="27" t="n">
        <f aca="false">M13*Hypotheses!$F$19</f>
        <v>5050940.03868472</v>
      </c>
      <c r="N16" s="27" t="n">
        <f aca="false">N13*Hypotheses!$F$19</f>
        <v>5405907.93036751</v>
      </c>
      <c r="O16" s="27" t="n">
        <f aca="false">O13*Hypotheses!$F$19</f>
        <v>5748564.79690522</v>
      </c>
      <c r="P16" s="27" t="n">
        <f aca="false">P13*Hypotheses!$F$19</f>
        <v>6078910.63829787</v>
      </c>
      <c r="Q16" s="27" t="n">
        <f aca="false">Q13*Hypotheses!$F$19</f>
        <v>5988629.78723404</v>
      </c>
      <c r="R16" s="27" t="n">
        <f aca="false">R13*Hypotheses!$F$19</f>
        <v>5898348.93617021</v>
      </c>
      <c r="S16" s="27" t="n">
        <f aca="false">S13*Hypotheses!$F$19</f>
        <v>5808068.08510638</v>
      </c>
      <c r="T16" s="27" t="n">
        <f aca="false">T13*Hypotheses!$F$19</f>
        <v>5717787.23404255</v>
      </c>
      <c r="U16" s="27" t="n">
        <f aca="false">U13*Hypotheses!$F$19</f>
        <v>5627506.38297872</v>
      </c>
      <c r="V16" s="27" t="n">
        <f aca="false">V13*Hypotheses!$F$19</f>
        <v>5537225.53191489</v>
      </c>
      <c r="W16" s="27" t="n">
        <f aca="false">W13*Hypotheses!$F$19</f>
        <v>5446944.68085106</v>
      </c>
      <c r="X16" s="27" t="n">
        <f aca="false">X13*Hypotheses!$F$19</f>
        <v>6695829.78723404</v>
      </c>
      <c r="Y16" s="27" t="n">
        <f aca="false">Y13*Hypotheses!$F$19</f>
        <v>6747553.19148936</v>
      </c>
      <c r="Z16" s="27" t="n">
        <f aca="false">Z13*Hypotheses!$F$19</f>
        <v>6793634.04255319</v>
      </c>
      <c r="AA16" s="27" t="n">
        <f aca="false">AA13*Hypotheses!$F$19</f>
        <v>6834072.34042553</v>
      </c>
      <c r="AB16" s="27" t="n">
        <f aca="false">AB13*Hypotheses!$F$19</f>
        <v>6868868.08510638</v>
      </c>
      <c r="AC16" s="27" t="n">
        <f aca="false">AC13*Hypotheses!$F$19</f>
        <v>6898021.27659575</v>
      </c>
      <c r="AD16" s="27" t="n">
        <f aca="false">AD13*Hypotheses!$F$19</f>
        <v>6921531.91489362</v>
      </c>
      <c r="AE16" s="27" t="n">
        <f aca="false">AE13*Hypotheses!$F$19</f>
        <v>6939400</v>
      </c>
      <c r="AF16" s="27" t="n">
        <f aca="false">AF13*Hypotheses!$F$19</f>
        <v>6951625.53191489</v>
      </c>
      <c r="AG16" s="27" t="n">
        <f aca="false">AG13*Hypotheses!$F$19</f>
        <v>6958208.5106383</v>
      </c>
      <c r="AH16" s="27" t="n">
        <f aca="false">AH13*Hypotheses!$F$19</f>
        <v>6959148.93617021</v>
      </c>
      <c r="AI16" s="27" t="n">
        <f aca="false">AI13*Hypotheses!$F$19</f>
        <v>6954446.80851064</v>
      </c>
      <c r="AJ16" s="27" t="n">
        <f aca="false">AJ13*Hypotheses!$F$19</f>
        <v>6944102.12765957</v>
      </c>
      <c r="AK16" s="27" t="n">
        <f aca="false">AK13*Hypotheses!$F$19</f>
        <v>6928114.89361702</v>
      </c>
      <c r="AL16" s="27" t="n">
        <f aca="false">AL13*Hypotheses!$F$19</f>
        <v>6906485.10638298</v>
      </c>
      <c r="AM16" s="27" t="n">
        <f aca="false">AM13*Hypotheses!$F$19</f>
        <v>6879212.76595745</v>
      </c>
      <c r="AN16" s="27" t="n">
        <f aca="false">AN13*Hypotheses!$F$19</f>
        <v>6846297.87234043</v>
      </c>
      <c r="AO16" s="27" t="n">
        <f aca="false">AO13*Hypotheses!$F$19</f>
        <v>6807740.42553192</v>
      </c>
      <c r="AP16" s="27" t="n">
        <f aca="false">AP13*Hypotheses!$F$19</f>
        <v>6763540.42553192</v>
      </c>
      <c r="AQ16" s="27" t="n">
        <f aca="false">AQ13*Hypotheses!$F$19</f>
        <v>6713697.87234043</v>
      </c>
      <c r="AR16" s="27" t="n">
        <f aca="false">AR13*Hypotheses!$F$19</f>
        <v>6658212.76595745</v>
      </c>
      <c r="AS16" s="27" t="n">
        <f aca="false">AS13*Hypotheses!$F$19</f>
        <v>6597085.10638298</v>
      </c>
      <c r="AT16" s="27" t="n">
        <f aca="false">AT13*Hypotheses!$F$19</f>
        <v>6530314.89361702</v>
      </c>
      <c r="AU16" s="27" t="n">
        <f aca="false">AU13*Hypotheses!$F$19</f>
        <v>6457902.12765957</v>
      </c>
      <c r="AV16" s="27" t="n">
        <f aca="false">AV13*Hypotheses!$F$19</f>
        <v>6379846.80851064</v>
      </c>
      <c r="AW16" s="27" t="n">
        <f aca="false">AW13*Hypotheses!$F$19</f>
        <v>6199285.10638298</v>
      </c>
      <c r="AX16" s="27" t="n">
        <f aca="false">AX13*Hypotheses!$F$19</f>
        <v>6018723.40425532</v>
      </c>
      <c r="AY16" s="27" t="n">
        <f aca="false">AY13*Hypotheses!$F$19</f>
        <v>5838161.70212766</v>
      </c>
      <c r="AZ16" s="27" t="n">
        <f aca="false">AZ13*Hypotheses!$F$19</f>
        <v>5657600</v>
      </c>
      <c r="BA16" s="27" t="n">
        <f aca="false">BA13*Hypotheses!$F$19</f>
        <v>5657600</v>
      </c>
      <c r="BB16" s="27" t="n">
        <f aca="false">BB13*Hypotheses!$F$19</f>
        <v>5657600</v>
      </c>
      <c r="BC16" s="27" t="n">
        <f aca="false">BC13*Hypotheses!$F$19</f>
        <v>5657600</v>
      </c>
      <c r="BD16" s="27" t="n">
        <f aca="false">BD13*Hypotheses!$F$19</f>
        <v>5657600</v>
      </c>
      <c r="BE16" s="27" t="n">
        <f aca="false">BE13*Hypotheses!$F$19</f>
        <v>5657600</v>
      </c>
      <c r="BF16" s="27" t="n">
        <f aca="false">BF13*Hypotheses!$F$19</f>
        <v>5657600</v>
      </c>
      <c r="BG16" s="27" t="n">
        <f aca="false">BG13*Hypotheses!$F$19</f>
        <v>5657600</v>
      </c>
      <c r="BH16" s="27" t="n">
        <f aca="false">BH13*Hypotheses!$F$19</f>
        <v>5657600</v>
      </c>
      <c r="BI16" s="27" t="n">
        <f aca="false">BI13*Hypotheses!$F$19</f>
        <v>5657600</v>
      </c>
      <c r="BJ16" s="27" t="n">
        <f aca="false">BJ13*Hypotheses!$F$19</f>
        <v>5657600</v>
      </c>
      <c r="BK16" s="27" t="n">
        <f aca="false">BK13*Hypotheses!$F$19</f>
        <v>5657600</v>
      </c>
      <c r="BL16" s="27" t="n">
        <f aca="false">BL13*Hypotheses!$F$19</f>
        <v>5657600</v>
      </c>
    </row>
    <row r="17" customFormat="false" ht="15" hidden="false" customHeight="false" outlineLevel="0" collapsed="false">
      <c r="B17" s="2" t="s">
        <v>274</v>
      </c>
      <c r="C17" s="2" t="s">
        <v>141</v>
      </c>
      <c r="E17" s="27" t="n">
        <f aca="false">E14*Hypotheses!$F$20</f>
        <v>0</v>
      </c>
      <c r="F17" s="27" t="n">
        <f aca="false">F14*Hypotheses!$F$20</f>
        <v>42243.7137330754</v>
      </c>
      <c r="G17" s="27" t="n">
        <f aca="false">G14*Hypotheses!$F$20</f>
        <v>102591.876208897</v>
      </c>
      <c r="H17" s="27" t="n">
        <f aca="false">H14*Hypotheses!$F$20</f>
        <v>181044.487427466</v>
      </c>
      <c r="I17" s="27" t="n">
        <f aca="false">I14*Hypotheses!$F$20</f>
        <v>277601.547388781</v>
      </c>
      <c r="J17" s="27" t="n">
        <f aca="false">J14*Hypotheses!$F$20</f>
        <v>392263.056092843</v>
      </c>
      <c r="K17" s="27" t="n">
        <f aca="false">K14*Hypotheses!$F$20</f>
        <v>525029.013539652</v>
      </c>
      <c r="L17" s="27" t="n">
        <f aca="false">L14*Hypotheses!$F$20</f>
        <v>675899.419729207</v>
      </c>
      <c r="M17" s="27" t="n">
        <f aca="false">M14*Hypotheses!$F$20</f>
        <v>844874.274661509</v>
      </c>
      <c r="N17" s="27" t="n">
        <f aca="false">N14*Hypotheses!$F$20</f>
        <v>1031953.57833656</v>
      </c>
      <c r="O17" s="27" t="n">
        <f aca="false">O14*Hypotheses!$F$20</f>
        <v>1237137.33075435</v>
      </c>
      <c r="P17" s="27" t="n">
        <f aca="false">P14*Hypotheses!$F$20</f>
        <v>1460425.53191489</v>
      </c>
      <c r="Q17" s="27" t="n">
        <f aca="false">Q14*Hypotheses!$F$20</f>
        <v>1593191.4893617</v>
      </c>
      <c r="R17" s="27" t="n">
        <f aca="false">R14*Hypotheses!$F$20</f>
        <v>1725957.44680851</v>
      </c>
      <c r="S17" s="27" t="n">
        <f aca="false">S14*Hypotheses!$F$20</f>
        <v>1858723.40425532</v>
      </c>
      <c r="T17" s="27" t="n">
        <f aca="false">T14*Hypotheses!$F$20</f>
        <v>1991489.36170213</v>
      </c>
      <c r="U17" s="27" t="n">
        <f aca="false">U14*Hypotheses!$F$20</f>
        <v>2124255.31914894</v>
      </c>
      <c r="V17" s="27" t="n">
        <f aca="false">V14*Hypotheses!$F$20</f>
        <v>2257021.27659575</v>
      </c>
      <c r="W17" s="27" t="n">
        <f aca="false">W14*Hypotheses!$F$20</f>
        <v>2389787.23404255</v>
      </c>
      <c r="X17" s="27" t="n">
        <f aca="false">X14*Hypotheses!$F$20</f>
        <v>3153191.4893617</v>
      </c>
      <c r="Y17" s="27" t="n">
        <f aca="false">Y14*Hypotheses!$F$20</f>
        <v>3402127.65957447</v>
      </c>
      <c r="Z17" s="27" t="n">
        <f aca="false">Z14*Hypotheses!$F$20</f>
        <v>3659361.70212766</v>
      </c>
      <c r="AA17" s="27" t="n">
        <f aca="false">AA14*Hypotheses!$F$20</f>
        <v>3924893.61702128</v>
      </c>
      <c r="AB17" s="27" t="n">
        <f aca="false">AB14*Hypotheses!$F$20</f>
        <v>4198723.40425532</v>
      </c>
      <c r="AC17" s="27" t="n">
        <f aca="false">AC14*Hypotheses!$F$20</f>
        <v>4480851.06382979</v>
      </c>
      <c r="AD17" s="27" t="n">
        <f aca="false">AD14*Hypotheses!$F$20</f>
        <v>4771276.59574468</v>
      </c>
      <c r="AE17" s="27" t="n">
        <f aca="false">AE14*Hypotheses!$F$20</f>
        <v>5070000</v>
      </c>
      <c r="AF17" s="27" t="n">
        <f aca="false">AF14*Hypotheses!$F$20</f>
        <v>5377021.27659574</v>
      </c>
      <c r="AG17" s="27" t="n">
        <f aca="false">AG14*Hypotheses!$F$20</f>
        <v>5692340.42553191</v>
      </c>
      <c r="AH17" s="27" t="n">
        <f aca="false">AH14*Hypotheses!$F$20</f>
        <v>6015957.44680851</v>
      </c>
      <c r="AI17" s="27" t="n">
        <f aca="false">AI14*Hypotheses!$F$20</f>
        <v>6347872.34042553</v>
      </c>
      <c r="AJ17" s="27" t="n">
        <f aca="false">AJ14*Hypotheses!$F$20</f>
        <v>6688085.10638298</v>
      </c>
      <c r="AK17" s="27" t="n">
        <f aca="false">AK14*Hypotheses!$F$20</f>
        <v>7036595.74468085</v>
      </c>
      <c r="AL17" s="27" t="n">
        <f aca="false">AL14*Hypotheses!$F$20</f>
        <v>7393404.25531915</v>
      </c>
      <c r="AM17" s="27" t="n">
        <f aca="false">AM14*Hypotheses!$F$20</f>
        <v>7758510.63829787</v>
      </c>
      <c r="AN17" s="27" t="n">
        <f aca="false">AN14*Hypotheses!$F$20</f>
        <v>8131914.89361702</v>
      </c>
      <c r="AO17" s="27" t="n">
        <f aca="false">AO14*Hypotheses!$F$20</f>
        <v>8513617.0212766</v>
      </c>
      <c r="AP17" s="27" t="n">
        <f aca="false">AP14*Hypotheses!$F$20</f>
        <v>8903617.0212766</v>
      </c>
      <c r="AQ17" s="27" t="n">
        <f aca="false">AQ14*Hypotheses!$F$20</f>
        <v>9301914.89361702</v>
      </c>
      <c r="AR17" s="27" t="n">
        <f aca="false">AR14*Hypotheses!$F$20</f>
        <v>9708510.63829787</v>
      </c>
      <c r="AS17" s="27" t="n">
        <f aca="false">AS14*Hypotheses!$F$20</f>
        <v>10123404.2553191</v>
      </c>
      <c r="AT17" s="27" t="n">
        <f aca="false">AT14*Hypotheses!$F$20</f>
        <v>10546595.7446809</v>
      </c>
      <c r="AU17" s="27" t="n">
        <f aca="false">AU14*Hypotheses!$F$20</f>
        <v>10978085.106383</v>
      </c>
      <c r="AV17" s="27" t="n">
        <f aca="false">AV14*Hypotheses!$F$20</f>
        <v>11417872.3404255</v>
      </c>
      <c r="AW17" s="27" t="n">
        <f aca="false">AW14*Hypotheses!$F$20</f>
        <v>11683404.2553191</v>
      </c>
      <c r="AX17" s="27" t="n">
        <f aca="false">AX14*Hypotheses!$F$20</f>
        <v>11948936.1702128</v>
      </c>
      <c r="AY17" s="27" t="n">
        <f aca="false">AY14*Hypotheses!$F$20</f>
        <v>12214468.0851064</v>
      </c>
      <c r="AZ17" s="27" t="n">
        <f aca="false">AZ14*Hypotheses!$F$20</f>
        <v>12480000</v>
      </c>
      <c r="BA17" s="27" t="n">
        <f aca="false">BA14*Hypotheses!$F$20</f>
        <v>12480000</v>
      </c>
      <c r="BB17" s="27" t="n">
        <f aca="false">BB14*Hypotheses!$F$20</f>
        <v>12480000</v>
      </c>
      <c r="BC17" s="27" t="n">
        <f aca="false">BC14*Hypotheses!$F$20</f>
        <v>12480000</v>
      </c>
      <c r="BD17" s="27" t="n">
        <f aca="false">BD14*Hypotheses!$F$20</f>
        <v>12480000</v>
      </c>
      <c r="BE17" s="27" t="n">
        <f aca="false">BE14*Hypotheses!$F$20</f>
        <v>12480000</v>
      </c>
      <c r="BF17" s="27" t="n">
        <f aca="false">BF14*Hypotheses!$F$20</f>
        <v>12480000</v>
      </c>
      <c r="BG17" s="27" t="n">
        <f aca="false">BG14*Hypotheses!$F$20</f>
        <v>12480000</v>
      </c>
      <c r="BH17" s="27" t="n">
        <f aca="false">BH14*Hypotheses!$F$20</f>
        <v>12480000</v>
      </c>
      <c r="BI17" s="27" t="n">
        <f aca="false">BI14*Hypotheses!$F$20</f>
        <v>12480000</v>
      </c>
      <c r="BJ17" s="27" t="n">
        <f aca="false">BJ14*Hypotheses!$F$20</f>
        <v>12480000</v>
      </c>
      <c r="BK17" s="27" t="n">
        <f aca="false">BK14*Hypotheses!$F$20</f>
        <v>12480000</v>
      </c>
      <c r="BL17" s="27" t="n">
        <f aca="false">BL14*Hypotheses!$F$20</f>
        <v>12480000</v>
      </c>
    </row>
    <row r="18" customFormat="false" ht="15" hidden="false" customHeight="false" outlineLevel="0" collapsed="false">
      <c r="B18" s="3" t="s">
        <v>36</v>
      </c>
      <c r="C18" s="2" t="s">
        <v>141</v>
      </c>
      <c r="E18" s="28" t="n">
        <f aca="false">E16+E17</f>
        <v>1768000</v>
      </c>
      <c r="F18" s="28" t="n">
        <f aca="false">F16+F17</f>
        <v>2263699.8065764</v>
      </c>
      <c r="G18" s="28" t="n">
        <f aca="false">G16+G17</f>
        <v>2765193.03675048</v>
      </c>
      <c r="H18" s="28" t="n">
        <f aca="false">H16+H17</f>
        <v>3272479.69052224</v>
      </c>
      <c r="I18" s="28" t="n">
        <f aca="false">I16+I17</f>
        <v>3785559.76789168</v>
      </c>
      <c r="J18" s="28" t="n">
        <f aca="false">J16+J17</f>
        <v>4304433.2688588</v>
      </c>
      <c r="K18" s="28" t="n">
        <f aca="false">K16+K17</f>
        <v>4829100.1934236</v>
      </c>
      <c r="L18" s="28" t="n">
        <f aca="false">L16+L17</f>
        <v>5359560.54158607</v>
      </c>
      <c r="M18" s="28" t="n">
        <f aca="false">M16+M17</f>
        <v>5895814.31334623</v>
      </c>
      <c r="N18" s="28" t="n">
        <f aca="false">N16+N17</f>
        <v>6437861.50870406</v>
      </c>
      <c r="O18" s="28" t="n">
        <f aca="false">O16+O17</f>
        <v>6985702.12765958</v>
      </c>
      <c r="P18" s="28" t="n">
        <f aca="false">P16+P17</f>
        <v>7539336.17021277</v>
      </c>
      <c r="Q18" s="28" t="n">
        <f aca="false">Q16+Q17</f>
        <v>7581821.27659575</v>
      </c>
      <c r="R18" s="28" t="n">
        <f aca="false">R16+R17</f>
        <v>7624306.38297872</v>
      </c>
      <c r="S18" s="28" t="n">
        <f aca="false">S16+S17</f>
        <v>7666791.4893617</v>
      </c>
      <c r="T18" s="28" t="n">
        <f aca="false">T16+T17</f>
        <v>7709276.59574468</v>
      </c>
      <c r="U18" s="28" t="n">
        <f aca="false">U16+U17</f>
        <v>7751761.70212766</v>
      </c>
      <c r="V18" s="28" t="n">
        <f aca="false">V16+V17</f>
        <v>7794246.80851064</v>
      </c>
      <c r="W18" s="28" t="n">
        <f aca="false">W16+W17</f>
        <v>7836731.91489362</v>
      </c>
      <c r="X18" s="28" t="n">
        <f aca="false">X16+X17</f>
        <v>9849021.27659575</v>
      </c>
      <c r="Y18" s="28" t="n">
        <f aca="false">Y16+Y17</f>
        <v>10149680.8510638</v>
      </c>
      <c r="Z18" s="28" t="n">
        <f aca="false">Z16+Z17</f>
        <v>10452995.7446809</v>
      </c>
      <c r="AA18" s="28" t="n">
        <f aca="false">AA16+AA17</f>
        <v>10758965.9574468</v>
      </c>
      <c r="AB18" s="28" t="n">
        <f aca="false">AB16+AB17</f>
        <v>11067591.4893617</v>
      </c>
      <c r="AC18" s="28" t="n">
        <f aca="false">AC16+AC17</f>
        <v>11378872.3404255</v>
      </c>
      <c r="AD18" s="28" t="n">
        <f aca="false">AD16+AD17</f>
        <v>11692808.5106383</v>
      </c>
      <c r="AE18" s="28" t="n">
        <f aca="false">AE16+AE17</f>
        <v>12009400</v>
      </c>
      <c r="AF18" s="28" t="n">
        <f aca="false">AF16+AF17</f>
        <v>12328646.8085106</v>
      </c>
      <c r="AG18" s="28" t="n">
        <f aca="false">AG16+AG17</f>
        <v>12650548.9361702</v>
      </c>
      <c r="AH18" s="28" t="n">
        <f aca="false">AH16+AH17</f>
        <v>12975106.3829787</v>
      </c>
      <c r="AI18" s="28" t="n">
        <f aca="false">AI16+AI17</f>
        <v>13302319.1489362</v>
      </c>
      <c r="AJ18" s="28" t="n">
        <f aca="false">AJ16+AJ17</f>
        <v>13632187.2340426</v>
      </c>
      <c r="AK18" s="28" t="n">
        <f aca="false">AK16+AK17</f>
        <v>13964710.6382979</v>
      </c>
      <c r="AL18" s="28" t="n">
        <f aca="false">AL16+AL17</f>
        <v>14299889.3617021</v>
      </c>
      <c r="AM18" s="28" t="n">
        <f aca="false">AM16+AM17</f>
        <v>14637723.4042553</v>
      </c>
      <c r="AN18" s="28" t="n">
        <f aca="false">AN16+AN17</f>
        <v>14978212.7659574</v>
      </c>
      <c r="AO18" s="28" t="n">
        <f aca="false">AO16+AO17</f>
        <v>15321357.4468085</v>
      </c>
      <c r="AP18" s="28" t="n">
        <f aca="false">AP16+AP17</f>
        <v>15667157.4468085</v>
      </c>
      <c r="AQ18" s="28" t="n">
        <f aca="false">AQ16+AQ17</f>
        <v>16015612.7659574</v>
      </c>
      <c r="AR18" s="28" t="n">
        <f aca="false">AR16+AR17</f>
        <v>16366723.4042553</v>
      </c>
      <c r="AS18" s="28" t="n">
        <f aca="false">AS16+AS17</f>
        <v>16720489.3617021</v>
      </c>
      <c r="AT18" s="28" t="n">
        <f aca="false">AT16+AT17</f>
        <v>17076910.6382979</v>
      </c>
      <c r="AU18" s="28" t="n">
        <f aca="false">AU16+AU17</f>
        <v>17435987.2340426</v>
      </c>
      <c r="AV18" s="28" t="n">
        <f aca="false">AV16+AV17</f>
        <v>17797719.1489362</v>
      </c>
      <c r="AW18" s="28" t="n">
        <f aca="false">AW16+AW17</f>
        <v>17882689.3617021</v>
      </c>
      <c r="AX18" s="28" t="n">
        <f aca="false">AX16+AX17</f>
        <v>17967659.5744681</v>
      </c>
      <c r="AY18" s="28" t="n">
        <f aca="false">AY16+AY17</f>
        <v>18052629.787234</v>
      </c>
      <c r="AZ18" s="28" t="n">
        <f aca="false">AZ16+AZ17</f>
        <v>18137600</v>
      </c>
      <c r="BA18" s="28" t="n">
        <f aca="false">BA16+BA17</f>
        <v>18137600</v>
      </c>
      <c r="BB18" s="28" t="n">
        <f aca="false">BB16+BB17</f>
        <v>18137600</v>
      </c>
      <c r="BC18" s="28" t="n">
        <f aca="false">BC16+BC17</f>
        <v>18137600</v>
      </c>
      <c r="BD18" s="28" t="n">
        <f aca="false">BD16+BD17</f>
        <v>18137600</v>
      </c>
      <c r="BE18" s="28" t="n">
        <f aca="false">BE16+BE17</f>
        <v>18137600</v>
      </c>
      <c r="BF18" s="28" t="n">
        <f aca="false">BF16+BF17</f>
        <v>18137600</v>
      </c>
      <c r="BG18" s="28" t="n">
        <f aca="false">BG16+BG17</f>
        <v>18137600</v>
      </c>
      <c r="BH18" s="28" t="n">
        <f aca="false">BH16+BH17</f>
        <v>18137600</v>
      </c>
      <c r="BI18" s="28" t="n">
        <f aca="false">BI16+BI17</f>
        <v>18137600</v>
      </c>
      <c r="BJ18" s="28" t="n">
        <f aca="false">BJ16+BJ17</f>
        <v>18137600</v>
      </c>
      <c r="BK18" s="28" t="n">
        <f aca="false">BK16+BK17</f>
        <v>18137600</v>
      </c>
      <c r="BL18" s="28" t="n">
        <f aca="false">BL16+BL17</f>
        <v>18137600</v>
      </c>
    </row>
    <row r="19" customFormat="false" ht="15" hidden="false" customHeight="false" outlineLevel="0" collapsed="false">
      <c r="B19" s="2" t="s">
        <v>275</v>
      </c>
      <c r="C19" s="2" t="s">
        <v>141</v>
      </c>
      <c r="E19" s="27" t="n">
        <f aca="false">-E11*(Hypotheses!$F$23*Hypotheses!$F$24/1000+Hypotheses!$F$25*Hypotheses!$F$26+Hypotheses!$F$27+Hypotheses!$F$28+Hypotheses!$F$29+Hypotheses!$F$30)</f>
        <v>-366912</v>
      </c>
      <c r="F19" s="27" t="n">
        <f aca="false">-F11*(Hypotheses!$F$23*Hypotheses!$F$24/1000+Hypotheses!$F$25*Hypotheses!$F$26+Hypotheses!$F$27+Hypotheses!$F$28+Hypotheses!$F$29+Hypotheses!$F$30)</f>
        <v>-466978.909090909</v>
      </c>
      <c r="G19" s="27" t="n">
        <f aca="false">-G11*(Hypotheses!$F$23*Hypotheses!$F$24/1000+Hypotheses!$F$25*Hypotheses!$F$26+Hypotheses!$F$27+Hypotheses!$F$28+Hypotheses!$F$29+Hypotheses!$F$30)</f>
        <v>-567045.818181818</v>
      </c>
      <c r="H19" s="27" t="n">
        <f aca="false">-H11*(Hypotheses!$F$23*Hypotheses!$F$24/1000+Hypotheses!$F$25*Hypotheses!$F$26+Hypotheses!$F$27+Hypotheses!$F$28+Hypotheses!$F$29+Hypotheses!$F$30)</f>
        <v>-667112.727272727</v>
      </c>
      <c r="I19" s="27" t="n">
        <f aca="false">-I11*(Hypotheses!$F$23*Hypotheses!$F$24/1000+Hypotheses!$F$25*Hypotheses!$F$26+Hypotheses!$F$27+Hypotheses!$F$28+Hypotheses!$F$29+Hypotheses!$F$30)</f>
        <v>-767179.636363636</v>
      </c>
      <c r="J19" s="27" t="n">
        <f aca="false">-J11*(Hypotheses!$F$23*Hypotheses!$F$24/1000+Hypotheses!$F$25*Hypotheses!$F$26+Hypotheses!$F$27+Hypotheses!$F$28+Hypotheses!$F$29+Hypotheses!$F$30)</f>
        <v>-867246.545454545</v>
      </c>
      <c r="K19" s="27" t="n">
        <f aca="false">-K11*(Hypotheses!$F$23*Hypotheses!$F$24/1000+Hypotheses!$F$25*Hypotheses!$F$26+Hypotheses!$F$27+Hypotheses!$F$28+Hypotheses!$F$29+Hypotheses!$F$30)</f>
        <v>-967313.454545455</v>
      </c>
      <c r="L19" s="27" t="n">
        <f aca="false">-L11*(Hypotheses!$F$23*Hypotheses!$F$24/1000+Hypotheses!$F$25*Hypotheses!$F$26+Hypotheses!$F$27+Hypotheses!$F$28+Hypotheses!$F$29+Hypotheses!$F$30)</f>
        <v>-1067380.36363636</v>
      </c>
      <c r="M19" s="27" t="n">
        <f aca="false">-M11*(Hypotheses!$F$23*Hypotheses!$F$24/1000+Hypotheses!$F$25*Hypotheses!$F$26+Hypotheses!$F$27+Hypotheses!$F$28+Hypotheses!$F$29+Hypotheses!$F$30)</f>
        <v>-1167447.27272727</v>
      </c>
      <c r="N19" s="27" t="n">
        <f aca="false">-N11*(Hypotheses!$F$23*Hypotheses!$F$24/1000+Hypotheses!$F$25*Hypotheses!$F$26+Hypotheses!$F$27+Hypotheses!$F$28+Hypotheses!$F$29+Hypotheses!$F$30)</f>
        <v>-1267514.18181818</v>
      </c>
      <c r="O19" s="27" t="n">
        <f aca="false">-O11*(Hypotheses!$F$23*Hypotheses!$F$24/1000+Hypotheses!$F$25*Hypotheses!$F$26+Hypotheses!$F$27+Hypotheses!$F$28+Hypotheses!$F$29+Hypotheses!$F$30)</f>
        <v>-1367581.09090909</v>
      </c>
      <c r="P19" s="27" t="n">
        <f aca="false">-P11*(Hypotheses!$F$23*Hypotheses!$F$24/1000+Hypotheses!$F$25*Hypotheses!$F$26+Hypotheses!$F$27+Hypotheses!$F$28+Hypotheses!$F$29+Hypotheses!$F$30)</f>
        <v>-1467648</v>
      </c>
      <c r="Q19" s="27" t="n">
        <f aca="false">-Q11*(Hypotheses!$F$23*Hypotheses!$F$24/1000+Hypotheses!$F$25*Hypotheses!$F$26+Hypotheses!$F$27+Hypotheses!$F$28+Hypotheses!$F$29+Hypotheses!$F$30)</f>
        <v>-1467648</v>
      </c>
      <c r="R19" s="27" t="n">
        <f aca="false">-R11*(Hypotheses!$F$23*Hypotheses!$F$24/1000+Hypotheses!$F$25*Hypotheses!$F$26+Hypotheses!$F$27+Hypotheses!$F$28+Hypotheses!$F$29+Hypotheses!$F$30)</f>
        <v>-1467648</v>
      </c>
      <c r="S19" s="27" t="n">
        <f aca="false">-S11*(Hypotheses!$F$23*Hypotheses!$F$24/1000+Hypotheses!$F$25*Hypotheses!$F$26+Hypotheses!$F$27+Hypotheses!$F$28+Hypotheses!$F$29+Hypotheses!$F$30)</f>
        <v>-1467648</v>
      </c>
      <c r="T19" s="27" t="n">
        <f aca="false">-T11*(Hypotheses!$F$23*Hypotheses!$F$24/1000+Hypotheses!$F$25*Hypotheses!$F$26+Hypotheses!$F$27+Hypotheses!$F$28+Hypotheses!$F$29+Hypotheses!$F$30)</f>
        <v>-1467648</v>
      </c>
      <c r="U19" s="27" t="n">
        <f aca="false">-U11*(Hypotheses!$F$23*Hypotheses!$F$24/1000+Hypotheses!$F$25*Hypotheses!$F$26+Hypotheses!$F$27+Hypotheses!$F$28+Hypotheses!$F$29+Hypotheses!$F$30)</f>
        <v>-1467648</v>
      </c>
      <c r="V19" s="27" t="n">
        <f aca="false">-V11*(Hypotheses!$F$23*Hypotheses!$F$24/1000+Hypotheses!$F$25*Hypotheses!$F$26+Hypotheses!$F$27+Hypotheses!$F$28+Hypotheses!$F$29+Hypotheses!$F$30)</f>
        <v>-1467648</v>
      </c>
      <c r="W19" s="27" t="n">
        <f aca="false">-W11*(Hypotheses!$F$23*Hypotheses!$F$24/1000+Hypotheses!$F$25*Hypotheses!$F$26+Hypotheses!$F$27+Hypotheses!$F$28+Hypotheses!$F$29+Hypotheses!$F$30)</f>
        <v>-1467648</v>
      </c>
      <c r="X19" s="27" t="n">
        <f aca="false">-X11*(Hypotheses!$F$23*Hypotheses!$F$24/1000+Hypotheses!$F$25*Hypotheses!$F$26+Hypotheses!$F$27+Hypotheses!$F$28+Hypotheses!$F$29+Hypotheses!$F$30)</f>
        <v>-1834560</v>
      </c>
      <c r="Y19" s="27" t="n">
        <f aca="false">-Y11*(Hypotheses!$F$23*Hypotheses!$F$24/1000+Hypotheses!$F$25*Hypotheses!$F$26+Hypotheses!$F$27+Hypotheses!$F$28+Hypotheses!$F$29+Hypotheses!$F$30)</f>
        <v>-1880424</v>
      </c>
      <c r="Z19" s="27" t="n">
        <f aca="false">-Z11*(Hypotheses!$F$23*Hypotheses!$F$24/1000+Hypotheses!$F$25*Hypotheses!$F$26+Hypotheses!$F$27+Hypotheses!$F$28+Hypotheses!$F$29+Hypotheses!$F$30)</f>
        <v>-1926288</v>
      </c>
      <c r="AA19" s="27" t="n">
        <f aca="false">-AA11*(Hypotheses!$F$23*Hypotheses!$F$24/1000+Hypotheses!$F$25*Hypotheses!$F$26+Hypotheses!$F$27+Hypotheses!$F$28+Hypotheses!$F$29+Hypotheses!$F$30)</f>
        <v>-1972152</v>
      </c>
      <c r="AB19" s="27" t="n">
        <f aca="false">-AB11*(Hypotheses!$F$23*Hypotheses!$F$24/1000+Hypotheses!$F$25*Hypotheses!$F$26+Hypotheses!$F$27+Hypotheses!$F$28+Hypotheses!$F$29+Hypotheses!$F$30)</f>
        <v>-2018016</v>
      </c>
      <c r="AC19" s="27" t="n">
        <f aca="false">-AC11*(Hypotheses!$F$23*Hypotheses!$F$24/1000+Hypotheses!$F$25*Hypotheses!$F$26+Hypotheses!$F$27+Hypotheses!$F$28+Hypotheses!$F$29+Hypotheses!$F$30)</f>
        <v>-2063880</v>
      </c>
      <c r="AD19" s="27" t="n">
        <f aca="false">-AD11*(Hypotheses!$F$23*Hypotheses!$F$24/1000+Hypotheses!$F$25*Hypotheses!$F$26+Hypotheses!$F$27+Hypotheses!$F$28+Hypotheses!$F$29+Hypotheses!$F$30)</f>
        <v>-2109744</v>
      </c>
      <c r="AE19" s="27" t="n">
        <f aca="false">-AE11*(Hypotheses!$F$23*Hypotheses!$F$24/1000+Hypotheses!$F$25*Hypotheses!$F$26+Hypotheses!$F$27+Hypotheses!$F$28+Hypotheses!$F$29+Hypotheses!$F$30)</f>
        <v>-2155608</v>
      </c>
      <c r="AF19" s="27" t="n">
        <f aca="false">-AF11*(Hypotheses!$F$23*Hypotheses!$F$24/1000+Hypotheses!$F$25*Hypotheses!$F$26+Hypotheses!$F$27+Hypotheses!$F$28+Hypotheses!$F$29+Hypotheses!$F$30)</f>
        <v>-2201472</v>
      </c>
      <c r="AG19" s="27" t="n">
        <f aca="false">-AG11*(Hypotheses!$F$23*Hypotheses!$F$24/1000+Hypotheses!$F$25*Hypotheses!$F$26+Hypotheses!$F$27+Hypotheses!$F$28+Hypotheses!$F$29+Hypotheses!$F$30)</f>
        <v>-2247336</v>
      </c>
      <c r="AH19" s="27" t="n">
        <f aca="false">-AH11*(Hypotheses!$F$23*Hypotheses!$F$24/1000+Hypotheses!$F$25*Hypotheses!$F$26+Hypotheses!$F$27+Hypotheses!$F$28+Hypotheses!$F$29+Hypotheses!$F$30)</f>
        <v>-2293200</v>
      </c>
      <c r="AI19" s="27" t="n">
        <f aca="false">-AI11*(Hypotheses!$F$23*Hypotheses!$F$24/1000+Hypotheses!$F$25*Hypotheses!$F$26+Hypotheses!$F$27+Hypotheses!$F$28+Hypotheses!$F$29+Hypotheses!$F$30)</f>
        <v>-2339064</v>
      </c>
      <c r="AJ19" s="27" t="n">
        <f aca="false">-AJ11*(Hypotheses!$F$23*Hypotheses!$F$24/1000+Hypotheses!$F$25*Hypotheses!$F$26+Hypotheses!$F$27+Hypotheses!$F$28+Hypotheses!$F$29+Hypotheses!$F$30)</f>
        <v>-2384928</v>
      </c>
      <c r="AK19" s="27" t="n">
        <f aca="false">-AK11*(Hypotheses!$F$23*Hypotheses!$F$24/1000+Hypotheses!$F$25*Hypotheses!$F$26+Hypotheses!$F$27+Hypotheses!$F$28+Hypotheses!$F$29+Hypotheses!$F$30)</f>
        <v>-2430792</v>
      </c>
      <c r="AL19" s="27" t="n">
        <f aca="false">-AL11*(Hypotheses!$F$23*Hypotheses!$F$24/1000+Hypotheses!$F$25*Hypotheses!$F$26+Hypotheses!$F$27+Hypotheses!$F$28+Hypotheses!$F$29+Hypotheses!$F$30)</f>
        <v>-2476656</v>
      </c>
      <c r="AM19" s="27" t="n">
        <f aca="false">-AM11*(Hypotheses!$F$23*Hypotheses!$F$24/1000+Hypotheses!$F$25*Hypotheses!$F$26+Hypotheses!$F$27+Hypotheses!$F$28+Hypotheses!$F$29+Hypotheses!$F$30)</f>
        <v>-2522520</v>
      </c>
      <c r="AN19" s="27" t="n">
        <f aca="false">-AN11*(Hypotheses!$F$23*Hypotheses!$F$24/1000+Hypotheses!$F$25*Hypotheses!$F$26+Hypotheses!$F$27+Hypotheses!$F$28+Hypotheses!$F$29+Hypotheses!$F$30)</f>
        <v>-2568384</v>
      </c>
      <c r="AO19" s="27" t="n">
        <f aca="false">-AO11*(Hypotheses!$F$23*Hypotheses!$F$24/1000+Hypotheses!$F$25*Hypotheses!$F$26+Hypotheses!$F$27+Hypotheses!$F$28+Hypotheses!$F$29+Hypotheses!$F$30)</f>
        <v>-2614248</v>
      </c>
      <c r="AP19" s="27" t="n">
        <f aca="false">-AP11*(Hypotheses!$F$23*Hypotheses!$F$24/1000+Hypotheses!$F$25*Hypotheses!$F$26+Hypotheses!$F$27+Hypotheses!$F$28+Hypotheses!$F$29+Hypotheses!$F$30)</f>
        <v>-2660112</v>
      </c>
      <c r="AQ19" s="27" t="n">
        <f aca="false">-AQ11*(Hypotheses!$F$23*Hypotheses!$F$24/1000+Hypotheses!$F$25*Hypotheses!$F$26+Hypotheses!$F$27+Hypotheses!$F$28+Hypotheses!$F$29+Hypotheses!$F$30)</f>
        <v>-2705976</v>
      </c>
      <c r="AR19" s="27" t="n">
        <f aca="false">-AR11*(Hypotheses!$F$23*Hypotheses!$F$24/1000+Hypotheses!$F$25*Hypotheses!$F$26+Hypotheses!$F$27+Hypotheses!$F$28+Hypotheses!$F$29+Hypotheses!$F$30)</f>
        <v>-2751840</v>
      </c>
      <c r="AS19" s="27" t="n">
        <f aca="false">-AS11*(Hypotheses!$F$23*Hypotheses!$F$24/1000+Hypotheses!$F$25*Hypotheses!$F$26+Hypotheses!$F$27+Hypotheses!$F$28+Hypotheses!$F$29+Hypotheses!$F$30)</f>
        <v>-2797704</v>
      </c>
      <c r="AT19" s="27" t="n">
        <f aca="false">-AT11*(Hypotheses!$F$23*Hypotheses!$F$24/1000+Hypotheses!$F$25*Hypotheses!$F$26+Hypotheses!$F$27+Hypotheses!$F$28+Hypotheses!$F$29+Hypotheses!$F$30)</f>
        <v>-2843568</v>
      </c>
      <c r="AU19" s="27" t="n">
        <f aca="false">-AU11*(Hypotheses!$F$23*Hypotheses!$F$24/1000+Hypotheses!$F$25*Hypotheses!$F$26+Hypotheses!$F$27+Hypotheses!$F$28+Hypotheses!$F$29+Hypotheses!$F$30)</f>
        <v>-2889432</v>
      </c>
      <c r="AV19" s="27" t="n">
        <f aca="false">-AV11*(Hypotheses!$F$23*Hypotheses!$F$24/1000+Hypotheses!$F$25*Hypotheses!$F$26+Hypotheses!$F$27+Hypotheses!$F$28+Hypotheses!$F$29+Hypotheses!$F$30)</f>
        <v>-2935296</v>
      </c>
      <c r="AW19" s="27" t="n">
        <f aca="false">-AW11*(Hypotheses!$F$23*Hypotheses!$F$24/1000+Hypotheses!$F$25*Hypotheses!$F$26+Hypotheses!$F$27+Hypotheses!$F$28+Hypotheses!$F$29+Hypotheses!$F$30)</f>
        <v>-2935296</v>
      </c>
      <c r="AX19" s="27" t="n">
        <f aca="false">-AX11*(Hypotheses!$F$23*Hypotheses!$F$24/1000+Hypotheses!$F$25*Hypotheses!$F$26+Hypotheses!$F$27+Hypotheses!$F$28+Hypotheses!$F$29+Hypotheses!$F$30)</f>
        <v>-2935296</v>
      </c>
      <c r="AY19" s="27" t="n">
        <f aca="false">-AY11*(Hypotheses!$F$23*Hypotheses!$F$24/1000+Hypotheses!$F$25*Hypotheses!$F$26+Hypotheses!$F$27+Hypotheses!$F$28+Hypotheses!$F$29+Hypotheses!$F$30)</f>
        <v>-2935296</v>
      </c>
      <c r="AZ19" s="27" t="n">
        <f aca="false">-AZ11*(Hypotheses!$F$23*Hypotheses!$F$24/1000+Hypotheses!$F$25*Hypotheses!$F$26+Hypotheses!$F$27+Hypotheses!$F$28+Hypotheses!$F$29+Hypotheses!$F$30)</f>
        <v>-2935296</v>
      </c>
      <c r="BA19" s="27" t="n">
        <f aca="false">-BA11*(Hypotheses!$F$23*Hypotheses!$F$24/1000+Hypotheses!$F$25*Hypotheses!$F$26+Hypotheses!$F$27+Hypotheses!$F$28+Hypotheses!$F$29+Hypotheses!$F$30)</f>
        <v>-2935296</v>
      </c>
      <c r="BB19" s="27" t="n">
        <f aca="false">-BB11*(Hypotheses!$F$23*Hypotheses!$F$24/1000+Hypotheses!$F$25*Hypotheses!$F$26+Hypotheses!$F$27+Hypotheses!$F$28+Hypotheses!$F$29+Hypotheses!$F$30)</f>
        <v>-2935296</v>
      </c>
      <c r="BC19" s="27" t="n">
        <f aca="false">-BC11*(Hypotheses!$F$23*Hypotheses!$F$24/1000+Hypotheses!$F$25*Hypotheses!$F$26+Hypotheses!$F$27+Hypotheses!$F$28+Hypotheses!$F$29+Hypotheses!$F$30)</f>
        <v>-2935296</v>
      </c>
      <c r="BD19" s="27" t="n">
        <f aca="false">-BD11*(Hypotheses!$F$23*Hypotheses!$F$24/1000+Hypotheses!$F$25*Hypotheses!$F$26+Hypotheses!$F$27+Hypotheses!$F$28+Hypotheses!$F$29+Hypotheses!$F$30)</f>
        <v>-2935296</v>
      </c>
      <c r="BE19" s="27" t="n">
        <f aca="false">-BE11*(Hypotheses!$F$23*Hypotheses!$F$24/1000+Hypotheses!$F$25*Hypotheses!$F$26+Hypotheses!$F$27+Hypotheses!$F$28+Hypotheses!$F$29+Hypotheses!$F$30)</f>
        <v>-2935296</v>
      </c>
      <c r="BF19" s="27" t="n">
        <f aca="false">-BF11*(Hypotheses!$F$23*Hypotheses!$F$24/1000+Hypotheses!$F$25*Hypotheses!$F$26+Hypotheses!$F$27+Hypotheses!$F$28+Hypotheses!$F$29+Hypotheses!$F$30)</f>
        <v>-2935296</v>
      </c>
      <c r="BG19" s="27" t="n">
        <f aca="false">-BG11*(Hypotheses!$F$23*Hypotheses!$F$24/1000+Hypotheses!$F$25*Hypotheses!$F$26+Hypotheses!$F$27+Hypotheses!$F$28+Hypotheses!$F$29+Hypotheses!$F$30)</f>
        <v>-2935296</v>
      </c>
      <c r="BH19" s="27" t="n">
        <f aca="false">-BH11*(Hypotheses!$F$23*Hypotheses!$F$24/1000+Hypotheses!$F$25*Hypotheses!$F$26+Hypotheses!$F$27+Hypotheses!$F$28+Hypotheses!$F$29+Hypotheses!$F$30)</f>
        <v>-2935296</v>
      </c>
      <c r="BI19" s="27" t="n">
        <f aca="false">-BI11*(Hypotheses!$F$23*Hypotheses!$F$24/1000+Hypotheses!$F$25*Hypotheses!$F$26+Hypotheses!$F$27+Hypotheses!$F$28+Hypotheses!$F$29+Hypotheses!$F$30)</f>
        <v>-2935296</v>
      </c>
      <c r="BJ19" s="27" t="n">
        <f aca="false">-BJ11*(Hypotheses!$F$23*Hypotheses!$F$24/1000+Hypotheses!$F$25*Hypotheses!$F$26+Hypotheses!$F$27+Hypotheses!$F$28+Hypotheses!$F$29+Hypotheses!$F$30)</f>
        <v>-2935296</v>
      </c>
      <c r="BK19" s="27" t="n">
        <f aca="false">-BK11*(Hypotheses!$F$23*Hypotheses!$F$24/1000+Hypotheses!$F$25*Hypotheses!$F$26+Hypotheses!$F$27+Hypotheses!$F$28+Hypotheses!$F$29+Hypotheses!$F$30)</f>
        <v>-2935296</v>
      </c>
      <c r="BL19" s="27" t="n">
        <f aca="false">-BL11*(Hypotheses!$F$23*Hypotheses!$F$24/1000+Hypotheses!$F$25*Hypotheses!$F$26+Hypotheses!$F$27+Hypotheses!$F$28+Hypotheses!$F$29+Hypotheses!$F$30)</f>
        <v>-2935296</v>
      </c>
    </row>
    <row r="20" customFormat="false" ht="15" hidden="false" customHeight="false" outlineLevel="0" collapsed="false">
      <c r="B20" s="2" t="s">
        <v>276</v>
      </c>
      <c r="C20" s="2" t="s">
        <v>141</v>
      </c>
      <c r="D20" s="27" t="n">
        <f aca="false">0</f>
        <v>0</v>
      </c>
      <c r="E20" s="27" t="n">
        <f aca="false">E14/Hypotheses!$F$17*Hypotheses!$F$33*Hypotheses!$F$32</f>
        <v>0</v>
      </c>
      <c r="F20" s="27" t="n">
        <f aca="false">F14/Hypotheses!$F$17*Hypotheses!$F$33*Hypotheses!$F$32</f>
        <v>31195.3578336557</v>
      </c>
      <c r="G20" s="27" t="n">
        <f aca="false">G14/Hypotheses!$F$17*Hypotheses!$F$33*Hypotheses!$F$32</f>
        <v>75760.1547388782</v>
      </c>
      <c r="H20" s="27" t="n">
        <f aca="false">H14/Hypotheses!$F$17*Hypotheses!$F$33*Hypotheses!$F$32</f>
        <v>133694.390715667</v>
      </c>
      <c r="I20" s="27" t="n">
        <f aca="false">I14/Hypotheses!$F$17*Hypotheses!$F$33*Hypotheses!$F$32</f>
        <v>204998.065764023</v>
      </c>
      <c r="J20" s="27" t="n">
        <f aca="false">J14/Hypotheses!$F$17*Hypotheses!$F$33*Hypotheses!$F$32</f>
        <v>289671.179883946</v>
      </c>
      <c r="K20" s="27" t="n">
        <f aca="false">K14/Hypotheses!$F$17*Hypotheses!$F$33*Hypotheses!$F$32</f>
        <v>387713.733075435</v>
      </c>
      <c r="L20" s="27" t="n">
        <f aca="false">L14/Hypotheses!$F$17*Hypotheses!$F$33*Hypotheses!$F$32</f>
        <v>499125.725338491</v>
      </c>
      <c r="M20" s="27" t="n">
        <f aca="false">M14/Hypotheses!$F$17*Hypotheses!$F$33*Hypotheses!$F$32</f>
        <v>623907.156673114</v>
      </c>
      <c r="N20" s="27" t="n">
        <f aca="false">N14/Hypotheses!$F$17*Hypotheses!$F$33*Hypotheses!$F$32</f>
        <v>762058.027079304</v>
      </c>
      <c r="O20" s="27" t="n">
        <f aca="false">O14/Hypotheses!$F$17*Hypotheses!$F$33*Hypotheses!$F$32</f>
        <v>913578.33655706</v>
      </c>
      <c r="P20" s="27" t="n">
        <f aca="false">P14/Hypotheses!$F$17*Hypotheses!$F$33*Hypotheses!$F$32</f>
        <v>1078468.08510638</v>
      </c>
      <c r="Q20" s="27" t="n">
        <f aca="false">Q14/Hypotheses!$F$17*Hypotheses!$F$33*Hypotheses!$F$32</f>
        <v>1176510.63829787</v>
      </c>
      <c r="R20" s="27" t="n">
        <f aca="false">R14/Hypotheses!$F$17*Hypotheses!$F$33*Hypotheses!$F$32</f>
        <v>1274553.19148936</v>
      </c>
      <c r="S20" s="27" t="n">
        <f aca="false">S14/Hypotheses!$F$17*Hypotheses!$F$33*Hypotheses!$F$32</f>
        <v>1372595.74468085</v>
      </c>
      <c r="T20" s="27" t="n">
        <f aca="false">T14/Hypotheses!$F$17*Hypotheses!$F$33*Hypotheses!$F$32</f>
        <v>1470638.29787234</v>
      </c>
      <c r="U20" s="27" t="n">
        <f aca="false">U14/Hypotheses!$F$17*Hypotheses!$F$33*Hypotheses!$F$32</f>
        <v>1568680.85106383</v>
      </c>
      <c r="V20" s="27" t="n">
        <f aca="false">V14/Hypotheses!$F$17*Hypotheses!$F$33*Hypotheses!$F$32</f>
        <v>1666723.40425532</v>
      </c>
      <c r="W20" s="27" t="n">
        <f aca="false">W14/Hypotheses!$F$17*Hypotheses!$F$33*Hypotheses!$F$32</f>
        <v>1764765.95744681</v>
      </c>
      <c r="X20" s="27" t="n">
        <f aca="false">X14/Hypotheses!$F$17*Hypotheses!$F$33*Hypotheses!$F$32</f>
        <v>2328510.63829787</v>
      </c>
      <c r="Y20" s="27" t="n">
        <f aca="false">Y14/Hypotheses!$F$17*Hypotheses!$F$33*Hypotheses!$F$32</f>
        <v>2512340.42553191</v>
      </c>
      <c r="Z20" s="27" t="n">
        <f aca="false">Z14/Hypotheses!$F$17*Hypotheses!$F$33*Hypotheses!$F$32</f>
        <v>2702297.87234043</v>
      </c>
      <c r="AA20" s="27" t="n">
        <f aca="false">AA14/Hypotheses!$F$17*Hypotheses!$F$33*Hypotheses!$F$32</f>
        <v>2898382.9787234</v>
      </c>
      <c r="AB20" s="27" t="n">
        <f aca="false">AB14/Hypotheses!$F$17*Hypotheses!$F$33*Hypotheses!$F$32</f>
        <v>3100595.74468085</v>
      </c>
      <c r="AC20" s="27" t="n">
        <f aca="false">AC14/Hypotheses!$F$17*Hypotheses!$F$33*Hypotheses!$F$32</f>
        <v>3308936.17021277</v>
      </c>
      <c r="AD20" s="27" t="n">
        <f aca="false">AD14/Hypotheses!$F$17*Hypotheses!$F$33*Hypotheses!$F$32</f>
        <v>3523404.25531915</v>
      </c>
      <c r="AE20" s="27" t="n">
        <f aca="false">AE14/Hypotheses!$F$17*Hypotheses!$F$33*Hypotheses!$F$32</f>
        <v>3744000</v>
      </c>
      <c r="AF20" s="27" t="n">
        <f aca="false">AF14/Hypotheses!$F$17*Hypotheses!$F$33*Hypotheses!$F$32</f>
        <v>3970723.40425532</v>
      </c>
      <c r="AG20" s="27" t="n">
        <f aca="false">AG14/Hypotheses!$F$17*Hypotheses!$F$33*Hypotheses!$F$32</f>
        <v>4203574.46808511</v>
      </c>
      <c r="AH20" s="27" t="n">
        <f aca="false">AH14/Hypotheses!$F$17*Hypotheses!$F$33*Hypotheses!$F$32</f>
        <v>4442553.19148936</v>
      </c>
      <c r="AI20" s="27" t="n">
        <f aca="false">AI14/Hypotheses!$F$17*Hypotheses!$F$33*Hypotheses!$F$32</f>
        <v>4687659.57446809</v>
      </c>
      <c r="AJ20" s="27" t="n">
        <f aca="false">AJ14/Hypotheses!$F$17*Hypotheses!$F$33*Hypotheses!$F$32</f>
        <v>4938893.61702128</v>
      </c>
      <c r="AK20" s="27" t="n">
        <f aca="false">AK14/Hypotheses!$F$17*Hypotheses!$F$33*Hypotheses!$F$32</f>
        <v>5196255.31914894</v>
      </c>
      <c r="AL20" s="27" t="n">
        <f aca="false">AL14/Hypotheses!$F$17*Hypotheses!$F$33*Hypotheses!$F$32</f>
        <v>5459744.68085106</v>
      </c>
      <c r="AM20" s="27" t="n">
        <f aca="false">AM14/Hypotheses!$F$17*Hypotheses!$F$33*Hypotheses!$F$32</f>
        <v>5729361.70212766</v>
      </c>
      <c r="AN20" s="27" t="n">
        <f aca="false">AN14/Hypotheses!$F$17*Hypotheses!$F$33*Hypotheses!$F$32</f>
        <v>6005106.38297872</v>
      </c>
      <c r="AO20" s="27" t="n">
        <f aca="false">AO14/Hypotheses!$F$17*Hypotheses!$F$33*Hypotheses!$F$32</f>
        <v>6286978.72340425</v>
      </c>
      <c r="AP20" s="27" t="n">
        <f aca="false">AP14/Hypotheses!$F$17*Hypotheses!$F$33*Hypotheses!$F$32</f>
        <v>6574978.72340425</v>
      </c>
      <c r="AQ20" s="27" t="n">
        <f aca="false">AQ14/Hypotheses!$F$17*Hypotheses!$F$33*Hypotheses!$F$32</f>
        <v>6869106.38297872</v>
      </c>
      <c r="AR20" s="27" t="n">
        <f aca="false">AR14/Hypotheses!$F$17*Hypotheses!$F$33*Hypotheses!$F$32</f>
        <v>7169361.70212766</v>
      </c>
      <c r="AS20" s="27" t="n">
        <f aca="false">AS14/Hypotheses!$F$17*Hypotheses!$F$33*Hypotheses!$F$32</f>
        <v>7475744.68085106</v>
      </c>
      <c r="AT20" s="27" t="n">
        <f aca="false">AT14/Hypotheses!$F$17*Hypotheses!$F$33*Hypotheses!$F$32</f>
        <v>7788255.31914894</v>
      </c>
      <c r="AU20" s="27" t="n">
        <f aca="false">AU14/Hypotheses!$F$17*Hypotheses!$F$33*Hypotheses!$F$32</f>
        <v>8106893.61702128</v>
      </c>
      <c r="AV20" s="27" t="n">
        <f aca="false">AV14/Hypotheses!$F$17*Hypotheses!$F$33*Hypotheses!$F$32</f>
        <v>8431659.57446809</v>
      </c>
      <c r="AW20" s="27" t="n">
        <f aca="false">AW14/Hypotheses!$F$17*Hypotheses!$F$33*Hypotheses!$F$32</f>
        <v>8627744.68085107</v>
      </c>
      <c r="AX20" s="27" t="n">
        <f aca="false">AX14/Hypotheses!$F$17*Hypotheses!$F$33*Hypotheses!$F$32</f>
        <v>8823829.78723404</v>
      </c>
      <c r="AY20" s="27" t="n">
        <f aca="false">AY14/Hypotheses!$F$17*Hypotheses!$F$33*Hypotheses!$F$32</f>
        <v>9019914.89361702</v>
      </c>
      <c r="AZ20" s="27" t="n">
        <f aca="false">AZ14/Hypotheses!$F$17*Hypotheses!$F$33*Hypotheses!$F$32</f>
        <v>9216000</v>
      </c>
      <c r="BA20" s="27" t="n">
        <f aca="false">BA14/Hypotheses!$F$17*Hypotheses!$F$33*Hypotheses!$F$32</f>
        <v>9216000</v>
      </c>
      <c r="BB20" s="27" t="n">
        <f aca="false">BB14/Hypotheses!$F$17*Hypotheses!$F$33*Hypotheses!$F$32</f>
        <v>9216000</v>
      </c>
      <c r="BC20" s="27" t="n">
        <f aca="false">BC14/Hypotheses!$F$17*Hypotheses!$F$33*Hypotheses!$F$32</f>
        <v>9216000</v>
      </c>
      <c r="BD20" s="27" t="n">
        <f aca="false">BD14/Hypotheses!$F$17*Hypotheses!$F$33*Hypotheses!$F$32</f>
        <v>9216000</v>
      </c>
      <c r="BE20" s="27" t="n">
        <f aca="false">BE14/Hypotheses!$F$17*Hypotheses!$F$33*Hypotheses!$F$32</f>
        <v>9216000</v>
      </c>
      <c r="BF20" s="27" t="n">
        <f aca="false">BF14/Hypotheses!$F$17*Hypotheses!$F$33*Hypotheses!$F$32</f>
        <v>9216000</v>
      </c>
      <c r="BG20" s="27" t="n">
        <f aca="false">BG14/Hypotheses!$F$17*Hypotheses!$F$33*Hypotheses!$F$32</f>
        <v>9216000</v>
      </c>
      <c r="BH20" s="27" t="n">
        <f aca="false">BH14/Hypotheses!$F$17*Hypotheses!$F$33*Hypotheses!$F$32</f>
        <v>9216000</v>
      </c>
      <c r="BI20" s="27" t="n">
        <f aca="false">BI14/Hypotheses!$F$17*Hypotheses!$F$33*Hypotheses!$F$32</f>
        <v>9216000</v>
      </c>
      <c r="BJ20" s="27" t="n">
        <f aca="false">BJ14/Hypotheses!$F$17*Hypotheses!$F$33*Hypotheses!$F$32</f>
        <v>9216000</v>
      </c>
      <c r="BK20" s="27" t="n">
        <f aca="false">BK14/Hypotheses!$F$17*Hypotheses!$F$33*Hypotheses!$F$32</f>
        <v>9216000</v>
      </c>
      <c r="BL20" s="27" t="n">
        <f aca="false">BL14/Hypotheses!$F$17*Hypotheses!$F$33*Hypotheses!$F$32</f>
        <v>9216000</v>
      </c>
    </row>
    <row r="21" customFormat="false" ht="15" hidden="false" customHeight="false" outlineLevel="0" collapsed="false">
      <c r="B21" s="2" t="s">
        <v>277</v>
      </c>
      <c r="C21" s="2" t="s">
        <v>141</v>
      </c>
      <c r="E21" s="27" t="n">
        <f aca="false">-(E14/Hypotheses!$F$34*Hypotheses!$F$32+E20*Hypotheses!$F$35)</f>
        <v>-0</v>
      </c>
      <c r="F21" s="27" t="n">
        <f aca="false">-(F14/Hypotheses!$F$34*Hypotheses!$F$32+F20*Hypotheses!$F$35)</f>
        <v>-1507.77562862669</v>
      </c>
      <c r="G21" s="27" t="n">
        <f aca="false">-(G14/Hypotheses!$F$34*Hypotheses!$F$32+G20*Hypotheses!$F$35)</f>
        <v>-3661.74081237911</v>
      </c>
      <c r="H21" s="27" t="n">
        <f aca="false">-(H14/Hypotheses!$F$34*Hypotheses!$F$32+H20*Hypotheses!$F$35)</f>
        <v>-6461.89555125725</v>
      </c>
      <c r="I21" s="27" t="n">
        <f aca="false">-(I14/Hypotheses!$F$34*Hypotheses!$F$32+I20*Hypotheses!$F$35)</f>
        <v>-9908.23984526112</v>
      </c>
      <c r="J21" s="27" t="n">
        <f aca="false">-(J14/Hypotheses!$F$34*Hypotheses!$F$32+J20*Hypotheses!$F$35)</f>
        <v>-14000.7736943907</v>
      </c>
      <c r="K21" s="27" t="n">
        <f aca="false">-(K14/Hypotheses!$F$34*Hypotheses!$F$32+K20*Hypotheses!$F$35)</f>
        <v>-18739.497098646</v>
      </c>
      <c r="L21" s="27" t="n">
        <f aca="false">-(L14/Hypotheses!$F$34*Hypotheses!$F$32+L20*Hypotheses!$F$35)</f>
        <v>-24124.4100580271</v>
      </c>
      <c r="M21" s="27" t="n">
        <f aca="false">-(M14/Hypotheses!$F$34*Hypotheses!$F$32+M20*Hypotheses!$F$35)</f>
        <v>-30155.5125725339</v>
      </c>
      <c r="N21" s="27" t="n">
        <f aca="false">-(N14/Hypotheses!$F$34*Hypotheses!$F$32+N20*Hypotheses!$F$35)</f>
        <v>-36832.8046421663</v>
      </c>
      <c r="O21" s="27" t="n">
        <f aca="false">-(O14/Hypotheses!$F$34*Hypotheses!$F$32+O20*Hypotheses!$F$35)</f>
        <v>-44156.2862669246</v>
      </c>
      <c r="P21" s="27" t="n">
        <f aca="false">-(P14/Hypotheses!$F$34*Hypotheses!$F$32+P20*Hypotheses!$F$35)</f>
        <v>-52125.9574468085</v>
      </c>
      <c r="Q21" s="27" t="n">
        <f aca="false">-(Q14/Hypotheses!$F$34*Hypotheses!$F$32+Q20*Hypotheses!$F$35)</f>
        <v>-56864.6808510638</v>
      </c>
      <c r="R21" s="27" t="n">
        <f aca="false">-(R14/Hypotheses!$F$34*Hypotheses!$F$32+R20*Hypotheses!$F$35)</f>
        <v>-61603.4042553192</v>
      </c>
      <c r="S21" s="27" t="n">
        <f aca="false">-(S14/Hypotheses!$F$34*Hypotheses!$F$32+S20*Hypotheses!$F$35)</f>
        <v>-66342.1276595745</v>
      </c>
      <c r="T21" s="27" t="n">
        <f aca="false">-(T14/Hypotheses!$F$34*Hypotheses!$F$32+T20*Hypotheses!$F$35)</f>
        <v>-71080.8510638298</v>
      </c>
      <c r="U21" s="27" t="n">
        <f aca="false">-(U14/Hypotheses!$F$34*Hypotheses!$F$32+U20*Hypotheses!$F$35)</f>
        <v>-75819.5744680851</v>
      </c>
      <c r="V21" s="27" t="n">
        <f aca="false">-(V14/Hypotheses!$F$34*Hypotheses!$F$32+V20*Hypotheses!$F$35)</f>
        <v>-80558.2978723404</v>
      </c>
      <c r="W21" s="27" t="n">
        <f aca="false">-(W14/Hypotheses!$F$34*Hypotheses!$F$32+W20*Hypotheses!$F$35)</f>
        <v>-85297.0212765957</v>
      </c>
      <c r="X21" s="27" t="n">
        <f aca="false">-(X14/Hypotheses!$F$34*Hypotheses!$F$32+X20*Hypotheses!$F$35)</f>
        <v>-112544.680851064</v>
      </c>
      <c r="Y21" s="27" t="n">
        <f aca="false">-(Y14/Hypotheses!$F$34*Hypotheses!$F$32+Y20*Hypotheses!$F$35)</f>
        <v>-121429.787234043</v>
      </c>
      <c r="Z21" s="27" t="n">
        <f aca="false">-(Z14/Hypotheses!$F$34*Hypotheses!$F$32+Z20*Hypotheses!$F$35)</f>
        <v>-130611.063829787</v>
      </c>
      <c r="AA21" s="27" t="n">
        <f aca="false">-(AA14/Hypotheses!$F$34*Hypotheses!$F$32+AA20*Hypotheses!$F$35)</f>
        <v>-140088.510638298</v>
      </c>
      <c r="AB21" s="27" t="n">
        <f aca="false">-(AB14/Hypotheses!$F$34*Hypotheses!$F$32+AB20*Hypotheses!$F$35)</f>
        <v>-149862.127659574</v>
      </c>
      <c r="AC21" s="27" t="n">
        <f aca="false">-(AC14/Hypotheses!$F$34*Hypotheses!$F$32+AC20*Hypotheses!$F$35)</f>
        <v>-159931.914893617</v>
      </c>
      <c r="AD21" s="27" t="n">
        <f aca="false">-(AD14/Hypotheses!$F$34*Hypotheses!$F$32+AD20*Hypotheses!$F$35)</f>
        <v>-170297.872340426</v>
      </c>
      <c r="AE21" s="27" t="n">
        <f aca="false">-(AE14/Hypotheses!$F$34*Hypotheses!$F$32+AE20*Hypotheses!$F$35)</f>
        <v>-180960</v>
      </c>
      <c r="AF21" s="27" t="n">
        <f aca="false">-(AF14/Hypotheses!$F$34*Hypotheses!$F$32+AF20*Hypotheses!$F$35)</f>
        <v>-191918.29787234</v>
      </c>
      <c r="AG21" s="27" t="n">
        <f aca="false">-(AG14/Hypotheses!$F$34*Hypotheses!$F$32+AG20*Hypotheses!$F$35)</f>
        <v>-203172.765957447</v>
      </c>
      <c r="AH21" s="27" t="n">
        <f aca="false">-(AH14/Hypotheses!$F$34*Hypotheses!$F$32+AH20*Hypotheses!$F$35)</f>
        <v>-214723.404255319</v>
      </c>
      <c r="AI21" s="27" t="n">
        <f aca="false">-(AI14/Hypotheses!$F$34*Hypotheses!$F$32+AI20*Hypotheses!$F$35)</f>
        <v>-226570.212765957</v>
      </c>
      <c r="AJ21" s="27" t="n">
        <f aca="false">-(AJ14/Hypotheses!$F$34*Hypotheses!$F$32+AJ20*Hypotheses!$F$35)</f>
        <v>-238713.191489362</v>
      </c>
      <c r="AK21" s="27" t="n">
        <f aca="false">-(AK14/Hypotheses!$F$34*Hypotheses!$F$32+AK20*Hypotheses!$F$35)</f>
        <v>-251152.340425532</v>
      </c>
      <c r="AL21" s="27" t="n">
        <f aca="false">-(AL14/Hypotheses!$F$34*Hypotheses!$F$32+AL20*Hypotheses!$F$35)</f>
        <v>-263887.659574468</v>
      </c>
      <c r="AM21" s="27" t="n">
        <f aca="false">-(AM14/Hypotheses!$F$34*Hypotheses!$F$32+AM20*Hypotheses!$F$35)</f>
        <v>-276919.14893617</v>
      </c>
      <c r="AN21" s="27" t="n">
        <f aca="false">-(AN14/Hypotheses!$F$34*Hypotheses!$F$32+AN20*Hypotheses!$F$35)</f>
        <v>-290246.808510638</v>
      </c>
      <c r="AO21" s="27" t="n">
        <f aca="false">-(AO14/Hypotheses!$F$34*Hypotheses!$F$32+AO20*Hypotheses!$F$35)</f>
        <v>-303870.638297872</v>
      </c>
      <c r="AP21" s="27" t="n">
        <f aca="false">-(AP14/Hypotheses!$F$34*Hypotheses!$F$32+AP20*Hypotheses!$F$35)</f>
        <v>-317790.638297872</v>
      </c>
      <c r="AQ21" s="27" t="n">
        <f aca="false">-(AQ14/Hypotheses!$F$34*Hypotheses!$F$32+AQ20*Hypotheses!$F$35)</f>
        <v>-332006.808510638</v>
      </c>
      <c r="AR21" s="27" t="n">
        <f aca="false">-(AR14/Hypotheses!$F$34*Hypotheses!$F$32+AR20*Hypotheses!$F$35)</f>
        <v>-346519.14893617</v>
      </c>
      <c r="AS21" s="27" t="n">
        <f aca="false">-(AS14/Hypotheses!$F$34*Hypotheses!$F$32+AS20*Hypotheses!$F$35)</f>
        <v>-361327.659574468</v>
      </c>
      <c r="AT21" s="27" t="n">
        <f aca="false">-(AT14/Hypotheses!$F$34*Hypotheses!$F$32+AT20*Hypotheses!$F$35)</f>
        <v>-376432.340425532</v>
      </c>
      <c r="AU21" s="27" t="n">
        <f aca="false">-(AU14/Hypotheses!$F$34*Hypotheses!$F$32+AU20*Hypotheses!$F$35)</f>
        <v>-391833.191489362</v>
      </c>
      <c r="AV21" s="27" t="n">
        <f aca="false">-(AV14/Hypotheses!$F$34*Hypotheses!$F$32+AV20*Hypotheses!$F$35)</f>
        <v>-407530.212765958</v>
      </c>
      <c r="AW21" s="27" t="n">
        <f aca="false">-(AW14/Hypotheses!$F$34*Hypotheses!$F$32+AW20*Hypotheses!$F$35)</f>
        <v>-417007.659574468</v>
      </c>
      <c r="AX21" s="27" t="n">
        <f aca="false">-(AX14/Hypotheses!$F$34*Hypotheses!$F$32+AX20*Hypotheses!$F$35)</f>
        <v>-426485.106382979</v>
      </c>
      <c r="AY21" s="27" t="n">
        <f aca="false">-(AY14/Hypotheses!$F$34*Hypotheses!$F$32+AY20*Hypotheses!$F$35)</f>
        <v>-435962.553191489</v>
      </c>
      <c r="AZ21" s="27" t="n">
        <f aca="false">-(AZ14/Hypotheses!$F$34*Hypotheses!$F$32+AZ20*Hypotheses!$F$35)</f>
        <v>-445440</v>
      </c>
      <c r="BA21" s="27" t="n">
        <f aca="false">-(BA14/Hypotheses!$F$34*Hypotheses!$F$32+BA20*Hypotheses!$F$35)</f>
        <v>-445440</v>
      </c>
      <c r="BB21" s="27" t="n">
        <f aca="false">-(BB14/Hypotheses!$F$34*Hypotheses!$F$32+BB20*Hypotheses!$F$35)</f>
        <v>-445440</v>
      </c>
      <c r="BC21" s="27" t="n">
        <f aca="false">-(BC14/Hypotheses!$F$34*Hypotheses!$F$32+BC20*Hypotheses!$F$35)</f>
        <v>-445440</v>
      </c>
      <c r="BD21" s="27" t="n">
        <f aca="false">-(BD14/Hypotheses!$F$34*Hypotheses!$F$32+BD20*Hypotheses!$F$35)</f>
        <v>-445440</v>
      </c>
      <c r="BE21" s="27" t="n">
        <f aca="false">-(BE14/Hypotheses!$F$34*Hypotheses!$F$32+BE20*Hypotheses!$F$35)</f>
        <v>-445440</v>
      </c>
      <c r="BF21" s="27" t="n">
        <f aca="false">-(BF14/Hypotheses!$F$34*Hypotheses!$F$32+BF20*Hypotheses!$F$35)</f>
        <v>-445440</v>
      </c>
      <c r="BG21" s="27" t="n">
        <f aca="false">-(BG14/Hypotheses!$F$34*Hypotheses!$F$32+BG20*Hypotheses!$F$35)</f>
        <v>-445440</v>
      </c>
      <c r="BH21" s="27" t="n">
        <f aca="false">-(BH14/Hypotheses!$F$34*Hypotheses!$F$32+BH20*Hypotheses!$F$35)</f>
        <v>-445440</v>
      </c>
      <c r="BI21" s="27" t="n">
        <f aca="false">-(BI14/Hypotheses!$F$34*Hypotheses!$F$32+BI20*Hypotheses!$F$35)</f>
        <v>-445440</v>
      </c>
      <c r="BJ21" s="27" t="n">
        <f aca="false">-(BJ14/Hypotheses!$F$34*Hypotheses!$F$32+BJ20*Hypotheses!$F$35)</f>
        <v>-445440</v>
      </c>
      <c r="BK21" s="27" t="n">
        <f aca="false">-(BK14/Hypotheses!$F$34*Hypotheses!$F$32+BK20*Hypotheses!$F$35)</f>
        <v>-445440</v>
      </c>
      <c r="BL21" s="27" t="n">
        <f aca="false">-(BL14/Hypotheses!$F$34*Hypotheses!$F$32+BL20*Hypotheses!$F$35)</f>
        <v>-445440</v>
      </c>
    </row>
    <row r="22" customFormat="false" ht="15" hidden="false" customHeight="false" outlineLevel="0" collapsed="false">
      <c r="B22" s="3" t="s">
        <v>278</v>
      </c>
      <c r="C22" s="2" t="s">
        <v>141</v>
      </c>
      <c r="E22" s="28" t="n">
        <f aca="false">E18+E19+E21</f>
        <v>1401088</v>
      </c>
      <c r="F22" s="28" t="n">
        <f aca="false">F18+F19+F21</f>
        <v>1795213.12185687</v>
      </c>
      <c r="G22" s="28" t="n">
        <f aca="false">G18+G19+G21</f>
        <v>2194485.47775629</v>
      </c>
      <c r="H22" s="28" t="n">
        <f aca="false">H18+H19+H21</f>
        <v>2598905.06769826</v>
      </c>
      <c r="I22" s="28" t="n">
        <f aca="false">I18+I19+I21</f>
        <v>3008471.89168279</v>
      </c>
      <c r="J22" s="28" t="n">
        <f aca="false">J18+J19+J21</f>
        <v>3423185.94970986</v>
      </c>
      <c r="K22" s="28" t="n">
        <f aca="false">K18+K19+K21</f>
        <v>3843047.2417795</v>
      </c>
      <c r="L22" s="28" t="n">
        <f aca="false">L18+L19+L21</f>
        <v>4268055.76789168</v>
      </c>
      <c r="M22" s="28" t="n">
        <f aca="false">M18+M19+M21</f>
        <v>4698211.52804642</v>
      </c>
      <c r="N22" s="28" t="n">
        <f aca="false">N18+N19+N21</f>
        <v>5133514.52224372</v>
      </c>
      <c r="O22" s="28" t="n">
        <f aca="false">O18+O19+O21</f>
        <v>5573964.75048356</v>
      </c>
      <c r="P22" s="28" t="n">
        <f aca="false">P18+P19+P21</f>
        <v>6019562.21276596</v>
      </c>
      <c r="Q22" s="28" t="n">
        <f aca="false">Q18+Q19+Q21</f>
        <v>6057308.59574468</v>
      </c>
      <c r="R22" s="28" t="n">
        <f aca="false">R18+R19+R21</f>
        <v>6095054.9787234</v>
      </c>
      <c r="S22" s="28" t="n">
        <f aca="false">S18+S19+S21</f>
        <v>6132801.36170213</v>
      </c>
      <c r="T22" s="28" t="n">
        <f aca="false">T18+T19+T21</f>
        <v>6170547.74468085</v>
      </c>
      <c r="U22" s="28" t="n">
        <f aca="false">U18+U19+U21</f>
        <v>6208294.12765957</v>
      </c>
      <c r="V22" s="28" t="n">
        <f aca="false">V18+V19+V21</f>
        <v>6246040.5106383</v>
      </c>
      <c r="W22" s="28" t="n">
        <f aca="false">W18+W19+W21</f>
        <v>6283786.89361702</v>
      </c>
      <c r="X22" s="28" t="n">
        <f aca="false">X18+X19+X21</f>
        <v>7901916.59574468</v>
      </c>
      <c r="Y22" s="28" t="n">
        <f aca="false">Y18+Y19+Y21</f>
        <v>8147827.06382979</v>
      </c>
      <c r="Z22" s="28" t="n">
        <f aca="false">Z18+Z19+Z21</f>
        <v>8396096.68085106</v>
      </c>
      <c r="AA22" s="28" t="n">
        <f aca="false">AA18+AA19+AA21</f>
        <v>8646725.44680851</v>
      </c>
      <c r="AB22" s="28" t="n">
        <f aca="false">AB18+AB19+AB21</f>
        <v>8899713.36170213</v>
      </c>
      <c r="AC22" s="28" t="n">
        <f aca="false">AC18+AC19+AC21</f>
        <v>9155060.42553191</v>
      </c>
      <c r="AD22" s="28" t="n">
        <f aca="false">AD18+AD19+AD21</f>
        <v>9412766.63829787</v>
      </c>
      <c r="AE22" s="28" t="n">
        <f aca="false">AE18+AE19+AE21</f>
        <v>9672832</v>
      </c>
      <c r="AF22" s="28" t="n">
        <f aca="false">AF18+AF19+AF21</f>
        <v>9935256.5106383</v>
      </c>
      <c r="AG22" s="28" t="n">
        <f aca="false">AG18+AG19+AG21</f>
        <v>10200040.1702128</v>
      </c>
      <c r="AH22" s="28" t="n">
        <f aca="false">AH18+AH19+AH21</f>
        <v>10467182.9787234</v>
      </c>
      <c r="AI22" s="28" t="n">
        <f aca="false">AI18+AI19+AI21</f>
        <v>10736684.9361702</v>
      </c>
      <c r="AJ22" s="28" t="n">
        <f aca="false">AJ18+AJ19+AJ21</f>
        <v>11008546.0425532</v>
      </c>
      <c r="AK22" s="28" t="n">
        <f aca="false">AK18+AK19+AK21</f>
        <v>11282766.2978723</v>
      </c>
      <c r="AL22" s="28" t="n">
        <f aca="false">AL18+AL19+AL21</f>
        <v>11559345.7021277</v>
      </c>
      <c r="AM22" s="28" t="n">
        <f aca="false">AM18+AM19+AM21</f>
        <v>11838284.2553191</v>
      </c>
      <c r="AN22" s="28" t="n">
        <f aca="false">AN18+AN19+AN21</f>
        <v>12119581.9574468</v>
      </c>
      <c r="AO22" s="28" t="n">
        <f aca="false">AO18+AO19+AO21</f>
        <v>12403238.8085106</v>
      </c>
      <c r="AP22" s="28" t="n">
        <f aca="false">AP18+AP19+AP21</f>
        <v>12689254.8085106</v>
      </c>
      <c r="AQ22" s="28" t="n">
        <f aca="false">AQ18+AQ19+AQ21</f>
        <v>12977629.9574468</v>
      </c>
      <c r="AR22" s="28" t="n">
        <f aca="false">AR18+AR19+AR21</f>
        <v>13268364.2553191</v>
      </c>
      <c r="AS22" s="28" t="n">
        <f aca="false">AS18+AS19+AS21</f>
        <v>13561457.7021277</v>
      </c>
      <c r="AT22" s="28" t="n">
        <f aca="false">AT18+AT19+AT21</f>
        <v>13856910.2978723</v>
      </c>
      <c r="AU22" s="28" t="n">
        <f aca="false">AU18+AU19+AU21</f>
        <v>14154722.0425532</v>
      </c>
      <c r="AV22" s="28" t="n">
        <f aca="false">AV18+AV19+AV21</f>
        <v>14454892.9361702</v>
      </c>
      <c r="AW22" s="28" t="n">
        <f aca="false">AW18+AW19+AW21</f>
        <v>14530385.7021277</v>
      </c>
      <c r="AX22" s="28" t="n">
        <f aca="false">AX18+AX19+AX21</f>
        <v>14605878.4680851</v>
      </c>
      <c r="AY22" s="28" t="n">
        <f aca="false">AY18+AY19+AY21</f>
        <v>14681371.2340426</v>
      </c>
      <c r="AZ22" s="28" t="n">
        <f aca="false">AZ18+AZ19+AZ21</f>
        <v>14756864</v>
      </c>
      <c r="BA22" s="28" t="n">
        <f aca="false">BA18+BA19+BA21</f>
        <v>14756864</v>
      </c>
      <c r="BB22" s="28" t="n">
        <f aca="false">BB18+BB19+BB21</f>
        <v>14756864</v>
      </c>
      <c r="BC22" s="28" t="n">
        <f aca="false">BC18+BC19+BC21</f>
        <v>14756864</v>
      </c>
      <c r="BD22" s="28" t="n">
        <f aca="false">BD18+BD19+BD21</f>
        <v>14756864</v>
      </c>
      <c r="BE22" s="28" t="n">
        <f aca="false">BE18+BE19+BE21</f>
        <v>14756864</v>
      </c>
      <c r="BF22" s="28" t="n">
        <f aca="false">BF18+BF19+BF21</f>
        <v>14756864</v>
      </c>
      <c r="BG22" s="28" t="n">
        <f aca="false">BG18+BG19+BG21</f>
        <v>14756864</v>
      </c>
      <c r="BH22" s="28" t="n">
        <f aca="false">BH18+BH19+BH21</f>
        <v>14756864</v>
      </c>
      <c r="BI22" s="28" t="n">
        <f aca="false">BI18+BI19+BI21</f>
        <v>14756864</v>
      </c>
      <c r="BJ22" s="28" t="n">
        <f aca="false">BJ18+BJ19+BJ21</f>
        <v>14756864</v>
      </c>
      <c r="BK22" s="28" t="n">
        <f aca="false">BK18+BK19+BK21</f>
        <v>14756864</v>
      </c>
      <c r="BL22" s="28" t="n">
        <f aca="false">BL18+BL19+BL21</f>
        <v>14756864</v>
      </c>
    </row>
    <row r="23" customFormat="false" ht="15" hidden="false" customHeight="false" outlineLevel="0" collapsed="false">
      <c r="B23" s="2" t="s">
        <v>279</v>
      </c>
      <c r="C23" s="2" t="s">
        <v>133</v>
      </c>
      <c r="E23" s="34" t="n">
        <f aca="false">IF(E9&gt;=Hypotheses!$F$43,Hypotheses!$F$42,Hypotheses!$F$41)+IF(E3&gt;=Hypotheses!$F$16,Hypotheses!$F$46,0)</f>
        <v>2</v>
      </c>
      <c r="F23" s="34" t="n">
        <f aca="false">IF(F9&gt;=Hypotheses!$F$43,Hypotheses!$F$42,Hypotheses!$F$41)+IF(F3&gt;=Hypotheses!$F$16,Hypotheses!$F$46,0)</f>
        <v>2</v>
      </c>
      <c r="G23" s="34" t="n">
        <f aca="false">IF(G9&gt;=Hypotheses!$F$43,Hypotheses!$F$42,Hypotheses!$F$41)+IF(G3&gt;=Hypotheses!$F$16,Hypotheses!$F$46,0)</f>
        <v>2</v>
      </c>
      <c r="H23" s="34" t="n">
        <f aca="false">IF(H9&gt;=Hypotheses!$F$43,Hypotheses!$F$42,Hypotheses!$F$41)+IF(H3&gt;=Hypotheses!$F$16,Hypotheses!$F$46,0)</f>
        <v>2</v>
      </c>
      <c r="I23" s="34" t="n">
        <f aca="false">IF(I9&gt;=Hypotheses!$F$43,Hypotheses!$F$42,Hypotheses!$F$41)+IF(I3&gt;=Hypotheses!$F$16,Hypotheses!$F$46,0)</f>
        <v>2</v>
      </c>
      <c r="J23" s="34" t="n">
        <f aca="false">IF(J9&gt;=Hypotheses!$F$43,Hypotheses!$F$42,Hypotheses!$F$41)+IF(J3&gt;=Hypotheses!$F$16,Hypotheses!$F$46,0)</f>
        <v>2</v>
      </c>
      <c r="K23" s="34" t="n">
        <f aca="false">IF(K9&gt;=Hypotheses!$F$43,Hypotheses!$F$42,Hypotheses!$F$41)+IF(K3&gt;=Hypotheses!$F$16,Hypotheses!$F$46,0)</f>
        <v>4</v>
      </c>
      <c r="L23" s="34" t="n">
        <f aca="false">IF(L9&gt;=Hypotheses!$F$43,Hypotheses!$F$42,Hypotheses!$F$41)+IF(L3&gt;=Hypotheses!$F$16,Hypotheses!$F$46,0)</f>
        <v>4</v>
      </c>
      <c r="M23" s="34" t="n">
        <f aca="false">IF(M9&gt;=Hypotheses!$F$43,Hypotheses!$F$42,Hypotheses!$F$41)+IF(M3&gt;=Hypotheses!$F$16,Hypotheses!$F$46,0)</f>
        <v>4</v>
      </c>
      <c r="N23" s="34" t="n">
        <f aca="false">IF(N9&gt;=Hypotheses!$F$43,Hypotheses!$F$42,Hypotheses!$F$41)+IF(N3&gt;=Hypotheses!$F$16,Hypotheses!$F$46,0)</f>
        <v>4</v>
      </c>
      <c r="O23" s="34" t="n">
        <f aca="false">IF(O9&gt;=Hypotheses!$F$43,Hypotheses!$F$42,Hypotheses!$F$41)+IF(O3&gt;=Hypotheses!$F$16,Hypotheses!$F$46,0)</f>
        <v>4</v>
      </c>
      <c r="P23" s="34" t="n">
        <f aca="false">IF(P9&gt;=Hypotheses!$F$43,Hypotheses!$F$42,Hypotheses!$F$41)+IF(P3&gt;=Hypotheses!$F$16,Hypotheses!$F$46,0)</f>
        <v>4</v>
      </c>
      <c r="Q23" s="34" t="n">
        <f aca="false">IF(Q9&gt;=Hypotheses!$F$43,Hypotheses!$F$42,Hypotheses!$F$41)+IF(Q3&gt;=Hypotheses!$F$16,Hypotheses!$F$46,0)</f>
        <v>4</v>
      </c>
      <c r="R23" s="34" t="n">
        <f aca="false">IF(R9&gt;=Hypotheses!$F$43,Hypotheses!$F$42,Hypotheses!$F$41)+IF(R3&gt;=Hypotheses!$F$16,Hypotheses!$F$46,0)</f>
        <v>4</v>
      </c>
      <c r="S23" s="34" t="n">
        <f aca="false">IF(S9&gt;=Hypotheses!$F$43,Hypotheses!$F$42,Hypotheses!$F$41)+IF(S3&gt;=Hypotheses!$F$16,Hypotheses!$F$46,0)</f>
        <v>4</v>
      </c>
      <c r="T23" s="34" t="n">
        <f aca="false">IF(T9&gt;=Hypotheses!$F$43,Hypotheses!$F$42,Hypotheses!$F$41)+IF(T3&gt;=Hypotheses!$F$16,Hypotheses!$F$46,0)</f>
        <v>4</v>
      </c>
      <c r="U23" s="34" t="n">
        <f aca="false">IF(U9&gt;=Hypotheses!$F$43,Hypotheses!$F$42,Hypotheses!$F$41)+IF(U3&gt;=Hypotheses!$F$16,Hypotheses!$F$46,0)</f>
        <v>4</v>
      </c>
      <c r="V23" s="34" t="n">
        <f aca="false">IF(V9&gt;=Hypotheses!$F$43,Hypotheses!$F$42,Hypotheses!$F$41)+IF(V3&gt;=Hypotheses!$F$16,Hypotheses!$F$46,0)</f>
        <v>4</v>
      </c>
      <c r="W23" s="34" t="n">
        <f aca="false">IF(W9&gt;=Hypotheses!$F$43,Hypotheses!$F$42,Hypotheses!$F$41)+IF(W3&gt;=Hypotheses!$F$16,Hypotheses!$F$46,0)</f>
        <v>4</v>
      </c>
      <c r="X23" s="34" t="n">
        <f aca="false">IF(X9&gt;=Hypotheses!$F$43,Hypotheses!$F$42,Hypotheses!$F$41)+IF(X3&gt;=Hypotheses!$F$16,Hypotheses!$F$46,0)</f>
        <v>8</v>
      </c>
      <c r="Y23" s="34" t="n">
        <f aca="false">IF(Y9&gt;=Hypotheses!$F$43,Hypotheses!$F$42,Hypotheses!$F$41)+IF(Y3&gt;=Hypotheses!$F$16,Hypotheses!$F$46,0)</f>
        <v>8</v>
      </c>
      <c r="Z23" s="34" t="n">
        <f aca="false">IF(Z9&gt;=Hypotheses!$F$43,Hypotheses!$F$42,Hypotheses!$F$41)+IF(Z3&gt;=Hypotheses!$F$16,Hypotheses!$F$46,0)</f>
        <v>8</v>
      </c>
      <c r="AA23" s="34" t="n">
        <f aca="false">IF(AA9&gt;=Hypotheses!$F$43,Hypotheses!$F$42,Hypotheses!$F$41)+IF(AA3&gt;=Hypotheses!$F$16,Hypotheses!$F$46,0)</f>
        <v>8</v>
      </c>
      <c r="AB23" s="34" t="n">
        <f aca="false">IF(AB9&gt;=Hypotheses!$F$43,Hypotheses!$F$42,Hypotheses!$F$41)+IF(AB3&gt;=Hypotheses!$F$16,Hypotheses!$F$46,0)</f>
        <v>8</v>
      </c>
      <c r="AC23" s="34" t="n">
        <f aca="false">IF(AC9&gt;=Hypotheses!$F$43,Hypotheses!$F$42,Hypotheses!$F$41)+IF(AC3&gt;=Hypotheses!$F$16,Hypotheses!$F$46,0)</f>
        <v>8</v>
      </c>
      <c r="AD23" s="34" t="n">
        <f aca="false">IF(AD9&gt;=Hypotheses!$F$43,Hypotheses!$F$42,Hypotheses!$F$41)+IF(AD3&gt;=Hypotheses!$F$16,Hypotheses!$F$46,0)</f>
        <v>8</v>
      </c>
      <c r="AE23" s="34" t="n">
        <f aca="false">IF(AE9&gt;=Hypotheses!$F$43,Hypotheses!$F$42,Hypotheses!$F$41)+IF(AE3&gt;=Hypotheses!$F$16,Hypotheses!$F$46,0)</f>
        <v>8</v>
      </c>
      <c r="AF23" s="34" t="n">
        <f aca="false">IF(AF9&gt;=Hypotheses!$F$43,Hypotheses!$F$42,Hypotheses!$F$41)+IF(AF3&gt;=Hypotheses!$F$16,Hypotheses!$F$46,0)</f>
        <v>8</v>
      </c>
      <c r="AG23" s="34" t="n">
        <f aca="false">IF(AG9&gt;=Hypotheses!$F$43,Hypotheses!$F$42,Hypotheses!$F$41)+IF(AG3&gt;=Hypotheses!$F$16,Hypotheses!$F$46,0)</f>
        <v>8</v>
      </c>
      <c r="AH23" s="34" t="n">
        <f aca="false">IF(AH9&gt;=Hypotheses!$F$43,Hypotheses!$F$42,Hypotheses!$F$41)+IF(AH3&gt;=Hypotheses!$F$16,Hypotheses!$F$46,0)</f>
        <v>8</v>
      </c>
      <c r="AI23" s="34" t="n">
        <f aca="false">IF(AI9&gt;=Hypotheses!$F$43,Hypotheses!$F$42,Hypotheses!$F$41)+IF(AI3&gt;=Hypotheses!$F$16,Hypotheses!$F$46,0)</f>
        <v>8</v>
      </c>
      <c r="AJ23" s="34" t="n">
        <f aca="false">IF(AJ9&gt;=Hypotheses!$F$43,Hypotheses!$F$42,Hypotheses!$F$41)+IF(AJ3&gt;=Hypotheses!$F$16,Hypotheses!$F$46,0)</f>
        <v>8</v>
      </c>
      <c r="AK23" s="34" t="n">
        <f aca="false">IF(AK9&gt;=Hypotheses!$F$43,Hypotheses!$F$42,Hypotheses!$F$41)+IF(AK3&gt;=Hypotheses!$F$16,Hypotheses!$F$46,0)</f>
        <v>8</v>
      </c>
      <c r="AL23" s="34" t="n">
        <f aca="false">IF(AL9&gt;=Hypotheses!$F$43,Hypotheses!$F$42,Hypotheses!$F$41)+IF(AL3&gt;=Hypotheses!$F$16,Hypotheses!$F$46,0)</f>
        <v>8</v>
      </c>
      <c r="AM23" s="34" t="n">
        <f aca="false">IF(AM9&gt;=Hypotheses!$F$43,Hypotheses!$F$42,Hypotheses!$F$41)+IF(AM3&gt;=Hypotheses!$F$16,Hypotheses!$F$46,0)</f>
        <v>8</v>
      </c>
      <c r="AN23" s="34" t="n">
        <f aca="false">IF(AN9&gt;=Hypotheses!$F$43,Hypotheses!$F$42,Hypotheses!$F$41)+IF(AN3&gt;=Hypotheses!$F$16,Hypotheses!$F$46,0)</f>
        <v>8</v>
      </c>
      <c r="AO23" s="34" t="n">
        <f aca="false">IF(AO9&gt;=Hypotheses!$F$43,Hypotheses!$F$42,Hypotheses!$F$41)+IF(AO3&gt;=Hypotheses!$F$16,Hypotheses!$F$46,0)</f>
        <v>8</v>
      </c>
      <c r="AP23" s="34" t="n">
        <f aca="false">IF(AP9&gt;=Hypotheses!$F$43,Hypotheses!$F$42,Hypotheses!$F$41)+IF(AP3&gt;=Hypotheses!$F$16,Hypotheses!$F$46,0)</f>
        <v>8</v>
      </c>
      <c r="AQ23" s="34" t="n">
        <f aca="false">IF(AQ9&gt;=Hypotheses!$F$43,Hypotheses!$F$42,Hypotheses!$F$41)+IF(AQ3&gt;=Hypotheses!$F$16,Hypotheses!$F$46,0)</f>
        <v>8</v>
      </c>
      <c r="AR23" s="34" t="n">
        <f aca="false">IF(AR9&gt;=Hypotheses!$F$43,Hypotheses!$F$42,Hypotheses!$F$41)+IF(AR3&gt;=Hypotheses!$F$16,Hypotheses!$F$46,0)</f>
        <v>8</v>
      </c>
      <c r="AS23" s="34" t="n">
        <f aca="false">IF(AS9&gt;=Hypotheses!$F$43,Hypotheses!$F$42,Hypotheses!$F$41)+IF(AS3&gt;=Hypotheses!$F$16,Hypotheses!$F$46,0)</f>
        <v>8</v>
      </c>
      <c r="AT23" s="34" t="n">
        <f aca="false">IF(AT9&gt;=Hypotheses!$F$43,Hypotheses!$F$42,Hypotheses!$F$41)+IF(AT3&gt;=Hypotheses!$F$16,Hypotheses!$F$46,0)</f>
        <v>8</v>
      </c>
      <c r="AU23" s="34" t="n">
        <f aca="false">IF(AU9&gt;=Hypotheses!$F$43,Hypotheses!$F$42,Hypotheses!$F$41)+IF(AU3&gt;=Hypotheses!$F$16,Hypotheses!$F$46,0)</f>
        <v>8</v>
      </c>
      <c r="AV23" s="34" t="n">
        <f aca="false">IF(AV9&gt;=Hypotheses!$F$43,Hypotheses!$F$42,Hypotheses!$F$41)+IF(AV3&gt;=Hypotheses!$F$16,Hypotheses!$F$46,0)</f>
        <v>8</v>
      </c>
      <c r="AW23" s="34" t="n">
        <f aca="false">IF(AW9&gt;=Hypotheses!$F$43,Hypotheses!$F$42,Hypotheses!$F$41)+IF(AW3&gt;=Hypotheses!$F$16,Hypotheses!$F$46,0)</f>
        <v>8</v>
      </c>
      <c r="AX23" s="34" t="n">
        <f aca="false">IF(AX9&gt;=Hypotheses!$F$43,Hypotheses!$F$42,Hypotheses!$F$41)+IF(AX3&gt;=Hypotheses!$F$16,Hypotheses!$F$46,0)</f>
        <v>8</v>
      </c>
      <c r="AY23" s="34" t="n">
        <f aca="false">IF(AY9&gt;=Hypotheses!$F$43,Hypotheses!$F$42,Hypotheses!$F$41)+IF(AY3&gt;=Hypotheses!$F$16,Hypotheses!$F$46,0)</f>
        <v>8</v>
      </c>
      <c r="AZ23" s="34" t="n">
        <f aca="false">IF(AZ9&gt;=Hypotheses!$F$43,Hypotheses!$F$42,Hypotheses!$F$41)+IF(AZ3&gt;=Hypotheses!$F$16,Hypotheses!$F$46,0)</f>
        <v>8</v>
      </c>
      <c r="BA23" s="34" t="n">
        <f aca="false">IF(BA9&gt;=Hypotheses!$F$43,Hypotheses!$F$42,Hypotheses!$F$41)+IF(BA3&gt;=Hypotheses!$F$16,Hypotheses!$F$46,0)</f>
        <v>8</v>
      </c>
      <c r="BB23" s="34" t="n">
        <f aca="false">IF(BB9&gt;=Hypotheses!$F$43,Hypotheses!$F$42,Hypotheses!$F$41)+IF(BB3&gt;=Hypotheses!$F$16,Hypotheses!$F$46,0)</f>
        <v>8</v>
      </c>
      <c r="BC23" s="34" t="n">
        <f aca="false">IF(BC9&gt;=Hypotheses!$F$43,Hypotheses!$F$42,Hypotheses!$F$41)+IF(BC3&gt;=Hypotheses!$F$16,Hypotheses!$F$46,0)</f>
        <v>8</v>
      </c>
      <c r="BD23" s="34" t="n">
        <f aca="false">IF(BD9&gt;=Hypotheses!$F$43,Hypotheses!$F$42,Hypotheses!$F$41)+IF(BD3&gt;=Hypotheses!$F$16,Hypotheses!$F$46,0)</f>
        <v>8</v>
      </c>
      <c r="BE23" s="34" t="n">
        <f aca="false">IF(BE9&gt;=Hypotheses!$F$43,Hypotheses!$F$42,Hypotheses!$F$41)+IF(BE3&gt;=Hypotheses!$F$16,Hypotheses!$F$46,0)</f>
        <v>8</v>
      </c>
      <c r="BF23" s="34" t="n">
        <f aca="false">IF(BF9&gt;=Hypotheses!$F$43,Hypotheses!$F$42,Hypotheses!$F$41)+IF(BF3&gt;=Hypotheses!$F$16,Hypotheses!$F$46,0)</f>
        <v>8</v>
      </c>
      <c r="BG23" s="34" t="n">
        <f aca="false">IF(BG9&gt;=Hypotheses!$F$43,Hypotheses!$F$42,Hypotheses!$F$41)+IF(BG3&gt;=Hypotheses!$F$16,Hypotheses!$F$46,0)</f>
        <v>8</v>
      </c>
      <c r="BH23" s="34" t="n">
        <f aca="false">IF(BH9&gt;=Hypotheses!$F$43,Hypotheses!$F$42,Hypotheses!$F$41)+IF(BH3&gt;=Hypotheses!$F$16,Hypotheses!$F$46,0)</f>
        <v>8</v>
      </c>
      <c r="BI23" s="34" t="n">
        <f aca="false">IF(BI9&gt;=Hypotheses!$F$43,Hypotheses!$F$42,Hypotheses!$F$41)+IF(BI3&gt;=Hypotheses!$F$16,Hypotheses!$F$46,0)</f>
        <v>8</v>
      </c>
      <c r="BJ23" s="34" t="n">
        <f aca="false">IF(BJ9&gt;=Hypotheses!$F$43,Hypotheses!$F$42,Hypotheses!$F$41)+IF(BJ3&gt;=Hypotheses!$F$16,Hypotheses!$F$46,0)</f>
        <v>8</v>
      </c>
      <c r="BK23" s="34" t="n">
        <f aca="false">IF(BK9&gt;=Hypotheses!$F$43,Hypotheses!$F$42,Hypotheses!$F$41)+IF(BK3&gt;=Hypotheses!$F$16,Hypotheses!$F$46,0)</f>
        <v>8</v>
      </c>
      <c r="BL23" s="34" t="n">
        <f aca="false">IF(BL9&gt;=Hypotheses!$F$43,Hypotheses!$F$42,Hypotheses!$F$41)+IF(BL3&gt;=Hypotheses!$F$16,Hypotheses!$F$46,0)</f>
        <v>8</v>
      </c>
    </row>
    <row r="24" customFormat="false" ht="15" hidden="false" customHeight="false" outlineLevel="0" collapsed="false">
      <c r="B24" s="2" t="s">
        <v>280</v>
      </c>
      <c r="C24" s="2"/>
      <c r="D24" s="34" t="n">
        <f aca="false">0</f>
        <v>0</v>
      </c>
      <c r="E24" s="34" t="n">
        <f aca="false">IF(OR(E9&gt;=Hypotheses!$F$44,D24=1),1,0)</f>
        <v>0</v>
      </c>
      <c r="F24" s="34" t="n">
        <f aca="false">IF(OR(F9&gt;=Hypotheses!$F$44,E24=1),1,0)</f>
        <v>0</v>
      </c>
      <c r="G24" s="34" t="n">
        <f aca="false">IF(OR(G9&gt;=Hypotheses!$F$44,F24=1),1,0)</f>
        <v>0</v>
      </c>
      <c r="H24" s="34" t="n">
        <f aca="false">IF(OR(H9&gt;=Hypotheses!$F$44,G24=1),1,0)</f>
        <v>0</v>
      </c>
      <c r="I24" s="34" t="n">
        <f aca="false">IF(OR(I9&gt;=Hypotheses!$F$44,H24=1),1,0)</f>
        <v>0</v>
      </c>
      <c r="J24" s="34" t="n">
        <f aca="false">IF(OR(J9&gt;=Hypotheses!$F$44,I24=1),1,0)</f>
        <v>0</v>
      </c>
      <c r="K24" s="34" t="n">
        <f aca="false">IF(OR(K9&gt;=Hypotheses!$F$44,J24=1),1,0)</f>
        <v>0</v>
      </c>
      <c r="L24" s="34" t="n">
        <f aca="false">IF(OR(L9&gt;=Hypotheses!$F$44,K24=1),1,0)</f>
        <v>0</v>
      </c>
      <c r="M24" s="34" t="n">
        <f aca="false">IF(OR(M9&gt;=Hypotheses!$F$44,L24=1),1,0)</f>
        <v>0</v>
      </c>
      <c r="N24" s="34" t="n">
        <f aca="false">IF(OR(N9&gt;=Hypotheses!$F$44,M24=1),1,0)</f>
        <v>0</v>
      </c>
      <c r="O24" s="34" t="n">
        <f aca="false">IF(OR(O9&gt;=Hypotheses!$F$44,N24=1),1,0)</f>
        <v>0</v>
      </c>
      <c r="P24" s="34" t="n">
        <f aca="false">IF(OR(P9&gt;=Hypotheses!$F$44,O24=1),1,0)</f>
        <v>0</v>
      </c>
      <c r="Q24" s="34" t="n">
        <f aca="false">IF(OR(Q9&gt;=Hypotheses!$F$44,P24=1),1,0)</f>
        <v>0</v>
      </c>
      <c r="R24" s="34" t="n">
        <f aca="false">IF(OR(R9&gt;=Hypotheses!$F$44,Q24=1),1,0)</f>
        <v>0</v>
      </c>
      <c r="S24" s="34" t="n">
        <f aca="false">IF(OR(S9&gt;=Hypotheses!$F$44,R24=1),1,0)</f>
        <v>0</v>
      </c>
      <c r="T24" s="34" t="n">
        <f aca="false">IF(OR(T9&gt;=Hypotheses!$F$44,S24=1),1,0)</f>
        <v>0</v>
      </c>
      <c r="U24" s="34" t="n">
        <f aca="false">IF(OR(U9&gt;=Hypotheses!$F$44,T24=1),1,0)</f>
        <v>0</v>
      </c>
      <c r="V24" s="34" t="n">
        <f aca="false">IF(OR(V9&gt;=Hypotheses!$F$44,U24=1),1,0)</f>
        <v>0</v>
      </c>
      <c r="W24" s="34" t="n">
        <f aca="false">IF(OR(W9&gt;=Hypotheses!$F$44,V24=1),1,0)</f>
        <v>0</v>
      </c>
      <c r="X24" s="34" t="n">
        <f aca="false">IF(OR(X9&gt;=Hypotheses!$F$44,W24=1),1,0)</f>
        <v>1</v>
      </c>
      <c r="Y24" s="34" t="n">
        <f aca="false">IF(OR(Y9&gt;=Hypotheses!$F$44,X24=1),1,0)</f>
        <v>1</v>
      </c>
      <c r="Z24" s="34" t="n">
        <f aca="false">IF(OR(Z9&gt;=Hypotheses!$F$44,Y24=1),1,0)</f>
        <v>1</v>
      </c>
      <c r="AA24" s="34" t="n">
        <f aca="false">IF(OR(AA9&gt;=Hypotheses!$F$44,Z24=1),1,0)</f>
        <v>1</v>
      </c>
      <c r="AB24" s="34" t="n">
        <f aca="false">IF(OR(AB9&gt;=Hypotheses!$F$44,AA24=1),1,0)</f>
        <v>1</v>
      </c>
      <c r="AC24" s="34" t="n">
        <f aca="false">IF(OR(AC9&gt;=Hypotheses!$F$44,AB24=1),1,0)</f>
        <v>1</v>
      </c>
      <c r="AD24" s="34" t="n">
        <f aca="false">IF(OR(AD9&gt;=Hypotheses!$F$44,AC24=1),1,0)</f>
        <v>1</v>
      </c>
      <c r="AE24" s="34" t="n">
        <f aca="false">IF(OR(AE9&gt;=Hypotheses!$F$44,AD24=1),1,0)</f>
        <v>1</v>
      </c>
      <c r="AF24" s="34" t="n">
        <f aca="false">IF(OR(AF9&gt;=Hypotheses!$F$44,AE24=1),1,0)</f>
        <v>1</v>
      </c>
      <c r="AG24" s="34" t="n">
        <f aca="false">IF(OR(AG9&gt;=Hypotheses!$F$44,AF24=1),1,0)</f>
        <v>1</v>
      </c>
      <c r="AH24" s="34" t="n">
        <f aca="false">IF(OR(AH9&gt;=Hypotheses!$F$44,AG24=1),1,0)</f>
        <v>1</v>
      </c>
      <c r="AI24" s="34" t="n">
        <f aca="false">IF(OR(AI9&gt;=Hypotheses!$F$44,AH24=1),1,0)</f>
        <v>1</v>
      </c>
      <c r="AJ24" s="34" t="n">
        <f aca="false">IF(OR(AJ9&gt;=Hypotheses!$F$44,AI24=1),1,0)</f>
        <v>1</v>
      </c>
      <c r="AK24" s="34" t="n">
        <f aca="false">IF(OR(AK9&gt;=Hypotheses!$F$44,AJ24=1),1,0)</f>
        <v>1</v>
      </c>
      <c r="AL24" s="34" t="n">
        <f aca="false">IF(OR(AL9&gt;=Hypotheses!$F$44,AK24=1),1,0)</f>
        <v>1</v>
      </c>
      <c r="AM24" s="34" t="n">
        <f aca="false">IF(OR(AM9&gt;=Hypotheses!$F$44,AL24=1),1,0)</f>
        <v>1</v>
      </c>
      <c r="AN24" s="34" t="n">
        <f aca="false">IF(OR(AN9&gt;=Hypotheses!$F$44,AM24=1),1,0)</f>
        <v>1</v>
      </c>
      <c r="AO24" s="34" t="n">
        <f aca="false">IF(OR(AO9&gt;=Hypotheses!$F$44,AN24=1),1,0)</f>
        <v>1</v>
      </c>
      <c r="AP24" s="34" t="n">
        <f aca="false">IF(OR(AP9&gt;=Hypotheses!$F$44,AO24=1),1,0)</f>
        <v>1</v>
      </c>
      <c r="AQ24" s="34" t="n">
        <f aca="false">IF(OR(AQ9&gt;=Hypotheses!$F$44,AP24=1),1,0)</f>
        <v>1</v>
      </c>
      <c r="AR24" s="34" t="n">
        <f aca="false">IF(OR(AR9&gt;=Hypotheses!$F$44,AQ24=1),1,0)</f>
        <v>1</v>
      </c>
      <c r="AS24" s="34" t="n">
        <f aca="false">IF(OR(AS9&gt;=Hypotheses!$F$44,AR24=1),1,0)</f>
        <v>1</v>
      </c>
      <c r="AT24" s="34" t="n">
        <f aca="false">IF(OR(AT9&gt;=Hypotheses!$F$44,AS24=1),1,0)</f>
        <v>1</v>
      </c>
      <c r="AU24" s="34" t="n">
        <f aca="false">IF(OR(AU9&gt;=Hypotheses!$F$44,AT24=1),1,0)</f>
        <v>1</v>
      </c>
      <c r="AV24" s="34" t="n">
        <f aca="false">IF(OR(AV9&gt;=Hypotheses!$F$44,AU24=1),1,0)</f>
        <v>1</v>
      </c>
      <c r="AW24" s="34" t="n">
        <f aca="false">IF(OR(AW9&gt;=Hypotheses!$F$44,AV24=1),1,0)</f>
        <v>1</v>
      </c>
      <c r="AX24" s="34" t="n">
        <f aca="false">IF(OR(AX9&gt;=Hypotheses!$F$44,AW24=1),1,0)</f>
        <v>1</v>
      </c>
      <c r="AY24" s="34" t="n">
        <f aca="false">IF(OR(AY9&gt;=Hypotheses!$F$44,AX24=1),1,0)</f>
        <v>1</v>
      </c>
      <c r="AZ24" s="34" t="n">
        <f aca="false">IF(OR(AZ9&gt;=Hypotheses!$F$44,AY24=1),1,0)</f>
        <v>1</v>
      </c>
      <c r="BA24" s="34" t="n">
        <f aca="false">IF(OR(BA9&gt;=Hypotheses!$F$44,AZ24=1),1,0)</f>
        <v>1</v>
      </c>
      <c r="BB24" s="34" t="n">
        <f aca="false">IF(OR(BB9&gt;=Hypotheses!$F$44,BA24=1),1,0)</f>
        <v>1</v>
      </c>
      <c r="BC24" s="34" t="n">
        <f aca="false">IF(OR(BC9&gt;=Hypotheses!$F$44,BB24=1),1,0)</f>
        <v>1</v>
      </c>
      <c r="BD24" s="34" t="n">
        <f aca="false">IF(OR(BD9&gt;=Hypotheses!$F$44,BC24=1),1,0)</f>
        <v>1</v>
      </c>
      <c r="BE24" s="34" t="n">
        <f aca="false">IF(OR(BE9&gt;=Hypotheses!$F$44,BD24=1),1,0)</f>
        <v>1</v>
      </c>
      <c r="BF24" s="34" t="n">
        <f aca="false">IF(OR(BF9&gt;=Hypotheses!$F$44,BE24=1),1,0)</f>
        <v>1</v>
      </c>
      <c r="BG24" s="34" t="n">
        <f aca="false">IF(OR(BG9&gt;=Hypotheses!$F$44,BF24=1),1,0)</f>
        <v>1</v>
      </c>
      <c r="BH24" s="34" t="n">
        <f aca="false">IF(OR(BH9&gt;=Hypotheses!$F$44,BG24=1),1,0)</f>
        <v>1</v>
      </c>
      <c r="BI24" s="34" t="n">
        <f aca="false">IF(OR(BI9&gt;=Hypotheses!$F$44,BH24=1),1,0)</f>
        <v>1</v>
      </c>
      <c r="BJ24" s="34" t="n">
        <f aca="false">IF(OR(BJ9&gt;=Hypotheses!$F$44,BI24=1),1,0)</f>
        <v>1</v>
      </c>
      <c r="BK24" s="34" t="n">
        <f aca="false">IF(OR(BK9&gt;=Hypotheses!$F$44,BJ24=1),1,0)</f>
        <v>1</v>
      </c>
      <c r="BL24" s="34" t="n">
        <f aca="false">IF(OR(BL9&gt;=Hypotheses!$F$44,BK24=1),1,0)</f>
        <v>1</v>
      </c>
    </row>
    <row r="25" customFormat="false" ht="15" hidden="false" customHeight="false" outlineLevel="0" collapsed="false">
      <c r="B25" s="2" t="s">
        <v>281</v>
      </c>
      <c r="C25" s="2" t="s">
        <v>141</v>
      </c>
      <c r="E25" s="27" t="n">
        <f aca="false">-(Hypotheses!$F$37+Hypotheses!$F$39*(1+E24)+E23*Hypotheses!$F$38)*(1+Hypotheses!$F$40)*Hypotheses!$F$47/12</f>
        <v>-641300</v>
      </c>
      <c r="F25" s="27" t="n">
        <f aca="false">-(Hypotheses!$F$37+Hypotheses!$F$39*(1+F24)+F23*Hypotheses!$F$38)*(1+Hypotheses!$F$40)*Hypotheses!$F$47/12</f>
        <v>-641300</v>
      </c>
      <c r="G25" s="27" t="n">
        <f aca="false">-(Hypotheses!$F$37+Hypotheses!$F$39*(1+G24)+G23*Hypotheses!$F$38)*(1+Hypotheses!$F$40)*Hypotheses!$F$47/12</f>
        <v>-641300</v>
      </c>
      <c r="H25" s="27" t="n">
        <f aca="false">-(Hypotheses!$F$37+Hypotheses!$F$39*(1+H24)+H23*Hypotheses!$F$38)*(1+Hypotheses!$F$40)*Hypotheses!$F$47/12</f>
        <v>-641300</v>
      </c>
      <c r="I25" s="27" t="n">
        <f aca="false">-(Hypotheses!$F$37+Hypotheses!$F$39*(1+I24)+I23*Hypotheses!$F$38)*(1+Hypotheses!$F$40)*Hypotheses!$F$47/12</f>
        <v>-641300</v>
      </c>
      <c r="J25" s="27" t="n">
        <f aca="false">-(Hypotheses!$F$37+Hypotheses!$F$39*(1+J24)+J23*Hypotheses!$F$38)*(1+Hypotheses!$F$40)*Hypotheses!$F$47/12</f>
        <v>-641300</v>
      </c>
      <c r="K25" s="27" t="n">
        <f aca="false">-(Hypotheses!$F$37+Hypotheses!$F$39*(1+K24)+K23*Hypotheses!$F$38)*(1+Hypotheses!$F$40)*Hypotheses!$F$47/12</f>
        <v>-883300</v>
      </c>
      <c r="L25" s="27" t="n">
        <f aca="false">-(Hypotheses!$F$37+Hypotheses!$F$39*(1+L24)+L23*Hypotheses!$F$38)*(1+Hypotheses!$F$40)*Hypotheses!$F$47/12</f>
        <v>-883300</v>
      </c>
      <c r="M25" s="27" t="n">
        <f aca="false">-(Hypotheses!$F$37+Hypotheses!$F$39*(1+M24)+M23*Hypotheses!$F$38)*(1+Hypotheses!$F$40)*Hypotheses!$F$47/12</f>
        <v>-883300</v>
      </c>
      <c r="N25" s="27" t="n">
        <f aca="false">-(Hypotheses!$F$37+Hypotheses!$F$39*(1+N24)+N23*Hypotheses!$F$38)*(1+Hypotheses!$F$40)*Hypotheses!$F$47/12</f>
        <v>-883300</v>
      </c>
      <c r="O25" s="27" t="n">
        <f aca="false">-(Hypotheses!$F$37+Hypotheses!$F$39*(1+O24)+O23*Hypotheses!$F$38)*(1+Hypotheses!$F$40)*Hypotheses!$F$47/12</f>
        <v>-883300</v>
      </c>
      <c r="P25" s="27" t="n">
        <f aca="false">-(Hypotheses!$F$37+Hypotheses!$F$39*(1+P24)+P23*Hypotheses!$F$38)*(1+Hypotheses!$F$40)*Hypotheses!$F$47/12</f>
        <v>-883300</v>
      </c>
      <c r="Q25" s="27" t="n">
        <f aca="false">-(Hypotheses!$F$37+Hypotheses!$F$39*(1+Q24)+Q23*Hypotheses!$F$38)*(1+Hypotheses!$F$40)*Hypotheses!$F$47/12</f>
        <v>-883300</v>
      </c>
      <c r="R25" s="27" t="n">
        <f aca="false">-(Hypotheses!$F$37+Hypotheses!$F$39*(1+R24)+R23*Hypotheses!$F$38)*(1+Hypotheses!$F$40)*Hypotheses!$F$47/12</f>
        <v>-883300</v>
      </c>
      <c r="S25" s="27" t="n">
        <f aca="false">-(Hypotheses!$F$37+Hypotheses!$F$39*(1+S24)+S23*Hypotheses!$F$38)*(1+Hypotheses!$F$40)*Hypotheses!$F$47/12</f>
        <v>-883300</v>
      </c>
      <c r="T25" s="27" t="n">
        <f aca="false">-(Hypotheses!$F$37+Hypotheses!$F$39*(1+T24)+T23*Hypotheses!$F$38)*(1+Hypotheses!$F$40)*Hypotheses!$F$47/12</f>
        <v>-883300</v>
      </c>
      <c r="U25" s="27" t="n">
        <f aca="false">-(Hypotheses!$F$37+Hypotheses!$F$39*(1+U24)+U23*Hypotheses!$F$38)*(1+Hypotheses!$F$40)*Hypotheses!$F$47/12</f>
        <v>-883300</v>
      </c>
      <c r="V25" s="27" t="n">
        <f aca="false">-(Hypotheses!$F$37+Hypotheses!$F$39*(1+V24)+V23*Hypotheses!$F$38)*(1+Hypotheses!$F$40)*Hypotheses!$F$47/12</f>
        <v>-883300</v>
      </c>
      <c r="W25" s="27" t="n">
        <f aca="false">-(Hypotheses!$F$37+Hypotheses!$F$39*(1+W24)+W23*Hypotheses!$F$38)*(1+Hypotheses!$F$40)*Hypotheses!$F$47/12</f>
        <v>-883300</v>
      </c>
      <c r="X25" s="27" t="n">
        <f aca="false">-(Hypotheses!$F$37+Hypotheses!$F$39*(1+X24)+X23*Hypotheses!$F$38)*(1+Hypotheses!$F$40)*Hypotheses!$F$47/12</f>
        <v>-1524600</v>
      </c>
      <c r="Y25" s="27" t="n">
        <f aca="false">-(Hypotheses!$F$37+Hypotheses!$F$39*(1+Y24)+Y23*Hypotheses!$F$38)*(1+Hypotheses!$F$40)*Hypotheses!$F$47/12</f>
        <v>-1524600</v>
      </c>
      <c r="Z25" s="27" t="n">
        <f aca="false">-(Hypotheses!$F$37+Hypotheses!$F$39*(1+Z24)+Z23*Hypotheses!$F$38)*(1+Hypotheses!$F$40)*Hypotheses!$F$47/12</f>
        <v>-1524600</v>
      </c>
      <c r="AA25" s="27" t="n">
        <f aca="false">-(Hypotheses!$F$37+Hypotheses!$F$39*(1+AA24)+AA23*Hypotheses!$F$38)*(1+Hypotheses!$F$40)*Hypotheses!$F$47/12</f>
        <v>-1524600</v>
      </c>
      <c r="AB25" s="27" t="n">
        <f aca="false">-(Hypotheses!$F$37+Hypotheses!$F$39*(1+AB24)+AB23*Hypotheses!$F$38)*(1+Hypotheses!$F$40)*Hypotheses!$F$47/12</f>
        <v>-1524600</v>
      </c>
      <c r="AC25" s="27" t="n">
        <f aca="false">-(Hypotheses!$F$37+Hypotheses!$F$39*(1+AC24)+AC23*Hypotheses!$F$38)*(1+Hypotheses!$F$40)*Hypotheses!$F$47/12</f>
        <v>-1524600</v>
      </c>
      <c r="AD25" s="27" t="n">
        <f aca="false">-(Hypotheses!$F$37+Hypotheses!$F$39*(1+AD24)+AD23*Hypotheses!$F$38)*(1+Hypotheses!$F$40)*Hypotheses!$F$47/12</f>
        <v>-1524600</v>
      </c>
      <c r="AE25" s="27" t="n">
        <f aca="false">-(Hypotheses!$F$37+Hypotheses!$F$39*(1+AE24)+AE23*Hypotheses!$F$38)*(1+Hypotheses!$F$40)*Hypotheses!$F$47/12</f>
        <v>-1524600</v>
      </c>
      <c r="AF25" s="27" t="n">
        <f aca="false">-(Hypotheses!$F$37+Hypotheses!$F$39*(1+AF24)+AF23*Hypotheses!$F$38)*(1+Hypotheses!$F$40)*Hypotheses!$F$47/12</f>
        <v>-1524600</v>
      </c>
      <c r="AG25" s="27" t="n">
        <f aca="false">-(Hypotheses!$F$37+Hypotheses!$F$39*(1+AG24)+AG23*Hypotheses!$F$38)*(1+Hypotheses!$F$40)*Hypotheses!$F$47/12</f>
        <v>-1524600</v>
      </c>
      <c r="AH25" s="27" t="n">
        <f aca="false">-(Hypotheses!$F$37+Hypotheses!$F$39*(1+AH24)+AH23*Hypotheses!$F$38)*(1+Hypotheses!$F$40)*Hypotheses!$F$47/12</f>
        <v>-1524600</v>
      </c>
      <c r="AI25" s="27" t="n">
        <f aca="false">-(Hypotheses!$F$37+Hypotheses!$F$39*(1+AI24)+AI23*Hypotheses!$F$38)*(1+Hypotheses!$F$40)*Hypotheses!$F$47/12</f>
        <v>-1524600</v>
      </c>
      <c r="AJ25" s="27" t="n">
        <f aca="false">-(Hypotheses!$F$37+Hypotheses!$F$39*(1+AJ24)+AJ23*Hypotheses!$F$38)*(1+Hypotheses!$F$40)*Hypotheses!$F$47/12</f>
        <v>-1524600</v>
      </c>
      <c r="AK25" s="27" t="n">
        <f aca="false">-(Hypotheses!$F$37+Hypotheses!$F$39*(1+AK24)+AK23*Hypotheses!$F$38)*(1+Hypotheses!$F$40)*Hypotheses!$F$47/12</f>
        <v>-1524600</v>
      </c>
      <c r="AL25" s="27" t="n">
        <f aca="false">-(Hypotheses!$F$37+Hypotheses!$F$39*(1+AL24)+AL23*Hypotheses!$F$38)*(1+Hypotheses!$F$40)*Hypotheses!$F$47/12</f>
        <v>-1524600</v>
      </c>
      <c r="AM25" s="27" t="n">
        <f aca="false">-(Hypotheses!$F$37+Hypotheses!$F$39*(1+AM24)+AM23*Hypotheses!$F$38)*(1+Hypotheses!$F$40)*Hypotheses!$F$47/12</f>
        <v>-1524600</v>
      </c>
      <c r="AN25" s="27" t="n">
        <f aca="false">-(Hypotheses!$F$37+Hypotheses!$F$39*(1+AN24)+AN23*Hypotheses!$F$38)*(1+Hypotheses!$F$40)*Hypotheses!$F$47/12</f>
        <v>-1524600</v>
      </c>
      <c r="AO25" s="27" t="n">
        <f aca="false">-(Hypotheses!$F$37+Hypotheses!$F$39*(1+AO24)+AO23*Hypotheses!$F$38)*(1+Hypotheses!$F$40)*Hypotheses!$F$47/12</f>
        <v>-1524600</v>
      </c>
      <c r="AP25" s="27" t="n">
        <f aca="false">-(Hypotheses!$F$37+Hypotheses!$F$39*(1+AP24)+AP23*Hypotheses!$F$38)*(1+Hypotheses!$F$40)*Hypotheses!$F$47/12</f>
        <v>-1524600</v>
      </c>
      <c r="AQ25" s="27" t="n">
        <f aca="false">-(Hypotheses!$F$37+Hypotheses!$F$39*(1+AQ24)+AQ23*Hypotheses!$F$38)*(1+Hypotheses!$F$40)*Hypotheses!$F$47/12</f>
        <v>-1524600</v>
      </c>
      <c r="AR25" s="27" t="n">
        <f aca="false">-(Hypotheses!$F$37+Hypotheses!$F$39*(1+AR24)+AR23*Hypotheses!$F$38)*(1+Hypotheses!$F$40)*Hypotheses!$F$47/12</f>
        <v>-1524600</v>
      </c>
      <c r="AS25" s="27" t="n">
        <f aca="false">-(Hypotheses!$F$37+Hypotheses!$F$39*(1+AS24)+AS23*Hypotheses!$F$38)*(1+Hypotheses!$F$40)*Hypotheses!$F$47/12</f>
        <v>-1524600</v>
      </c>
      <c r="AT25" s="27" t="n">
        <f aca="false">-(Hypotheses!$F$37+Hypotheses!$F$39*(1+AT24)+AT23*Hypotheses!$F$38)*(1+Hypotheses!$F$40)*Hypotheses!$F$47/12</f>
        <v>-1524600</v>
      </c>
      <c r="AU25" s="27" t="n">
        <f aca="false">-(Hypotheses!$F$37+Hypotheses!$F$39*(1+AU24)+AU23*Hypotheses!$F$38)*(1+Hypotheses!$F$40)*Hypotheses!$F$47/12</f>
        <v>-1524600</v>
      </c>
      <c r="AV25" s="27" t="n">
        <f aca="false">-(Hypotheses!$F$37+Hypotheses!$F$39*(1+AV24)+AV23*Hypotheses!$F$38)*(1+Hypotheses!$F$40)*Hypotheses!$F$47/12</f>
        <v>-1524600</v>
      </c>
      <c r="AW25" s="27" t="n">
        <f aca="false">-(Hypotheses!$F$37+Hypotheses!$F$39*(1+AW24)+AW23*Hypotheses!$F$38)*(1+Hypotheses!$F$40)*Hypotheses!$F$47/12</f>
        <v>-1524600</v>
      </c>
      <c r="AX25" s="27" t="n">
        <f aca="false">-(Hypotheses!$F$37+Hypotheses!$F$39*(1+AX24)+AX23*Hypotheses!$F$38)*(1+Hypotheses!$F$40)*Hypotheses!$F$47/12</f>
        <v>-1524600</v>
      </c>
      <c r="AY25" s="27" t="n">
        <f aca="false">-(Hypotheses!$F$37+Hypotheses!$F$39*(1+AY24)+AY23*Hypotheses!$F$38)*(1+Hypotheses!$F$40)*Hypotheses!$F$47/12</f>
        <v>-1524600</v>
      </c>
      <c r="AZ25" s="27" t="n">
        <f aca="false">-(Hypotheses!$F$37+Hypotheses!$F$39*(1+AZ24)+AZ23*Hypotheses!$F$38)*(1+Hypotheses!$F$40)*Hypotheses!$F$47/12</f>
        <v>-1524600</v>
      </c>
      <c r="BA25" s="27" t="n">
        <f aca="false">-(Hypotheses!$F$37+Hypotheses!$F$39*(1+BA24)+BA23*Hypotheses!$F$38)*(1+Hypotheses!$F$40)*Hypotheses!$F$47/12</f>
        <v>-1524600</v>
      </c>
      <c r="BB25" s="27" t="n">
        <f aca="false">-(Hypotheses!$F$37+Hypotheses!$F$39*(1+BB24)+BB23*Hypotheses!$F$38)*(1+Hypotheses!$F$40)*Hypotheses!$F$47/12</f>
        <v>-1524600</v>
      </c>
      <c r="BC25" s="27" t="n">
        <f aca="false">-(Hypotheses!$F$37+Hypotheses!$F$39*(1+BC24)+BC23*Hypotheses!$F$38)*(1+Hypotheses!$F$40)*Hypotheses!$F$47/12</f>
        <v>-1524600</v>
      </c>
      <c r="BD25" s="27" t="n">
        <f aca="false">-(Hypotheses!$F$37+Hypotheses!$F$39*(1+BD24)+BD23*Hypotheses!$F$38)*(1+Hypotheses!$F$40)*Hypotheses!$F$47/12</f>
        <v>-1524600</v>
      </c>
      <c r="BE25" s="27" t="n">
        <f aca="false">-(Hypotheses!$F$37+Hypotheses!$F$39*(1+BE24)+BE23*Hypotheses!$F$38)*(1+Hypotheses!$F$40)*Hypotheses!$F$47/12</f>
        <v>-1524600</v>
      </c>
      <c r="BF25" s="27" t="n">
        <f aca="false">-(Hypotheses!$F$37+Hypotheses!$F$39*(1+BF24)+BF23*Hypotheses!$F$38)*(1+Hypotheses!$F$40)*Hypotheses!$F$47/12</f>
        <v>-1524600</v>
      </c>
      <c r="BG25" s="27" t="n">
        <f aca="false">-(Hypotheses!$F$37+Hypotheses!$F$39*(1+BG24)+BG23*Hypotheses!$F$38)*(1+Hypotheses!$F$40)*Hypotheses!$F$47/12</f>
        <v>-1524600</v>
      </c>
      <c r="BH25" s="27" t="n">
        <f aca="false">-(Hypotheses!$F$37+Hypotheses!$F$39*(1+BH24)+BH23*Hypotheses!$F$38)*(1+Hypotheses!$F$40)*Hypotheses!$F$47/12</f>
        <v>-1524600</v>
      </c>
      <c r="BI25" s="27" t="n">
        <f aca="false">-(Hypotheses!$F$37+Hypotheses!$F$39*(1+BI24)+BI23*Hypotheses!$F$38)*(1+Hypotheses!$F$40)*Hypotheses!$F$47/12</f>
        <v>-1524600</v>
      </c>
      <c r="BJ25" s="27" t="n">
        <f aca="false">-(Hypotheses!$F$37+Hypotheses!$F$39*(1+BJ24)+BJ23*Hypotheses!$F$38)*(1+Hypotheses!$F$40)*Hypotheses!$F$47/12</f>
        <v>-1524600</v>
      </c>
      <c r="BK25" s="27" t="n">
        <f aca="false">-(Hypotheses!$F$37+Hypotheses!$F$39*(1+BK24)+BK23*Hypotheses!$F$38)*(1+Hypotheses!$F$40)*Hypotheses!$F$47/12</f>
        <v>-1524600</v>
      </c>
      <c r="BL25" s="27" t="n">
        <f aca="false">-(Hypotheses!$F$37+Hypotheses!$F$39*(1+BL24)+BL23*Hypotheses!$F$38)*(1+Hypotheses!$F$40)*Hypotheses!$F$47/12</f>
        <v>-1524600</v>
      </c>
    </row>
    <row r="26" customFormat="false" ht="15" hidden="false" customHeight="false" outlineLevel="0" collapsed="false">
      <c r="B26" s="2" t="s">
        <v>150</v>
      </c>
      <c r="C26" s="2" t="s">
        <v>141</v>
      </c>
      <c r="E26" s="27" t="n">
        <f aca="false">-Hypotheses!$F$49*Hypotheses!$F$50</f>
        <v>-262500</v>
      </c>
      <c r="F26" s="27" t="n">
        <f aca="false">-Hypotheses!$F$49*Hypotheses!$F$50</f>
        <v>-262500</v>
      </c>
      <c r="G26" s="27" t="n">
        <f aca="false">-Hypotheses!$F$49*Hypotheses!$F$50</f>
        <v>-262500</v>
      </c>
      <c r="H26" s="27" t="n">
        <f aca="false">-Hypotheses!$F$49*Hypotheses!$F$50</f>
        <v>-262500</v>
      </c>
      <c r="I26" s="27" t="n">
        <f aca="false">-Hypotheses!$F$49*Hypotheses!$F$50</f>
        <v>-262500</v>
      </c>
      <c r="J26" s="27" t="n">
        <f aca="false">-Hypotheses!$F$49*Hypotheses!$F$50</f>
        <v>-262500</v>
      </c>
      <c r="K26" s="27" t="n">
        <f aca="false">-Hypotheses!$F$49*Hypotheses!$F$50</f>
        <v>-262500</v>
      </c>
      <c r="L26" s="27" t="n">
        <f aca="false">-Hypotheses!$F$49*Hypotheses!$F$50</f>
        <v>-262500</v>
      </c>
      <c r="M26" s="27" t="n">
        <f aca="false">-Hypotheses!$F$49*Hypotheses!$F$50</f>
        <v>-262500</v>
      </c>
      <c r="N26" s="27" t="n">
        <f aca="false">-Hypotheses!$F$49*Hypotheses!$F$50</f>
        <v>-262500</v>
      </c>
      <c r="O26" s="27" t="n">
        <f aca="false">-Hypotheses!$F$49*Hypotheses!$F$50</f>
        <v>-262500</v>
      </c>
      <c r="P26" s="27" t="n">
        <f aca="false">-Hypotheses!$F$49*Hypotheses!$F$50</f>
        <v>-262500</v>
      </c>
      <c r="Q26" s="27" t="n">
        <f aca="false">-Hypotheses!$F$49*Hypotheses!$F$50</f>
        <v>-262500</v>
      </c>
      <c r="R26" s="27" t="n">
        <f aca="false">-Hypotheses!$F$49*Hypotheses!$F$50</f>
        <v>-262500</v>
      </c>
      <c r="S26" s="27" t="n">
        <f aca="false">-Hypotheses!$F$49*Hypotheses!$F$50</f>
        <v>-262500</v>
      </c>
      <c r="T26" s="27" t="n">
        <f aca="false">-Hypotheses!$F$49*Hypotheses!$F$50</f>
        <v>-262500</v>
      </c>
      <c r="U26" s="27" t="n">
        <f aca="false">-Hypotheses!$F$49*Hypotheses!$F$50</f>
        <v>-262500</v>
      </c>
      <c r="V26" s="27" t="n">
        <f aca="false">-Hypotheses!$F$49*Hypotheses!$F$50</f>
        <v>-262500</v>
      </c>
      <c r="W26" s="27" t="n">
        <f aca="false">-Hypotheses!$F$49*Hypotheses!$F$50</f>
        <v>-262500</v>
      </c>
      <c r="X26" s="27" t="n">
        <f aca="false">-Hypotheses!$F$49*Hypotheses!$F$50</f>
        <v>-262500</v>
      </c>
      <c r="Y26" s="27" t="n">
        <f aca="false">-Hypotheses!$F$49*Hypotheses!$F$50</f>
        <v>-262500</v>
      </c>
      <c r="Z26" s="27" t="n">
        <f aca="false">-Hypotheses!$F$49*Hypotheses!$F$50</f>
        <v>-262500</v>
      </c>
      <c r="AA26" s="27" t="n">
        <f aca="false">-Hypotheses!$F$49*Hypotheses!$F$50</f>
        <v>-262500</v>
      </c>
      <c r="AB26" s="27" t="n">
        <f aca="false">-Hypotheses!$F$49*Hypotheses!$F$50</f>
        <v>-262500</v>
      </c>
      <c r="AC26" s="27" t="n">
        <f aca="false">-Hypotheses!$F$49*Hypotheses!$F$50</f>
        <v>-262500</v>
      </c>
      <c r="AD26" s="27" t="n">
        <f aca="false">-Hypotheses!$F$49*Hypotheses!$F$50</f>
        <v>-262500</v>
      </c>
      <c r="AE26" s="27" t="n">
        <f aca="false">-Hypotheses!$F$49*Hypotheses!$F$50</f>
        <v>-262500</v>
      </c>
      <c r="AF26" s="27" t="n">
        <f aca="false">-Hypotheses!$F$49*Hypotheses!$F$50</f>
        <v>-262500</v>
      </c>
      <c r="AG26" s="27" t="n">
        <f aca="false">-Hypotheses!$F$49*Hypotheses!$F$50</f>
        <v>-262500</v>
      </c>
      <c r="AH26" s="27" t="n">
        <f aca="false">-Hypotheses!$F$49*Hypotheses!$F$50</f>
        <v>-262500</v>
      </c>
      <c r="AI26" s="27" t="n">
        <f aca="false">-Hypotheses!$F$49*Hypotheses!$F$50</f>
        <v>-262500</v>
      </c>
      <c r="AJ26" s="27" t="n">
        <f aca="false">-Hypotheses!$F$49*Hypotheses!$F$50</f>
        <v>-262500</v>
      </c>
      <c r="AK26" s="27" t="n">
        <f aca="false">-Hypotheses!$F$49*Hypotheses!$F$50</f>
        <v>-262500</v>
      </c>
      <c r="AL26" s="27" t="n">
        <f aca="false">-Hypotheses!$F$49*Hypotheses!$F$50</f>
        <v>-262500</v>
      </c>
      <c r="AM26" s="27" t="n">
        <f aca="false">-Hypotheses!$F$49*Hypotheses!$F$50</f>
        <v>-262500</v>
      </c>
      <c r="AN26" s="27" t="n">
        <f aca="false">-Hypotheses!$F$49*Hypotheses!$F$50</f>
        <v>-262500</v>
      </c>
      <c r="AO26" s="27" t="n">
        <f aca="false">-Hypotheses!$F$49*Hypotheses!$F$50</f>
        <v>-262500</v>
      </c>
      <c r="AP26" s="27" t="n">
        <f aca="false">-Hypotheses!$F$49*Hypotheses!$F$50</f>
        <v>-262500</v>
      </c>
      <c r="AQ26" s="27" t="n">
        <f aca="false">-Hypotheses!$F$49*Hypotheses!$F$50</f>
        <v>-262500</v>
      </c>
      <c r="AR26" s="27" t="n">
        <f aca="false">-Hypotheses!$F$49*Hypotheses!$F$50</f>
        <v>-262500</v>
      </c>
      <c r="AS26" s="27" t="n">
        <f aca="false">-Hypotheses!$F$49*Hypotheses!$F$50</f>
        <v>-262500</v>
      </c>
      <c r="AT26" s="27" t="n">
        <f aca="false">-Hypotheses!$F$49*Hypotheses!$F$50</f>
        <v>-262500</v>
      </c>
      <c r="AU26" s="27" t="n">
        <f aca="false">-Hypotheses!$F$49*Hypotheses!$F$50</f>
        <v>-262500</v>
      </c>
      <c r="AV26" s="27" t="n">
        <f aca="false">-Hypotheses!$F$49*Hypotheses!$F$50</f>
        <v>-262500</v>
      </c>
      <c r="AW26" s="27" t="n">
        <f aca="false">-Hypotheses!$F$49*Hypotheses!$F$50</f>
        <v>-262500</v>
      </c>
      <c r="AX26" s="27" t="n">
        <f aca="false">-Hypotheses!$F$49*Hypotheses!$F$50</f>
        <v>-262500</v>
      </c>
      <c r="AY26" s="27" t="n">
        <f aca="false">-Hypotheses!$F$49*Hypotheses!$F$50</f>
        <v>-262500</v>
      </c>
      <c r="AZ26" s="27" t="n">
        <f aca="false">-Hypotheses!$F$49*Hypotheses!$F$50</f>
        <v>-262500</v>
      </c>
      <c r="BA26" s="27" t="n">
        <f aca="false">-Hypotheses!$F$49*Hypotheses!$F$50</f>
        <v>-262500</v>
      </c>
      <c r="BB26" s="27" t="n">
        <f aca="false">-Hypotheses!$F$49*Hypotheses!$F$50</f>
        <v>-262500</v>
      </c>
      <c r="BC26" s="27" t="n">
        <f aca="false">-Hypotheses!$F$49*Hypotheses!$F$50</f>
        <v>-262500</v>
      </c>
      <c r="BD26" s="27" t="n">
        <f aca="false">-Hypotheses!$F$49*Hypotheses!$F$50</f>
        <v>-262500</v>
      </c>
      <c r="BE26" s="27" t="n">
        <f aca="false">-Hypotheses!$F$49*Hypotheses!$F$50</f>
        <v>-262500</v>
      </c>
      <c r="BF26" s="27" t="n">
        <f aca="false">-Hypotheses!$F$49*Hypotheses!$F$50</f>
        <v>-262500</v>
      </c>
      <c r="BG26" s="27" t="n">
        <f aca="false">-Hypotheses!$F$49*Hypotheses!$F$50</f>
        <v>-262500</v>
      </c>
      <c r="BH26" s="27" t="n">
        <f aca="false">-Hypotheses!$F$49*Hypotheses!$F$50</f>
        <v>-262500</v>
      </c>
      <c r="BI26" s="27" t="n">
        <f aca="false">-Hypotheses!$F$49*Hypotheses!$F$50</f>
        <v>-262500</v>
      </c>
      <c r="BJ26" s="27" t="n">
        <f aca="false">-Hypotheses!$F$49*Hypotheses!$F$50</f>
        <v>-262500</v>
      </c>
      <c r="BK26" s="27" t="n">
        <f aca="false">-Hypotheses!$F$49*Hypotheses!$F$50</f>
        <v>-262500</v>
      </c>
      <c r="BL26" s="27" t="n">
        <f aca="false">-Hypotheses!$F$49*Hypotheses!$F$50</f>
        <v>-262500</v>
      </c>
    </row>
    <row r="27" customFormat="false" ht="15" hidden="false" customHeight="false" outlineLevel="0" collapsed="false">
      <c r="B27" s="2" t="s">
        <v>282</v>
      </c>
      <c r="C27" s="2" t="s">
        <v>141</v>
      </c>
      <c r="E27" s="27" t="n">
        <f aca="false">-(Hypotheses!$F$51*(1+E24)+Investissements!$E$18*(1+Hypotheses!$F$60)*(Hypotheses!$F$52+Hypotheses!$F$53)/12+Hypotheses!$F$54+Hypotheses!$F$55+Hypotheses!$F$56+Hypotheses!$F$57+Hypotheses!$F$58)</f>
        <v>-760318.75</v>
      </c>
      <c r="F27" s="27" t="n">
        <f aca="false">-(Hypotheses!$F$51*(1+F24)+Investissements!$E$18*(1+Hypotheses!$F$60)*(Hypotheses!$F$52+Hypotheses!$F$53)/12+Hypotheses!$F$54+Hypotheses!$F$55+Hypotheses!$F$56+Hypotheses!$F$57+Hypotheses!$F$58)</f>
        <v>-760318.75</v>
      </c>
      <c r="G27" s="27" t="n">
        <f aca="false">-(Hypotheses!$F$51*(1+G24)+Investissements!$E$18*(1+Hypotheses!$F$60)*(Hypotheses!$F$52+Hypotheses!$F$53)/12+Hypotheses!$F$54+Hypotheses!$F$55+Hypotheses!$F$56+Hypotheses!$F$57+Hypotheses!$F$58)</f>
        <v>-760318.75</v>
      </c>
      <c r="H27" s="27" t="n">
        <f aca="false">-(Hypotheses!$F$51*(1+H24)+Investissements!$E$18*(1+Hypotheses!$F$60)*(Hypotheses!$F$52+Hypotheses!$F$53)/12+Hypotheses!$F$54+Hypotheses!$F$55+Hypotheses!$F$56+Hypotheses!$F$57+Hypotheses!$F$58)</f>
        <v>-760318.75</v>
      </c>
      <c r="I27" s="27" t="n">
        <f aca="false">-(Hypotheses!$F$51*(1+I24)+Investissements!$E$18*(1+Hypotheses!$F$60)*(Hypotheses!$F$52+Hypotheses!$F$53)/12+Hypotheses!$F$54+Hypotheses!$F$55+Hypotheses!$F$56+Hypotheses!$F$57+Hypotheses!$F$58)</f>
        <v>-760318.75</v>
      </c>
      <c r="J27" s="27" t="n">
        <f aca="false">-(Hypotheses!$F$51*(1+J24)+Investissements!$E$18*(1+Hypotheses!$F$60)*(Hypotheses!$F$52+Hypotheses!$F$53)/12+Hypotheses!$F$54+Hypotheses!$F$55+Hypotheses!$F$56+Hypotheses!$F$57+Hypotheses!$F$58)</f>
        <v>-760318.75</v>
      </c>
      <c r="K27" s="27" t="n">
        <f aca="false">-(Hypotheses!$F$51*(1+K24)+Investissements!$E$18*(1+Hypotheses!$F$60)*(Hypotheses!$F$52+Hypotheses!$F$53)/12+Hypotheses!$F$54+Hypotheses!$F$55+Hypotheses!$F$56+Hypotheses!$F$57+Hypotheses!$F$58)</f>
        <v>-760318.75</v>
      </c>
      <c r="L27" s="27" t="n">
        <f aca="false">-(Hypotheses!$F$51*(1+L24)+Investissements!$E$18*(1+Hypotheses!$F$60)*(Hypotheses!$F$52+Hypotheses!$F$53)/12+Hypotheses!$F$54+Hypotheses!$F$55+Hypotheses!$F$56+Hypotheses!$F$57+Hypotheses!$F$58)</f>
        <v>-760318.75</v>
      </c>
      <c r="M27" s="27" t="n">
        <f aca="false">-(Hypotheses!$F$51*(1+M24)+Investissements!$E$18*(1+Hypotheses!$F$60)*(Hypotheses!$F$52+Hypotheses!$F$53)/12+Hypotheses!$F$54+Hypotheses!$F$55+Hypotheses!$F$56+Hypotheses!$F$57+Hypotheses!$F$58)</f>
        <v>-760318.75</v>
      </c>
      <c r="N27" s="27" t="n">
        <f aca="false">-(Hypotheses!$F$51*(1+N24)+Investissements!$E$18*(1+Hypotheses!$F$60)*(Hypotheses!$F$52+Hypotheses!$F$53)/12+Hypotheses!$F$54+Hypotheses!$F$55+Hypotheses!$F$56+Hypotheses!$F$57+Hypotheses!$F$58)</f>
        <v>-760318.75</v>
      </c>
      <c r="O27" s="27" t="n">
        <f aca="false">-(Hypotheses!$F$51*(1+O24)+Investissements!$E$18*(1+Hypotheses!$F$60)*(Hypotheses!$F$52+Hypotheses!$F$53)/12+Hypotheses!$F$54+Hypotheses!$F$55+Hypotheses!$F$56+Hypotheses!$F$57+Hypotheses!$F$58)</f>
        <v>-760318.75</v>
      </c>
      <c r="P27" s="27" t="n">
        <f aca="false">-(Hypotheses!$F$51*(1+P24)+Investissements!$E$18*(1+Hypotheses!$F$60)*(Hypotheses!$F$52+Hypotheses!$F$53)/12+Hypotheses!$F$54+Hypotheses!$F$55+Hypotheses!$F$56+Hypotheses!$F$57+Hypotheses!$F$58)</f>
        <v>-760318.75</v>
      </c>
      <c r="Q27" s="27" t="n">
        <f aca="false">-(Hypotheses!$F$51*(1+Q24)+Investissements!$E$18*(1+Hypotheses!$F$60)*(Hypotheses!$F$52+Hypotheses!$F$53)/12+Hypotheses!$F$54+Hypotheses!$F$55+Hypotheses!$F$56+Hypotheses!$F$57+Hypotheses!$F$58)</f>
        <v>-760318.75</v>
      </c>
      <c r="R27" s="27" t="n">
        <f aca="false">-(Hypotheses!$F$51*(1+R24)+Investissements!$E$18*(1+Hypotheses!$F$60)*(Hypotheses!$F$52+Hypotheses!$F$53)/12+Hypotheses!$F$54+Hypotheses!$F$55+Hypotheses!$F$56+Hypotheses!$F$57+Hypotheses!$F$58)</f>
        <v>-760318.75</v>
      </c>
      <c r="S27" s="27" t="n">
        <f aca="false">-(Hypotheses!$F$51*(1+S24)+Investissements!$E$18*(1+Hypotheses!$F$60)*(Hypotheses!$F$52+Hypotheses!$F$53)/12+Hypotheses!$F$54+Hypotheses!$F$55+Hypotheses!$F$56+Hypotheses!$F$57+Hypotheses!$F$58)</f>
        <v>-760318.75</v>
      </c>
      <c r="T27" s="27" t="n">
        <f aca="false">-(Hypotheses!$F$51*(1+T24)+Investissements!$E$18*(1+Hypotheses!$F$60)*(Hypotheses!$F$52+Hypotheses!$F$53)/12+Hypotheses!$F$54+Hypotheses!$F$55+Hypotheses!$F$56+Hypotheses!$F$57+Hypotheses!$F$58)</f>
        <v>-760318.75</v>
      </c>
      <c r="U27" s="27" t="n">
        <f aca="false">-(Hypotheses!$F$51*(1+U24)+Investissements!$E$18*(1+Hypotheses!$F$60)*(Hypotheses!$F$52+Hypotheses!$F$53)/12+Hypotheses!$F$54+Hypotheses!$F$55+Hypotheses!$F$56+Hypotheses!$F$57+Hypotheses!$F$58)</f>
        <v>-760318.75</v>
      </c>
      <c r="V27" s="27" t="n">
        <f aca="false">-(Hypotheses!$F$51*(1+V24)+Investissements!$E$18*(1+Hypotheses!$F$60)*(Hypotheses!$F$52+Hypotheses!$F$53)/12+Hypotheses!$F$54+Hypotheses!$F$55+Hypotheses!$F$56+Hypotheses!$F$57+Hypotheses!$F$58)</f>
        <v>-760318.75</v>
      </c>
      <c r="W27" s="27" t="n">
        <f aca="false">-(Hypotheses!$F$51*(1+W24)+Investissements!$E$18*(1+Hypotheses!$F$60)*(Hypotheses!$F$52+Hypotheses!$F$53)/12+Hypotheses!$F$54+Hypotheses!$F$55+Hypotheses!$F$56+Hypotheses!$F$57+Hypotheses!$F$58)</f>
        <v>-760318.75</v>
      </c>
      <c r="X27" s="27" t="n">
        <f aca="false">-(Hypotheses!$F$51*(1+X24)+Investissements!$E$18*(1+Hypotheses!$F$60)*(Hypotheses!$F$52+Hypotheses!$F$53)/12+Hypotheses!$F$54+Hypotheses!$F$55+Hypotheses!$F$56+Hypotheses!$F$57+Hypotheses!$F$58)</f>
        <v>-1060318.75</v>
      </c>
      <c r="Y27" s="27" t="n">
        <f aca="false">-(Hypotheses!$F$51*(1+Y24)+Investissements!$E$18*(1+Hypotheses!$F$60)*(Hypotheses!$F$52+Hypotheses!$F$53)/12+Hypotheses!$F$54+Hypotheses!$F$55+Hypotheses!$F$56+Hypotheses!$F$57+Hypotheses!$F$58)</f>
        <v>-1060318.75</v>
      </c>
      <c r="Z27" s="27" t="n">
        <f aca="false">-(Hypotheses!$F$51*(1+Z24)+Investissements!$E$18*(1+Hypotheses!$F$60)*(Hypotheses!$F$52+Hypotheses!$F$53)/12+Hypotheses!$F$54+Hypotheses!$F$55+Hypotheses!$F$56+Hypotheses!$F$57+Hypotheses!$F$58)</f>
        <v>-1060318.75</v>
      </c>
      <c r="AA27" s="27" t="n">
        <f aca="false">-(Hypotheses!$F$51*(1+AA24)+Investissements!$E$18*(1+Hypotheses!$F$60)*(Hypotheses!$F$52+Hypotheses!$F$53)/12+Hypotheses!$F$54+Hypotheses!$F$55+Hypotheses!$F$56+Hypotheses!$F$57+Hypotheses!$F$58)</f>
        <v>-1060318.75</v>
      </c>
      <c r="AB27" s="27" t="n">
        <f aca="false">-(Hypotheses!$F$51*(1+AB24)+Investissements!$E$18*(1+Hypotheses!$F$60)*(Hypotheses!$F$52+Hypotheses!$F$53)/12+Hypotheses!$F$54+Hypotheses!$F$55+Hypotheses!$F$56+Hypotheses!$F$57+Hypotheses!$F$58)</f>
        <v>-1060318.75</v>
      </c>
      <c r="AC27" s="27" t="n">
        <f aca="false">-(Hypotheses!$F$51*(1+AC24)+Investissements!$E$18*(1+Hypotheses!$F$60)*(Hypotheses!$F$52+Hypotheses!$F$53)/12+Hypotheses!$F$54+Hypotheses!$F$55+Hypotheses!$F$56+Hypotheses!$F$57+Hypotheses!$F$58)</f>
        <v>-1060318.75</v>
      </c>
      <c r="AD27" s="27" t="n">
        <f aca="false">-(Hypotheses!$F$51*(1+AD24)+Investissements!$E$18*(1+Hypotheses!$F$60)*(Hypotheses!$F$52+Hypotheses!$F$53)/12+Hypotheses!$F$54+Hypotheses!$F$55+Hypotheses!$F$56+Hypotheses!$F$57+Hypotheses!$F$58)</f>
        <v>-1060318.75</v>
      </c>
      <c r="AE27" s="27" t="n">
        <f aca="false">-(Hypotheses!$F$51*(1+AE24)+Investissements!$E$18*(1+Hypotheses!$F$60)*(Hypotheses!$F$52+Hypotheses!$F$53)/12+Hypotheses!$F$54+Hypotheses!$F$55+Hypotheses!$F$56+Hypotheses!$F$57+Hypotheses!$F$58)</f>
        <v>-1060318.75</v>
      </c>
      <c r="AF27" s="27" t="n">
        <f aca="false">-(Hypotheses!$F$51*(1+AF24)+Investissements!$E$18*(1+Hypotheses!$F$60)*(Hypotheses!$F$52+Hypotheses!$F$53)/12+Hypotheses!$F$54+Hypotheses!$F$55+Hypotheses!$F$56+Hypotheses!$F$57+Hypotheses!$F$58)</f>
        <v>-1060318.75</v>
      </c>
      <c r="AG27" s="27" t="n">
        <f aca="false">-(Hypotheses!$F$51*(1+AG24)+Investissements!$E$18*(1+Hypotheses!$F$60)*(Hypotheses!$F$52+Hypotheses!$F$53)/12+Hypotheses!$F$54+Hypotheses!$F$55+Hypotheses!$F$56+Hypotheses!$F$57+Hypotheses!$F$58)</f>
        <v>-1060318.75</v>
      </c>
      <c r="AH27" s="27" t="n">
        <f aca="false">-(Hypotheses!$F$51*(1+AH24)+Investissements!$E$18*(1+Hypotheses!$F$60)*(Hypotheses!$F$52+Hypotheses!$F$53)/12+Hypotheses!$F$54+Hypotheses!$F$55+Hypotheses!$F$56+Hypotheses!$F$57+Hypotheses!$F$58)</f>
        <v>-1060318.75</v>
      </c>
      <c r="AI27" s="27" t="n">
        <f aca="false">-(Hypotheses!$F$51*(1+AI24)+Investissements!$E$18*(1+Hypotheses!$F$60)*(Hypotheses!$F$52+Hypotheses!$F$53)/12+Hypotheses!$F$54+Hypotheses!$F$55+Hypotheses!$F$56+Hypotheses!$F$57+Hypotheses!$F$58)</f>
        <v>-1060318.75</v>
      </c>
      <c r="AJ27" s="27" t="n">
        <f aca="false">-(Hypotheses!$F$51*(1+AJ24)+Investissements!$E$18*(1+Hypotheses!$F$60)*(Hypotheses!$F$52+Hypotheses!$F$53)/12+Hypotheses!$F$54+Hypotheses!$F$55+Hypotheses!$F$56+Hypotheses!$F$57+Hypotheses!$F$58)</f>
        <v>-1060318.75</v>
      </c>
      <c r="AK27" s="27" t="n">
        <f aca="false">-(Hypotheses!$F$51*(1+AK24)+Investissements!$E$18*(1+Hypotheses!$F$60)*(Hypotheses!$F$52+Hypotheses!$F$53)/12+Hypotheses!$F$54+Hypotheses!$F$55+Hypotheses!$F$56+Hypotheses!$F$57+Hypotheses!$F$58)</f>
        <v>-1060318.75</v>
      </c>
      <c r="AL27" s="27" t="n">
        <f aca="false">-(Hypotheses!$F$51*(1+AL24)+Investissements!$E$18*(1+Hypotheses!$F$60)*(Hypotheses!$F$52+Hypotheses!$F$53)/12+Hypotheses!$F$54+Hypotheses!$F$55+Hypotheses!$F$56+Hypotheses!$F$57+Hypotheses!$F$58)</f>
        <v>-1060318.75</v>
      </c>
      <c r="AM27" s="27" t="n">
        <f aca="false">-(Hypotheses!$F$51*(1+AM24)+Investissements!$E$18*(1+Hypotheses!$F$60)*(Hypotheses!$F$52+Hypotheses!$F$53)/12+Hypotheses!$F$54+Hypotheses!$F$55+Hypotheses!$F$56+Hypotheses!$F$57+Hypotheses!$F$58)</f>
        <v>-1060318.75</v>
      </c>
      <c r="AN27" s="27" t="n">
        <f aca="false">-(Hypotheses!$F$51*(1+AN24)+Investissements!$E$18*(1+Hypotheses!$F$60)*(Hypotheses!$F$52+Hypotheses!$F$53)/12+Hypotheses!$F$54+Hypotheses!$F$55+Hypotheses!$F$56+Hypotheses!$F$57+Hypotheses!$F$58)</f>
        <v>-1060318.75</v>
      </c>
      <c r="AO27" s="27" t="n">
        <f aca="false">-(Hypotheses!$F$51*(1+AO24)+Investissements!$E$18*(1+Hypotheses!$F$60)*(Hypotheses!$F$52+Hypotheses!$F$53)/12+Hypotheses!$F$54+Hypotheses!$F$55+Hypotheses!$F$56+Hypotheses!$F$57+Hypotheses!$F$58)</f>
        <v>-1060318.75</v>
      </c>
      <c r="AP27" s="27" t="n">
        <f aca="false">-(Hypotheses!$F$51*(1+AP24)+Investissements!$E$18*(1+Hypotheses!$F$60)*(Hypotheses!$F$52+Hypotheses!$F$53)/12+Hypotheses!$F$54+Hypotheses!$F$55+Hypotheses!$F$56+Hypotheses!$F$57+Hypotheses!$F$58)</f>
        <v>-1060318.75</v>
      </c>
      <c r="AQ27" s="27" t="n">
        <f aca="false">-(Hypotheses!$F$51*(1+AQ24)+Investissements!$E$18*(1+Hypotheses!$F$60)*(Hypotheses!$F$52+Hypotheses!$F$53)/12+Hypotheses!$F$54+Hypotheses!$F$55+Hypotheses!$F$56+Hypotheses!$F$57+Hypotheses!$F$58)</f>
        <v>-1060318.75</v>
      </c>
      <c r="AR27" s="27" t="n">
        <f aca="false">-(Hypotheses!$F$51*(1+AR24)+Investissements!$E$18*(1+Hypotheses!$F$60)*(Hypotheses!$F$52+Hypotheses!$F$53)/12+Hypotheses!$F$54+Hypotheses!$F$55+Hypotheses!$F$56+Hypotheses!$F$57+Hypotheses!$F$58)</f>
        <v>-1060318.75</v>
      </c>
      <c r="AS27" s="27" t="n">
        <f aca="false">-(Hypotheses!$F$51*(1+AS24)+Investissements!$E$18*(1+Hypotheses!$F$60)*(Hypotheses!$F$52+Hypotheses!$F$53)/12+Hypotheses!$F$54+Hypotheses!$F$55+Hypotheses!$F$56+Hypotheses!$F$57+Hypotheses!$F$58)</f>
        <v>-1060318.75</v>
      </c>
      <c r="AT27" s="27" t="n">
        <f aca="false">-(Hypotheses!$F$51*(1+AT24)+Investissements!$E$18*(1+Hypotheses!$F$60)*(Hypotheses!$F$52+Hypotheses!$F$53)/12+Hypotheses!$F$54+Hypotheses!$F$55+Hypotheses!$F$56+Hypotheses!$F$57+Hypotheses!$F$58)</f>
        <v>-1060318.75</v>
      </c>
      <c r="AU27" s="27" t="n">
        <f aca="false">-(Hypotheses!$F$51*(1+AU24)+Investissements!$E$18*(1+Hypotheses!$F$60)*(Hypotheses!$F$52+Hypotheses!$F$53)/12+Hypotheses!$F$54+Hypotheses!$F$55+Hypotheses!$F$56+Hypotheses!$F$57+Hypotheses!$F$58)</f>
        <v>-1060318.75</v>
      </c>
      <c r="AV27" s="27" t="n">
        <f aca="false">-(Hypotheses!$F$51*(1+AV24)+Investissements!$E$18*(1+Hypotheses!$F$60)*(Hypotheses!$F$52+Hypotheses!$F$53)/12+Hypotheses!$F$54+Hypotheses!$F$55+Hypotheses!$F$56+Hypotheses!$F$57+Hypotheses!$F$58)</f>
        <v>-1060318.75</v>
      </c>
      <c r="AW27" s="27" t="n">
        <f aca="false">-(Hypotheses!$F$51*(1+AW24)+Investissements!$E$18*(1+Hypotheses!$F$60)*(Hypotheses!$F$52+Hypotheses!$F$53)/12+Hypotheses!$F$54+Hypotheses!$F$55+Hypotheses!$F$56+Hypotheses!$F$57+Hypotheses!$F$58)</f>
        <v>-1060318.75</v>
      </c>
      <c r="AX27" s="27" t="n">
        <f aca="false">-(Hypotheses!$F$51*(1+AX24)+Investissements!$E$18*(1+Hypotheses!$F$60)*(Hypotheses!$F$52+Hypotheses!$F$53)/12+Hypotheses!$F$54+Hypotheses!$F$55+Hypotheses!$F$56+Hypotheses!$F$57+Hypotheses!$F$58)</f>
        <v>-1060318.75</v>
      </c>
      <c r="AY27" s="27" t="n">
        <f aca="false">-(Hypotheses!$F$51*(1+AY24)+Investissements!$E$18*(1+Hypotheses!$F$60)*(Hypotheses!$F$52+Hypotheses!$F$53)/12+Hypotheses!$F$54+Hypotheses!$F$55+Hypotheses!$F$56+Hypotheses!$F$57+Hypotheses!$F$58)</f>
        <v>-1060318.75</v>
      </c>
      <c r="AZ27" s="27" t="n">
        <f aca="false">-(Hypotheses!$F$51*(1+AZ24)+Investissements!$E$18*(1+Hypotheses!$F$60)*(Hypotheses!$F$52+Hypotheses!$F$53)/12+Hypotheses!$F$54+Hypotheses!$F$55+Hypotheses!$F$56+Hypotheses!$F$57+Hypotheses!$F$58)</f>
        <v>-1060318.75</v>
      </c>
      <c r="BA27" s="27" t="n">
        <f aca="false">-(Hypotheses!$F$51*(1+BA24)+Investissements!$E$18*(1+Hypotheses!$F$60)*(Hypotheses!$F$52+Hypotheses!$F$53)/12+Hypotheses!$F$54+Hypotheses!$F$55+Hypotheses!$F$56+Hypotheses!$F$57+Hypotheses!$F$58)</f>
        <v>-1060318.75</v>
      </c>
      <c r="BB27" s="27" t="n">
        <f aca="false">-(Hypotheses!$F$51*(1+BB24)+Investissements!$E$18*(1+Hypotheses!$F$60)*(Hypotheses!$F$52+Hypotheses!$F$53)/12+Hypotheses!$F$54+Hypotheses!$F$55+Hypotheses!$F$56+Hypotheses!$F$57+Hypotheses!$F$58)</f>
        <v>-1060318.75</v>
      </c>
      <c r="BC27" s="27" t="n">
        <f aca="false">-(Hypotheses!$F$51*(1+BC24)+Investissements!$E$18*(1+Hypotheses!$F$60)*(Hypotheses!$F$52+Hypotheses!$F$53)/12+Hypotheses!$F$54+Hypotheses!$F$55+Hypotheses!$F$56+Hypotheses!$F$57+Hypotheses!$F$58)</f>
        <v>-1060318.75</v>
      </c>
      <c r="BD27" s="27" t="n">
        <f aca="false">-(Hypotheses!$F$51*(1+BD24)+Investissements!$E$18*(1+Hypotheses!$F$60)*(Hypotheses!$F$52+Hypotheses!$F$53)/12+Hypotheses!$F$54+Hypotheses!$F$55+Hypotheses!$F$56+Hypotheses!$F$57+Hypotheses!$F$58)</f>
        <v>-1060318.75</v>
      </c>
      <c r="BE27" s="27" t="n">
        <f aca="false">-(Hypotheses!$F$51*(1+BE24)+Investissements!$E$18*(1+Hypotheses!$F$60)*(Hypotheses!$F$52+Hypotheses!$F$53)/12+Hypotheses!$F$54+Hypotheses!$F$55+Hypotheses!$F$56+Hypotheses!$F$57+Hypotheses!$F$58)</f>
        <v>-1060318.75</v>
      </c>
      <c r="BF27" s="27" t="n">
        <f aca="false">-(Hypotheses!$F$51*(1+BF24)+Investissements!$E$18*(1+Hypotheses!$F$60)*(Hypotheses!$F$52+Hypotheses!$F$53)/12+Hypotheses!$F$54+Hypotheses!$F$55+Hypotheses!$F$56+Hypotheses!$F$57+Hypotheses!$F$58)</f>
        <v>-1060318.75</v>
      </c>
      <c r="BG27" s="27" t="n">
        <f aca="false">-(Hypotheses!$F$51*(1+BG24)+Investissements!$E$18*(1+Hypotheses!$F$60)*(Hypotheses!$F$52+Hypotheses!$F$53)/12+Hypotheses!$F$54+Hypotheses!$F$55+Hypotheses!$F$56+Hypotheses!$F$57+Hypotheses!$F$58)</f>
        <v>-1060318.75</v>
      </c>
      <c r="BH27" s="27" t="n">
        <f aca="false">-(Hypotheses!$F$51*(1+BH24)+Investissements!$E$18*(1+Hypotheses!$F$60)*(Hypotheses!$F$52+Hypotheses!$F$53)/12+Hypotheses!$F$54+Hypotheses!$F$55+Hypotheses!$F$56+Hypotheses!$F$57+Hypotheses!$F$58)</f>
        <v>-1060318.75</v>
      </c>
      <c r="BI27" s="27" t="n">
        <f aca="false">-(Hypotheses!$F$51*(1+BI24)+Investissements!$E$18*(1+Hypotheses!$F$60)*(Hypotheses!$F$52+Hypotheses!$F$53)/12+Hypotheses!$F$54+Hypotheses!$F$55+Hypotheses!$F$56+Hypotheses!$F$57+Hypotheses!$F$58)</f>
        <v>-1060318.75</v>
      </c>
      <c r="BJ27" s="27" t="n">
        <f aca="false">-(Hypotheses!$F$51*(1+BJ24)+Investissements!$E$18*(1+Hypotheses!$F$60)*(Hypotheses!$F$52+Hypotheses!$F$53)/12+Hypotheses!$F$54+Hypotheses!$F$55+Hypotheses!$F$56+Hypotheses!$F$57+Hypotheses!$F$58)</f>
        <v>-1060318.75</v>
      </c>
      <c r="BK27" s="27" t="n">
        <f aca="false">-(Hypotheses!$F$51*(1+BK24)+Investissements!$E$18*(1+Hypotheses!$F$60)*(Hypotheses!$F$52+Hypotheses!$F$53)/12+Hypotheses!$F$54+Hypotheses!$F$55+Hypotheses!$F$56+Hypotheses!$F$57+Hypotheses!$F$58)</f>
        <v>-1060318.75</v>
      </c>
      <c r="BL27" s="27" t="n">
        <f aca="false">-(Hypotheses!$F$51*(1+BL24)+Investissements!$E$18*(1+Hypotheses!$F$60)*(Hypotheses!$F$52+Hypotheses!$F$53)/12+Hypotheses!$F$54+Hypotheses!$F$55+Hypotheses!$F$56+Hypotheses!$F$57+Hypotheses!$F$58)</f>
        <v>-1060318.75</v>
      </c>
    </row>
    <row r="28" customFormat="false" ht="15" hidden="false" customHeight="false" outlineLevel="0" collapsed="false">
      <c r="B28" s="2" t="s">
        <v>283</v>
      </c>
      <c r="C28" s="2" t="s">
        <v>141</v>
      </c>
      <c r="D28" s="27" t="n">
        <f aca="false">-Hypotheses!$F$61</f>
        <v>-2500000</v>
      </c>
      <c r="E28" s="27" t="n">
        <f aca="false">0</f>
        <v>0</v>
      </c>
      <c r="F28" s="27" t="n">
        <f aca="false">0</f>
        <v>0</v>
      </c>
      <c r="G28" s="27" t="n">
        <f aca="false">0</f>
        <v>0</v>
      </c>
      <c r="H28" s="27" t="n">
        <f aca="false">0</f>
        <v>0</v>
      </c>
      <c r="I28" s="27" t="n">
        <f aca="false">0</f>
        <v>0</v>
      </c>
      <c r="J28" s="27" t="n">
        <f aca="false">0</f>
        <v>0</v>
      </c>
      <c r="K28" s="27" t="n">
        <f aca="false">0</f>
        <v>0</v>
      </c>
      <c r="L28" s="27" t="n">
        <f aca="false">0</f>
        <v>0</v>
      </c>
      <c r="M28" s="27" t="n">
        <f aca="false">0</f>
        <v>0</v>
      </c>
      <c r="N28" s="27" t="n">
        <f aca="false">0</f>
        <v>0</v>
      </c>
      <c r="O28" s="27" t="n">
        <f aca="false">0</f>
        <v>0</v>
      </c>
      <c r="P28" s="27" t="n">
        <f aca="false">0</f>
        <v>0</v>
      </c>
      <c r="Q28" s="27" t="n">
        <f aca="false">0</f>
        <v>0</v>
      </c>
      <c r="R28" s="27" t="n">
        <f aca="false">0</f>
        <v>0</v>
      </c>
      <c r="S28" s="27" t="n">
        <f aca="false">0</f>
        <v>0</v>
      </c>
      <c r="T28" s="27" t="n">
        <f aca="false">0</f>
        <v>0</v>
      </c>
      <c r="U28" s="27" t="n">
        <f aca="false">0</f>
        <v>0</v>
      </c>
      <c r="V28" s="27" t="n">
        <f aca="false">0</f>
        <v>0</v>
      </c>
      <c r="W28" s="27" t="n">
        <f aca="false">0</f>
        <v>0</v>
      </c>
      <c r="X28" s="27" t="n">
        <f aca="false">0</f>
        <v>0</v>
      </c>
      <c r="Y28" s="27" t="n">
        <f aca="false">0</f>
        <v>0</v>
      </c>
      <c r="Z28" s="27" t="n">
        <f aca="false">0</f>
        <v>0</v>
      </c>
      <c r="AA28" s="27" t="n">
        <f aca="false">0</f>
        <v>0</v>
      </c>
      <c r="AB28" s="27" t="n">
        <f aca="false">0</f>
        <v>0</v>
      </c>
      <c r="AC28" s="27" t="n">
        <f aca="false">0</f>
        <v>0</v>
      </c>
      <c r="AD28" s="27" t="n">
        <f aca="false">0</f>
        <v>0</v>
      </c>
      <c r="AE28" s="27" t="n">
        <f aca="false">0</f>
        <v>0</v>
      </c>
      <c r="AF28" s="27" t="n">
        <f aca="false">0</f>
        <v>0</v>
      </c>
      <c r="AG28" s="27" t="n">
        <f aca="false">0</f>
        <v>0</v>
      </c>
      <c r="AH28" s="27" t="n">
        <f aca="false">0</f>
        <v>0</v>
      </c>
      <c r="AI28" s="27" t="n">
        <f aca="false">0</f>
        <v>0</v>
      </c>
      <c r="AJ28" s="27" t="n">
        <f aca="false">0</f>
        <v>0</v>
      </c>
      <c r="AK28" s="27" t="n">
        <f aca="false">0</f>
        <v>0</v>
      </c>
      <c r="AL28" s="27" t="n">
        <f aca="false">0</f>
        <v>0</v>
      </c>
      <c r="AM28" s="27" t="n">
        <f aca="false">0</f>
        <v>0</v>
      </c>
      <c r="AN28" s="27" t="n">
        <f aca="false">0</f>
        <v>0</v>
      </c>
      <c r="AO28" s="27" t="n">
        <f aca="false">0</f>
        <v>0</v>
      </c>
      <c r="AP28" s="27" t="n">
        <f aca="false">0</f>
        <v>0</v>
      </c>
      <c r="AQ28" s="27" t="n">
        <f aca="false">0</f>
        <v>0</v>
      </c>
      <c r="AR28" s="27" t="n">
        <f aca="false">0</f>
        <v>0</v>
      </c>
      <c r="AS28" s="27" t="n">
        <f aca="false">0</f>
        <v>0</v>
      </c>
      <c r="AT28" s="27" t="n">
        <f aca="false">0</f>
        <v>0</v>
      </c>
      <c r="AU28" s="27" t="n">
        <f aca="false">0</f>
        <v>0</v>
      </c>
      <c r="AV28" s="27" t="n">
        <f aca="false">0</f>
        <v>0</v>
      </c>
      <c r="AW28" s="27" t="n">
        <f aca="false">0</f>
        <v>0</v>
      </c>
      <c r="AX28" s="27" t="n">
        <f aca="false">0</f>
        <v>0</v>
      </c>
      <c r="AY28" s="27" t="n">
        <f aca="false">0</f>
        <v>0</v>
      </c>
      <c r="AZ28" s="27" t="n">
        <f aca="false">0</f>
        <v>0</v>
      </c>
      <c r="BA28" s="27" t="n">
        <f aca="false">0</f>
        <v>0</v>
      </c>
      <c r="BB28" s="27" t="n">
        <f aca="false">0</f>
        <v>0</v>
      </c>
      <c r="BC28" s="27" t="n">
        <f aca="false">0</f>
        <v>0</v>
      </c>
      <c r="BD28" s="27" t="n">
        <f aca="false">0</f>
        <v>0</v>
      </c>
      <c r="BE28" s="27" t="n">
        <f aca="false">0</f>
        <v>0</v>
      </c>
      <c r="BF28" s="27" t="n">
        <f aca="false">0</f>
        <v>0</v>
      </c>
      <c r="BG28" s="27" t="n">
        <f aca="false">0</f>
        <v>0</v>
      </c>
      <c r="BH28" s="27" t="n">
        <f aca="false">0</f>
        <v>0</v>
      </c>
      <c r="BI28" s="27" t="n">
        <f aca="false">0</f>
        <v>0</v>
      </c>
      <c r="BJ28" s="27" t="n">
        <f aca="false">0</f>
        <v>0</v>
      </c>
      <c r="BK28" s="27" t="n">
        <f aca="false">0</f>
        <v>0</v>
      </c>
      <c r="BL28" s="27" t="n">
        <f aca="false">0</f>
        <v>0</v>
      </c>
    </row>
    <row r="29" customFormat="false" ht="15" hidden="false" customHeight="false" outlineLevel="0" collapsed="false">
      <c r="B29" s="3" t="s">
        <v>37</v>
      </c>
      <c r="C29" s="2" t="s">
        <v>141</v>
      </c>
      <c r="D29" s="28" t="n">
        <f aca="false">D28</f>
        <v>-2500000</v>
      </c>
      <c r="E29" s="28" t="n">
        <f aca="false">E22+E25+E26+E27+E28</f>
        <v>-263030.75</v>
      </c>
      <c r="F29" s="28" t="n">
        <f aca="false">F22+F25+F26+F27+F28</f>
        <v>131094.371856866</v>
      </c>
      <c r="G29" s="28" t="n">
        <f aca="false">G22+G25+G26+G27+G28</f>
        <v>530366.727756287</v>
      </c>
      <c r="H29" s="28" t="n">
        <f aca="false">H22+H25+H26+H27+H28</f>
        <v>934786.317698259</v>
      </c>
      <c r="I29" s="28" t="n">
        <f aca="false">I22+I25+I26+I27+I28</f>
        <v>1344353.14168279</v>
      </c>
      <c r="J29" s="28" t="n">
        <f aca="false">J22+J25+J26+J27+J28</f>
        <v>1759067.19970986</v>
      </c>
      <c r="K29" s="28" t="n">
        <f aca="false">K22+K25+K26+K27+K28</f>
        <v>1936928.4917795</v>
      </c>
      <c r="L29" s="28" t="n">
        <f aca="false">L22+L25+L26+L27+L28</f>
        <v>2361937.01789168</v>
      </c>
      <c r="M29" s="28" t="n">
        <f aca="false">M22+M25+M26+M27+M28</f>
        <v>2792092.77804642</v>
      </c>
      <c r="N29" s="28" t="n">
        <f aca="false">N22+N25+N26+N27+N28</f>
        <v>3227395.77224372</v>
      </c>
      <c r="O29" s="28" t="n">
        <f aca="false">O22+O25+O26+O27+O28</f>
        <v>3667846.00048356</v>
      </c>
      <c r="P29" s="28" t="n">
        <f aca="false">P22+P25+P26+P27+P28</f>
        <v>4113443.46276596</v>
      </c>
      <c r="Q29" s="28" t="n">
        <f aca="false">Q22+Q25+Q26+Q27+Q28</f>
        <v>4151189.84574468</v>
      </c>
      <c r="R29" s="28" t="n">
        <f aca="false">R22+R25+R26+R27+R28</f>
        <v>4188936.2287234</v>
      </c>
      <c r="S29" s="28" t="n">
        <f aca="false">S22+S25+S26+S27+S28</f>
        <v>4226682.61170213</v>
      </c>
      <c r="T29" s="28" t="n">
        <f aca="false">T22+T25+T26+T27+T28</f>
        <v>4264428.99468085</v>
      </c>
      <c r="U29" s="28" t="n">
        <f aca="false">U22+U25+U26+U27+U28</f>
        <v>4302175.37765957</v>
      </c>
      <c r="V29" s="28" t="n">
        <f aca="false">V22+V25+V26+V27+V28</f>
        <v>4339921.7606383</v>
      </c>
      <c r="W29" s="28" t="n">
        <f aca="false">W22+W25+W26+W27+W28</f>
        <v>4377668.14361702</v>
      </c>
      <c r="X29" s="28" t="n">
        <f aca="false">X22+X25+X26+X27+X28</f>
        <v>5054497.84574468</v>
      </c>
      <c r="Y29" s="28" t="n">
        <f aca="false">Y22+Y25+Y26+Y27+Y28</f>
        <v>5300408.31382979</v>
      </c>
      <c r="Z29" s="28" t="n">
        <f aca="false">Z22+Z25+Z26+Z27+Z28</f>
        <v>5548677.93085106</v>
      </c>
      <c r="AA29" s="28" t="n">
        <f aca="false">AA22+AA25+AA26+AA27+AA28</f>
        <v>5799306.69680851</v>
      </c>
      <c r="AB29" s="28" t="n">
        <f aca="false">AB22+AB25+AB26+AB27+AB28</f>
        <v>6052294.61170213</v>
      </c>
      <c r="AC29" s="28" t="n">
        <f aca="false">AC22+AC25+AC26+AC27+AC28</f>
        <v>6307641.67553191</v>
      </c>
      <c r="AD29" s="28" t="n">
        <f aca="false">AD22+AD25+AD26+AD27+AD28</f>
        <v>6565347.88829787</v>
      </c>
      <c r="AE29" s="28" t="n">
        <f aca="false">AE22+AE25+AE26+AE27+AE28</f>
        <v>6825413.25</v>
      </c>
      <c r="AF29" s="28" t="n">
        <f aca="false">AF22+AF25+AF26+AF27+AF28</f>
        <v>7087837.7606383</v>
      </c>
      <c r="AG29" s="28" t="n">
        <f aca="false">AG22+AG25+AG26+AG27+AG28</f>
        <v>7352621.42021277</v>
      </c>
      <c r="AH29" s="28" t="n">
        <f aca="false">AH22+AH25+AH26+AH27+AH28</f>
        <v>7619764.2287234</v>
      </c>
      <c r="AI29" s="28" t="n">
        <f aca="false">AI22+AI25+AI26+AI27+AI28</f>
        <v>7889266.18617021</v>
      </c>
      <c r="AJ29" s="28" t="n">
        <f aca="false">AJ22+AJ25+AJ26+AJ27+AJ28</f>
        <v>8161127.29255319</v>
      </c>
      <c r="AK29" s="28" t="n">
        <f aca="false">AK22+AK25+AK26+AK27+AK28</f>
        <v>8435347.54787234</v>
      </c>
      <c r="AL29" s="28" t="n">
        <f aca="false">AL22+AL25+AL26+AL27+AL28</f>
        <v>8711926.95212766</v>
      </c>
      <c r="AM29" s="28" t="n">
        <f aca="false">AM22+AM25+AM26+AM27+AM28</f>
        <v>8990865.50531915</v>
      </c>
      <c r="AN29" s="28" t="n">
        <f aca="false">AN22+AN25+AN26+AN27+AN28</f>
        <v>9272163.20744681</v>
      </c>
      <c r="AO29" s="28" t="n">
        <f aca="false">AO22+AO25+AO26+AO27+AO28</f>
        <v>9555820.05851064</v>
      </c>
      <c r="AP29" s="28" t="n">
        <f aca="false">AP22+AP25+AP26+AP27+AP28</f>
        <v>9841836.05851064</v>
      </c>
      <c r="AQ29" s="28" t="n">
        <f aca="false">AQ22+AQ25+AQ26+AQ27+AQ28</f>
        <v>10130211.2074468</v>
      </c>
      <c r="AR29" s="28" t="n">
        <f aca="false">AR22+AR25+AR26+AR27+AR28</f>
        <v>10420945.5053191</v>
      </c>
      <c r="AS29" s="28" t="n">
        <f aca="false">AS22+AS25+AS26+AS27+AS28</f>
        <v>10714038.9521277</v>
      </c>
      <c r="AT29" s="28" t="n">
        <f aca="false">AT22+AT25+AT26+AT27+AT28</f>
        <v>11009491.5478723</v>
      </c>
      <c r="AU29" s="28" t="n">
        <f aca="false">AU22+AU25+AU26+AU27+AU28</f>
        <v>11307303.2925532</v>
      </c>
      <c r="AV29" s="28" t="n">
        <f aca="false">AV22+AV25+AV26+AV27+AV28</f>
        <v>11607474.1861702</v>
      </c>
      <c r="AW29" s="28" t="n">
        <f aca="false">AW22+AW25+AW26+AW27+AW28</f>
        <v>11682966.9521277</v>
      </c>
      <c r="AX29" s="28" t="n">
        <f aca="false">AX22+AX25+AX26+AX27+AX28</f>
        <v>11758459.7180851</v>
      </c>
      <c r="AY29" s="28" t="n">
        <f aca="false">AY22+AY25+AY26+AY27+AY28</f>
        <v>11833952.4840426</v>
      </c>
      <c r="AZ29" s="28" t="n">
        <f aca="false">AZ22+AZ25+AZ26+AZ27+AZ28</f>
        <v>11909445.25</v>
      </c>
      <c r="BA29" s="28" t="n">
        <f aca="false">BA22+BA25+BA26+BA27+BA28</f>
        <v>11909445.25</v>
      </c>
      <c r="BB29" s="28" t="n">
        <f aca="false">BB22+BB25+BB26+BB27+BB28</f>
        <v>11909445.25</v>
      </c>
      <c r="BC29" s="28" t="n">
        <f aca="false">BC22+BC25+BC26+BC27+BC28</f>
        <v>11909445.25</v>
      </c>
      <c r="BD29" s="28" t="n">
        <f aca="false">BD22+BD25+BD26+BD27+BD28</f>
        <v>11909445.25</v>
      </c>
      <c r="BE29" s="28" t="n">
        <f aca="false">BE22+BE25+BE26+BE27+BE28</f>
        <v>11909445.25</v>
      </c>
      <c r="BF29" s="28" t="n">
        <f aca="false">BF22+BF25+BF26+BF27+BF28</f>
        <v>11909445.25</v>
      </c>
      <c r="BG29" s="28" t="n">
        <f aca="false">BG22+BG25+BG26+BG27+BG28</f>
        <v>11909445.25</v>
      </c>
      <c r="BH29" s="28" t="n">
        <f aca="false">BH22+BH25+BH26+BH27+BH28</f>
        <v>11909445.25</v>
      </c>
      <c r="BI29" s="28" t="n">
        <f aca="false">BI22+BI25+BI26+BI27+BI28</f>
        <v>11909445.25</v>
      </c>
      <c r="BJ29" s="28" t="n">
        <f aca="false">BJ22+BJ25+BJ26+BJ27+BJ28</f>
        <v>11909445.25</v>
      </c>
      <c r="BK29" s="28" t="n">
        <f aca="false">BK22+BK25+BK26+BK27+BK28</f>
        <v>11909445.25</v>
      </c>
      <c r="BL29" s="28" t="n">
        <f aca="false">BL22+BL25+BL26+BL27+BL28</f>
        <v>11909445.25</v>
      </c>
    </row>
    <row r="30" customFormat="false" ht="15" hidden="false" customHeight="false" outlineLevel="0" collapsed="false">
      <c r="B30" s="2" t="s">
        <v>284</v>
      </c>
      <c r="C30" s="2" t="s">
        <v>141</v>
      </c>
      <c r="E30" s="27" t="n">
        <f aca="false">-SUMPRODUCT((Investissements!$F$5:$F$17*12&gt;=E3)*Investissements!$G$5:$G$17)*(1+Hypotheses!$F$60)-E24*Hypotheses!$F$45/60</f>
        <v>-564486.607142857</v>
      </c>
      <c r="F30" s="27" t="n">
        <f aca="false">-SUMPRODUCT((Investissements!$F$5:$F$17*12&gt;=F3)*Investissements!$G$5:$G$17)*(1+Hypotheses!$F$60)-F24*Hypotheses!$F$45/60</f>
        <v>-564486.607142857</v>
      </c>
      <c r="G30" s="27" t="n">
        <f aca="false">-SUMPRODUCT((Investissements!$F$5:$F$17*12&gt;=G3)*Investissements!$G$5:$G$17)*(1+Hypotheses!$F$60)-G24*Hypotheses!$F$45/60</f>
        <v>-564486.607142857</v>
      </c>
      <c r="H30" s="27" t="n">
        <f aca="false">-SUMPRODUCT((Investissements!$F$5:$F$17*12&gt;=H3)*Investissements!$G$5:$G$17)*(1+Hypotheses!$F$60)-H24*Hypotheses!$F$45/60</f>
        <v>-564486.607142857</v>
      </c>
      <c r="I30" s="27" t="n">
        <f aca="false">-SUMPRODUCT((Investissements!$F$5:$F$17*12&gt;=I3)*Investissements!$G$5:$G$17)*(1+Hypotheses!$F$60)-I24*Hypotheses!$F$45/60</f>
        <v>-564486.607142857</v>
      </c>
      <c r="J30" s="27" t="n">
        <f aca="false">-SUMPRODUCT((Investissements!$F$5:$F$17*12&gt;=J3)*Investissements!$G$5:$G$17)*(1+Hypotheses!$F$60)-J24*Hypotheses!$F$45/60</f>
        <v>-564486.607142857</v>
      </c>
      <c r="K30" s="27" t="n">
        <f aca="false">-SUMPRODUCT((Investissements!$F$5:$F$17*12&gt;=K3)*Investissements!$G$5:$G$17)*(1+Hypotheses!$F$60)-K24*Hypotheses!$F$45/60</f>
        <v>-564486.607142857</v>
      </c>
      <c r="L30" s="27" t="n">
        <f aca="false">-SUMPRODUCT((Investissements!$F$5:$F$17*12&gt;=L3)*Investissements!$G$5:$G$17)*(1+Hypotheses!$F$60)-L24*Hypotheses!$F$45/60</f>
        <v>-564486.607142857</v>
      </c>
      <c r="M30" s="27" t="n">
        <f aca="false">-SUMPRODUCT((Investissements!$F$5:$F$17*12&gt;=M3)*Investissements!$G$5:$G$17)*(1+Hypotheses!$F$60)-M24*Hypotheses!$F$45/60</f>
        <v>-564486.607142857</v>
      </c>
      <c r="N30" s="27" t="n">
        <f aca="false">-SUMPRODUCT((Investissements!$F$5:$F$17*12&gt;=N3)*Investissements!$G$5:$G$17)*(1+Hypotheses!$F$60)-N24*Hypotheses!$F$45/60</f>
        <v>-564486.607142857</v>
      </c>
      <c r="O30" s="27" t="n">
        <f aca="false">-SUMPRODUCT((Investissements!$F$5:$F$17*12&gt;=O3)*Investissements!$G$5:$G$17)*(1+Hypotheses!$F$60)-O24*Hypotheses!$F$45/60</f>
        <v>-564486.607142857</v>
      </c>
      <c r="P30" s="27" t="n">
        <f aca="false">-SUMPRODUCT((Investissements!$F$5:$F$17*12&gt;=P3)*Investissements!$G$5:$G$17)*(1+Hypotheses!$F$60)-P24*Hypotheses!$F$45/60</f>
        <v>-564486.607142857</v>
      </c>
      <c r="Q30" s="27" t="n">
        <f aca="false">-SUMPRODUCT((Investissements!$F$5:$F$17*12&gt;=Q3)*Investissements!$G$5:$G$17)*(1+Hypotheses!$F$60)-Q24*Hypotheses!$F$45/60</f>
        <v>-564486.607142857</v>
      </c>
      <c r="R30" s="27" t="n">
        <f aca="false">-SUMPRODUCT((Investissements!$F$5:$F$17*12&gt;=R3)*Investissements!$G$5:$G$17)*(1+Hypotheses!$F$60)-R24*Hypotheses!$F$45/60</f>
        <v>-564486.607142857</v>
      </c>
      <c r="S30" s="27" t="n">
        <f aca="false">-SUMPRODUCT((Investissements!$F$5:$F$17*12&gt;=S3)*Investissements!$G$5:$G$17)*(1+Hypotheses!$F$60)-S24*Hypotheses!$F$45/60</f>
        <v>-564486.607142857</v>
      </c>
      <c r="T30" s="27" t="n">
        <f aca="false">-SUMPRODUCT((Investissements!$F$5:$F$17*12&gt;=T3)*Investissements!$G$5:$G$17)*(1+Hypotheses!$F$60)-T24*Hypotheses!$F$45/60</f>
        <v>-564486.607142857</v>
      </c>
      <c r="U30" s="27" t="n">
        <f aca="false">-SUMPRODUCT((Investissements!$F$5:$F$17*12&gt;=U3)*Investissements!$G$5:$G$17)*(1+Hypotheses!$F$60)-U24*Hypotheses!$F$45/60</f>
        <v>-564486.607142857</v>
      </c>
      <c r="V30" s="27" t="n">
        <f aca="false">-SUMPRODUCT((Investissements!$F$5:$F$17*12&gt;=V3)*Investissements!$G$5:$G$17)*(1+Hypotheses!$F$60)-V24*Hypotheses!$F$45/60</f>
        <v>-564486.607142857</v>
      </c>
      <c r="W30" s="27" t="n">
        <f aca="false">-SUMPRODUCT((Investissements!$F$5:$F$17*12&gt;=W3)*Investissements!$G$5:$G$17)*(1+Hypotheses!$F$60)-W24*Hypotheses!$F$45/60</f>
        <v>-564486.607142857</v>
      </c>
      <c r="X30" s="27" t="n">
        <f aca="false">-SUMPRODUCT((Investissements!$F$5:$F$17*12&gt;=X3)*Investissements!$G$5:$G$17)*(1+Hypotheses!$F$60)-X24*Hypotheses!$F$45/60</f>
        <v>-664486.607142857</v>
      </c>
      <c r="Y30" s="27" t="n">
        <f aca="false">-SUMPRODUCT((Investissements!$F$5:$F$17*12&gt;=Y3)*Investissements!$G$5:$G$17)*(1+Hypotheses!$F$60)-Y24*Hypotheses!$F$45/60</f>
        <v>-664486.607142857</v>
      </c>
      <c r="Z30" s="27" t="n">
        <f aca="false">-SUMPRODUCT((Investissements!$F$5:$F$17*12&gt;=Z3)*Investissements!$G$5:$G$17)*(1+Hypotheses!$F$60)-Z24*Hypotheses!$F$45/60</f>
        <v>-664486.607142857</v>
      </c>
      <c r="AA30" s="27" t="n">
        <f aca="false">-SUMPRODUCT((Investissements!$F$5:$F$17*12&gt;=AA3)*Investissements!$G$5:$G$17)*(1+Hypotheses!$F$60)-AA24*Hypotheses!$F$45/60</f>
        <v>-664486.607142857</v>
      </c>
      <c r="AB30" s="27" t="n">
        <f aca="false">-SUMPRODUCT((Investissements!$F$5:$F$17*12&gt;=AB3)*Investissements!$G$5:$G$17)*(1+Hypotheses!$F$60)-AB24*Hypotheses!$F$45/60</f>
        <v>-664486.607142857</v>
      </c>
      <c r="AC30" s="27" t="n">
        <f aca="false">-SUMPRODUCT((Investissements!$F$5:$F$17*12&gt;=AC3)*Investissements!$G$5:$G$17)*(1+Hypotheses!$F$60)-AC24*Hypotheses!$F$45/60</f>
        <v>-664486.607142857</v>
      </c>
      <c r="AD30" s="27" t="n">
        <f aca="false">-SUMPRODUCT((Investissements!$F$5:$F$17*12&gt;=AD3)*Investissements!$G$5:$G$17)*(1+Hypotheses!$F$60)-AD24*Hypotheses!$F$45/60</f>
        <v>-664486.607142857</v>
      </c>
      <c r="AE30" s="27" t="n">
        <f aca="false">-SUMPRODUCT((Investissements!$F$5:$F$17*12&gt;=AE3)*Investissements!$G$5:$G$17)*(1+Hypotheses!$F$60)-AE24*Hypotheses!$F$45/60</f>
        <v>-664486.607142857</v>
      </c>
      <c r="AF30" s="27" t="n">
        <f aca="false">-SUMPRODUCT((Investissements!$F$5:$F$17*12&gt;=AF3)*Investissements!$G$5:$G$17)*(1+Hypotheses!$F$60)-AF24*Hypotheses!$F$45/60</f>
        <v>-664486.607142857</v>
      </c>
      <c r="AG30" s="27" t="n">
        <f aca="false">-SUMPRODUCT((Investissements!$F$5:$F$17*12&gt;=AG3)*Investissements!$G$5:$G$17)*(1+Hypotheses!$F$60)-AG24*Hypotheses!$F$45/60</f>
        <v>-664486.607142857</v>
      </c>
      <c r="AH30" s="27" t="n">
        <f aca="false">-SUMPRODUCT((Investissements!$F$5:$F$17*12&gt;=AH3)*Investissements!$G$5:$G$17)*(1+Hypotheses!$F$60)-AH24*Hypotheses!$F$45/60</f>
        <v>-664486.607142857</v>
      </c>
      <c r="AI30" s="27" t="n">
        <f aca="false">-SUMPRODUCT((Investissements!$F$5:$F$17*12&gt;=AI3)*Investissements!$G$5:$G$17)*(1+Hypotheses!$F$60)-AI24*Hypotheses!$F$45/60</f>
        <v>-664486.607142857</v>
      </c>
      <c r="AJ30" s="27" t="n">
        <f aca="false">-SUMPRODUCT((Investissements!$F$5:$F$17*12&gt;=AJ3)*Investissements!$G$5:$G$17)*(1+Hypotheses!$F$60)-AJ24*Hypotheses!$F$45/60</f>
        <v>-664486.607142857</v>
      </c>
      <c r="AK30" s="27" t="n">
        <f aca="false">-SUMPRODUCT((Investissements!$F$5:$F$17*12&gt;=AK3)*Investissements!$G$5:$G$17)*(1+Hypotheses!$F$60)-AK24*Hypotheses!$F$45/60</f>
        <v>-664486.607142857</v>
      </c>
      <c r="AL30" s="27" t="n">
        <f aca="false">-SUMPRODUCT((Investissements!$F$5:$F$17*12&gt;=AL3)*Investissements!$G$5:$G$17)*(1+Hypotheses!$F$60)-AL24*Hypotheses!$F$45/60</f>
        <v>-664486.607142857</v>
      </c>
      <c r="AM30" s="27" t="n">
        <f aca="false">-SUMPRODUCT((Investissements!$F$5:$F$17*12&gt;=AM3)*Investissements!$G$5:$G$17)*(1+Hypotheses!$F$60)-AM24*Hypotheses!$F$45/60</f>
        <v>-664486.607142857</v>
      </c>
      <c r="AN30" s="27" t="n">
        <f aca="false">-SUMPRODUCT((Investissements!$F$5:$F$17*12&gt;=AN3)*Investissements!$G$5:$G$17)*(1+Hypotheses!$F$60)-AN24*Hypotheses!$F$45/60</f>
        <v>-664486.607142857</v>
      </c>
      <c r="AO30" s="27" t="n">
        <f aca="false">-SUMPRODUCT((Investissements!$F$5:$F$17*12&gt;=AO3)*Investissements!$G$5:$G$17)*(1+Hypotheses!$F$60)-AO24*Hypotheses!$F$45/60</f>
        <v>-595875.496031746</v>
      </c>
      <c r="AP30" s="27" t="n">
        <f aca="false">-SUMPRODUCT((Investissements!$F$5:$F$17*12&gt;=AP3)*Investissements!$G$5:$G$17)*(1+Hypotheses!$F$60)-AP24*Hypotheses!$F$45/60</f>
        <v>-595875.496031746</v>
      </c>
      <c r="AQ30" s="27" t="n">
        <f aca="false">-SUMPRODUCT((Investissements!$F$5:$F$17*12&gt;=AQ3)*Investissements!$G$5:$G$17)*(1+Hypotheses!$F$60)-AQ24*Hypotheses!$F$45/60</f>
        <v>-595875.496031746</v>
      </c>
      <c r="AR30" s="27" t="n">
        <f aca="false">-SUMPRODUCT((Investissements!$F$5:$F$17*12&gt;=AR3)*Investissements!$G$5:$G$17)*(1+Hypotheses!$F$60)-AR24*Hypotheses!$F$45/60</f>
        <v>-595875.496031746</v>
      </c>
      <c r="AS30" s="27" t="n">
        <f aca="false">-SUMPRODUCT((Investissements!$F$5:$F$17*12&gt;=AS3)*Investissements!$G$5:$G$17)*(1+Hypotheses!$F$60)-AS24*Hypotheses!$F$45/60</f>
        <v>-595875.496031746</v>
      </c>
      <c r="AT30" s="27" t="n">
        <f aca="false">-SUMPRODUCT((Investissements!$F$5:$F$17*12&gt;=AT3)*Investissements!$G$5:$G$17)*(1+Hypotheses!$F$60)-AT24*Hypotheses!$F$45/60</f>
        <v>-595875.496031746</v>
      </c>
      <c r="AU30" s="27" t="n">
        <f aca="false">-SUMPRODUCT((Investissements!$F$5:$F$17*12&gt;=AU3)*Investissements!$G$5:$G$17)*(1+Hypotheses!$F$60)-AU24*Hypotheses!$F$45/60</f>
        <v>-595875.496031746</v>
      </c>
      <c r="AV30" s="27" t="n">
        <f aca="false">-SUMPRODUCT((Investissements!$F$5:$F$17*12&gt;=AV3)*Investissements!$G$5:$G$17)*(1+Hypotheses!$F$60)-AV24*Hypotheses!$F$45/60</f>
        <v>-595875.496031746</v>
      </c>
      <c r="AW30" s="27" t="n">
        <f aca="false">-SUMPRODUCT((Investissements!$F$5:$F$17*12&gt;=AW3)*Investissements!$G$5:$G$17)*(1+Hypotheses!$F$60)-AW24*Hypotheses!$F$45/60</f>
        <v>-595875.496031746</v>
      </c>
      <c r="AX30" s="27" t="n">
        <f aca="false">-SUMPRODUCT((Investissements!$F$5:$F$17*12&gt;=AX3)*Investissements!$G$5:$G$17)*(1+Hypotheses!$F$60)-AX24*Hypotheses!$F$45/60</f>
        <v>-595875.496031746</v>
      </c>
      <c r="AY30" s="27" t="n">
        <f aca="false">-SUMPRODUCT((Investissements!$F$5:$F$17*12&gt;=AY3)*Investissements!$G$5:$G$17)*(1+Hypotheses!$F$60)-AY24*Hypotheses!$F$45/60</f>
        <v>-595875.496031746</v>
      </c>
      <c r="AZ30" s="27" t="n">
        <f aca="false">-SUMPRODUCT((Investissements!$F$5:$F$17*12&gt;=AZ3)*Investissements!$G$5:$G$17)*(1+Hypotheses!$F$60)-AZ24*Hypotheses!$F$45/60</f>
        <v>-595875.496031746</v>
      </c>
      <c r="BA30" s="27" t="n">
        <f aca="false">-SUMPRODUCT((Investissements!$F$5:$F$17*12&gt;=BA3)*Investissements!$G$5:$G$17)*(1+Hypotheses!$F$60)-BA24*Hypotheses!$F$45/60</f>
        <v>-595875.496031746</v>
      </c>
      <c r="BB30" s="27" t="n">
        <f aca="false">-SUMPRODUCT((Investissements!$F$5:$F$17*12&gt;=BB3)*Investissements!$G$5:$G$17)*(1+Hypotheses!$F$60)-BB24*Hypotheses!$F$45/60</f>
        <v>-595875.496031746</v>
      </c>
      <c r="BC30" s="27" t="n">
        <f aca="false">-SUMPRODUCT((Investissements!$F$5:$F$17*12&gt;=BC3)*Investissements!$G$5:$G$17)*(1+Hypotheses!$F$60)-BC24*Hypotheses!$F$45/60</f>
        <v>-595875.496031746</v>
      </c>
      <c r="BD30" s="27" t="n">
        <f aca="false">-SUMPRODUCT((Investissements!$F$5:$F$17*12&gt;=BD3)*Investissements!$G$5:$G$17)*(1+Hypotheses!$F$60)-BD24*Hypotheses!$F$45/60</f>
        <v>-595875.496031746</v>
      </c>
      <c r="BE30" s="27" t="n">
        <f aca="false">-SUMPRODUCT((Investissements!$F$5:$F$17*12&gt;=BE3)*Investissements!$G$5:$G$17)*(1+Hypotheses!$F$60)-BE24*Hypotheses!$F$45/60</f>
        <v>-595875.496031746</v>
      </c>
      <c r="BF30" s="27" t="n">
        <f aca="false">-SUMPRODUCT((Investissements!$F$5:$F$17*12&gt;=BF3)*Investissements!$G$5:$G$17)*(1+Hypotheses!$F$60)-BF24*Hypotheses!$F$45/60</f>
        <v>-595875.496031746</v>
      </c>
      <c r="BG30" s="27" t="n">
        <f aca="false">-SUMPRODUCT((Investissements!$F$5:$F$17*12&gt;=BG3)*Investissements!$G$5:$G$17)*(1+Hypotheses!$F$60)-BG24*Hypotheses!$F$45/60</f>
        <v>-595875.496031746</v>
      </c>
      <c r="BH30" s="27" t="n">
        <f aca="false">-SUMPRODUCT((Investissements!$F$5:$F$17*12&gt;=BH3)*Investissements!$G$5:$G$17)*(1+Hypotheses!$F$60)-BH24*Hypotheses!$F$45/60</f>
        <v>-595875.496031746</v>
      </c>
      <c r="BI30" s="27" t="n">
        <f aca="false">-SUMPRODUCT((Investissements!$F$5:$F$17*12&gt;=BI3)*Investissements!$G$5:$G$17)*(1+Hypotheses!$F$60)-BI24*Hypotheses!$F$45/60</f>
        <v>-595875.496031746</v>
      </c>
      <c r="BJ30" s="27" t="n">
        <f aca="false">-SUMPRODUCT((Investissements!$F$5:$F$17*12&gt;=BJ3)*Investissements!$G$5:$G$17)*(1+Hypotheses!$F$60)-BJ24*Hypotheses!$F$45/60</f>
        <v>-595875.496031746</v>
      </c>
      <c r="BK30" s="27" t="n">
        <f aca="false">-SUMPRODUCT((Investissements!$F$5:$F$17*12&gt;=BK3)*Investissements!$G$5:$G$17)*(1+Hypotheses!$F$60)-BK24*Hypotheses!$F$45/60</f>
        <v>-595875.496031746</v>
      </c>
      <c r="BL30" s="27" t="n">
        <f aca="false">-SUMPRODUCT((Investissements!$F$5:$F$17*12&gt;=BL3)*Investissements!$G$5:$G$17)*(1+Hypotheses!$F$60)-BL24*Hypotheses!$F$45/60</f>
        <v>-595875.496031746</v>
      </c>
    </row>
    <row r="31" customFormat="false" ht="15" hidden="false" customHeight="false" outlineLevel="0" collapsed="false">
      <c r="B31" s="3" t="s">
        <v>285</v>
      </c>
      <c r="C31" s="2" t="s">
        <v>141</v>
      </c>
      <c r="D31" s="28" t="n">
        <f aca="false">D29</f>
        <v>-2500000</v>
      </c>
      <c r="E31" s="28" t="n">
        <f aca="false">E29+E30</f>
        <v>-827517.357142857</v>
      </c>
      <c r="F31" s="28" t="n">
        <f aca="false">F29+F30</f>
        <v>-433392.235285991</v>
      </c>
      <c r="G31" s="28" t="n">
        <f aca="false">G29+G30</f>
        <v>-34119.8793865707</v>
      </c>
      <c r="H31" s="28" t="n">
        <f aca="false">H29+H30</f>
        <v>370299.710555402</v>
      </c>
      <c r="I31" s="28" t="n">
        <f aca="false">I29+I30</f>
        <v>779866.534539928</v>
      </c>
      <c r="J31" s="28" t="n">
        <f aca="false">J29+J30</f>
        <v>1194580.59256701</v>
      </c>
      <c r="K31" s="28" t="n">
        <f aca="false">K29+K30</f>
        <v>1372441.88463664</v>
      </c>
      <c r="L31" s="28" t="n">
        <f aca="false">L29+L30</f>
        <v>1797450.41074883</v>
      </c>
      <c r="M31" s="28" t="n">
        <f aca="false">M29+M30</f>
        <v>2227606.17090356</v>
      </c>
      <c r="N31" s="28" t="n">
        <f aca="false">N29+N30</f>
        <v>2662909.16510086</v>
      </c>
      <c r="O31" s="28" t="n">
        <f aca="false">O29+O30</f>
        <v>3103359.3933407</v>
      </c>
      <c r="P31" s="28" t="n">
        <f aca="false">P29+P30</f>
        <v>3548956.8556231</v>
      </c>
      <c r="Q31" s="28" t="n">
        <f aca="false">Q29+Q30</f>
        <v>3586703.23860182</v>
      </c>
      <c r="R31" s="28" t="n">
        <f aca="false">R29+R30</f>
        <v>3624449.62158055</v>
      </c>
      <c r="S31" s="28" t="n">
        <f aca="false">S29+S30</f>
        <v>3662196.00455927</v>
      </c>
      <c r="T31" s="28" t="n">
        <f aca="false">T29+T30</f>
        <v>3699942.387538</v>
      </c>
      <c r="U31" s="28" t="n">
        <f aca="false">U29+U30</f>
        <v>3737688.77051672</v>
      </c>
      <c r="V31" s="28" t="n">
        <f aca="false">V29+V30</f>
        <v>3775435.15349544</v>
      </c>
      <c r="W31" s="28" t="n">
        <f aca="false">W29+W30</f>
        <v>3813181.53647416</v>
      </c>
      <c r="X31" s="28" t="n">
        <f aca="false">X29+X30</f>
        <v>4390011.23860182</v>
      </c>
      <c r="Y31" s="28" t="n">
        <f aca="false">Y29+Y30</f>
        <v>4635921.70668693</v>
      </c>
      <c r="Z31" s="28" t="n">
        <f aca="false">Z29+Z30</f>
        <v>4884191.32370821</v>
      </c>
      <c r="AA31" s="28" t="n">
        <f aca="false">AA29+AA30</f>
        <v>5134820.08966565</v>
      </c>
      <c r="AB31" s="28" t="n">
        <f aca="false">AB29+AB30</f>
        <v>5387808.00455927</v>
      </c>
      <c r="AC31" s="28" t="n">
        <f aca="false">AC29+AC30</f>
        <v>5643155.06838906</v>
      </c>
      <c r="AD31" s="28" t="n">
        <f aca="false">AD29+AD30</f>
        <v>5900861.28115502</v>
      </c>
      <c r="AE31" s="28" t="n">
        <f aca="false">AE29+AE30</f>
        <v>6160926.64285714</v>
      </c>
      <c r="AF31" s="28" t="n">
        <f aca="false">AF29+AF30</f>
        <v>6423351.15349544</v>
      </c>
      <c r="AG31" s="28" t="n">
        <f aca="false">AG29+AG30</f>
        <v>6688134.81306991</v>
      </c>
      <c r="AH31" s="28" t="n">
        <f aca="false">AH29+AH30</f>
        <v>6955277.62158055</v>
      </c>
      <c r="AI31" s="28" t="n">
        <f aca="false">AI29+AI30</f>
        <v>7224779.57902736</v>
      </c>
      <c r="AJ31" s="28" t="n">
        <f aca="false">AJ29+AJ30</f>
        <v>7496640.68541033</v>
      </c>
      <c r="AK31" s="28" t="n">
        <f aca="false">AK29+AK30</f>
        <v>7770860.94072948</v>
      </c>
      <c r="AL31" s="28" t="n">
        <f aca="false">AL29+AL30</f>
        <v>8047440.3449848</v>
      </c>
      <c r="AM31" s="28" t="n">
        <f aca="false">AM29+AM30</f>
        <v>8326378.89817629</v>
      </c>
      <c r="AN31" s="28" t="n">
        <f aca="false">AN29+AN30</f>
        <v>8607676.60030395</v>
      </c>
      <c r="AO31" s="28" t="n">
        <f aca="false">AO29+AO30</f>
        <v>8959944.56247889</v>
      </c>
      <c r="AP31" s="28" t="n">
        <f aca="false">AP29+AP30</f>
        <v>9245960.56247889</v>
      </c>
      <c r="AQ31" s="28" t="n">
        <f aca="false">AQ29+AQ30</f>
        <v>9534335.71141506</v>
      </c>
      <c r="AR31" s="28" t="n">
        <f aca="false">AR29+AR30</f>
        <v>9825070.0092874</v>
      </c>
      <c r="AS31" s="28" t="n">
        <f aca="false">AS29+AS30</f>
        <v>10118163.4560959</v>
      </c>
      <c r="AT31" s="28" t="n">
        <f aca="false">AT29+AT30</f>
        <v>10413616.0518406</v>
      </c>
      <c r="AU31" s="28" t="n">
        <f aca="false">AU29+AU30</f>
        <v>10711427.7965214</v>
      </c>
      <c r="AV31" s="28" t="n">
        <f aca="false">AV29+AV30</f>
        <v>11011598.6901385</v>
      </c>
      <c r="AW31" s="28" t="n">
        <f aca="false">AW29+AW30</f>
        <v>11087091.4560959</v>
      </c>
      <c r="AX31" s="28" t="n">
        <f aca="false">AX29+AX30</f>
        <v>11162584.2220534</v>
      </c>
      <c r="AY31" s="28" t="n">
        <f aca="false">AY29+AY30</f>
        <v>11238076.9880108</v>
      </c>
      <c r="AZ31" s="28" t="n">
        <f aca="false">AZ29+AZ30</f>
        <v>11313569.7539683</v>
      </c>
      <c r="BA31" s="28" t="n">
        <f aca="false">BA29+BA30</f>
        <v>11313569.7539683</v>
      </c>
      <c r="BB31" s="28" t="n">
        <f aca="false">BB29+BB30</f>
        <v>11313569.7539683</v>
      </c>
      <c r="BC31" s="28" t="n">
        <f aca="false">BC29+BC30</f>
        <v>11313569.7539683</v>
      </c>
      <c r="BD31" s="28" t="n">
        <f aca="false">BD29+BD30</f>
        <v>11313569.7539683</v>
      </c>
      <c r="BE31" s="28" t="n">
        <f aca="false">BE29+BE30</f>
        <v>11313569.7539683</v>
      </c>
      <c r="BF31" s="28" t="n">
        <f aca="false">BF29+BF30</f>
        <v>11313569.7539683</v>
      </c>
      <c r="BG31" s="28" t="n">
        <f aca="false">BG29+BG30</f>
        <v>11313569.7539683</v>
      </c>
      <c r="BH31" s="28" t="n">
        <f aca="false">BH29+BH30</f>
        <v>11313569.7539683</v>
      </c>
      <c r="BI31" s="28" t="n">
        <f aca="false">BI29+BI30</f>
        <v>11313569.7539683</v>
      </c>
      <c r="BJ31" s="28" t="n">
        <f aca="false">BJ29+BJ30</f>
        <v>11313569.7539683</v>
      </c>
      <c r="BK31" s="28" t="n">
        <f aca="false">BK29+BK30</f>
        <v>11313569.7539683</v>
      </c>
      <c r="BL31" s="28" t="n">
        <f aca="false">BL29+BL30</f>
        <v>11313569.7539683</v>
      </c>
    </row>
    <row r="32" customFormat="false" ht="15" hidden="false" customHeight="false" outlineLevel="0" collapsed="false">
      <c r="B32" s="9" t="s">
        <v>286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customFormat="false" ht="15" hidden="false" customHeight="false" outlineLevel="0" collapsed="false">
      <c r="B33" s="2" t="s">
        <v>287</v>
      </c>
      <c r="C33" s="2" t="s">
        <v>141</v>
      </c>
      <c r="D33" s="27" t="n">
        <f aca="false">0</f>
        <v>0</v>
      </c>
      <c r="E33" s="27" t="n">
        <f aca="false">E18*Hypotheses!$F$62/30</f>
        <v>1768000</v>
      </c>
      <c r="F33" s="27" t="n">
        <f aca="false">F18*Hypotheses!$F$62/30</f>
        <v>2263699.8065764</v>
      </c>
      <c r="G33" s="27" t="n">
        <f aca="false">G18*Hypotheses!$F$62/30</f>
        <v>2765193.03675048</v>
      </c>
      <c r="H33" s="27" t="n">
        <f aca="false">H18*Hypotheses!$F$62/30</f>
        <v>3272479.69052224</v>
      </c>
      <c r="I33" s="27" t="n">
        <f aca="false">I18*Hypotheses!$F$62/30</f>
        <v>3785559.76789168</v>
      </c>
      <c r="J33" s="27" t="n">
        <f aca="false">J18*Hypotheses!$F$62/30</f>
        <v>4304433.2688588</v>
      </c>
      <c r="K33" s="27" t="n">
        <f aca="false">K18*Hypotheses!$F$62/30</f>
        <v>4829100.1934236</v>
      </c>
      <c r="L33" s="27" t="n">
        <f aca="false">L18*Hypotheses!$F$62/30</f>
        <v>5359560.54158607</v>
      </c>
      <c r="M33" s="27" t="n">
        <f aca="false">M18*Hypotheses!$F$62/30</f>
        <v>5895814.31334623</v>
      </c>
      <c r="N33" s="27" t="n">
        <f aca="false">N18*Hypotheses!$F$62/30</f>
        <v>6437861.50870406</v>
      </c>
      <c r="O33" s="27" t="n">
        <f aca="false">O18*Hypotheses!$F$62/30</f>
        <v>6985702.12765958</v>
      </c>
      <c r="P33" s="27" t="n">
        <f aca="false">P18*Hypotheses!$F$62/30</f>
        <v>7539336.17021277</v>
      </c>
      <c r="Q33" s="27" t="n">
        <f aca="false">Q18*Hypotheses!$F$62/30</f>
        <v>7581821.27659575</v>
      </c>
      <c r="R33" s="27" t="n">
        <f aca="false">R18*Hypotheses!$F$62/30</f>
        <v>7624306.38297872</v>
      </c>
      <c r="S33" s="27" t="n">
        <f aca="false">S18*Hypotheses!$F$62/30</f>
        <v>7666791.4893617</v>
      </c>
      <c r="T33" s="27" t="n">
        <f aca="false">T18*Hypotheses!$F$62/30</f>
        <v>7709276.59574468</v>
      </c>
      <c r="U33" s="27" t="n">
        <f aca="false">U18*Hypotheses!$F$62/30</f>
        <v>7751761.70212766</v>
      </c>
      <c r="V33" s="27" t="n">
        <f aca="false">V18*Hypotheses!$F$62/30</f>
        <v>7794246.80851064</v>
      </c>
      <c r="W33" s="27" t="n">
        <f aca="false">W18*Hypotheses!$F$62/30</f>
        <v>7836731.91489362</v>
      </c>
      <c r="X33" s="27" t="n">
        <f aca="false">X18*Hypotheses!$F$62/30</f>
        <v>9849021.27659575</v>
      </c>
      <c r="Y33" s="27" t="n">
        <f aca="false">Y18*Hypotheses!$F$62/30</f>
        <v>10149680.8510638</v>
      </c>
      <c r="Z33" s="27" t="n">
        <f aca="false">Z18*Hypotheses!$F$62/30</f>
        <v>10452995.7446809</v>
      </c>
      <c r="AA33" s="27" t="n">
        <f aca="false">AA18*Hypotheses!$F$62/30</f>
        <v>10758965.9574468</v>
      </c>
      <c r="AB33" s="27" t="n">
        <f aca="false">AB18*Hypotheses!$F$62/30</f>
        <v>11067591.4893617</v>
      </c>
      <c r="AC33" s="27" t="n">
        <f aca="false">AC18*Hypotheses!$F$62/30</f>
        <v>11378872.3404255</v>
      </c>
      <c r="AD33" s="27" t="n">
        <f aca="false">AD18*Hypotheses!$F$62/30</f>
        <v>11692808.5106383</v>
      </c>
      <c r="AE33" s="27" t="n">
        <f aca="false">AE18*Hypotheses!$F$62/30</f>
        <v>12009400</v>
      </c>
      <c r="AF33" s="27" t="n">
        <f aca="false">AF18*Hypotheses!$F$62/30</f>
        <v>12328646.8085106</v>
      </c>
      <c r="AG33" s="27" t="n">
        <f aca="false">AG18*Hypotheses!$F$62/30</f>
        <v>12650548.9361702</v>
      </c>
      <c r="AH33" s="27" t="n">
        <f aca="false">AH18*Hypotheses!$F$62/30</f>
        <v>12975106.3829787</v>
      </c>
      <c r="AI33" s="27" t="n">
        <f aca="false">AI18*Hypotheses!$F$62/30</f>
        <v>13302319.1489362</v>
      </c>
      <c r="AJ33" s="27" t="n">
        <f aca="false">AJ18*Hypotheses!$F$62/30</f>
        <v>13632187.2340426</v>
      </c>
      <c r="AK33" s="27" t="n">
        <f aca="false">AK18*Hypotheses!$F$62/30</f>
        <v>13964710.6382979</v>
      </c>
      <c r="AL33" s="27" t="n">
        <f aca="false">AL18*Hypotheses!$F$62/30</f>
        <v>14299889.3617021</v>
      </c>
      <c r="AM33" s="27" t="n">
        <f aca="false">AM18*Hypotheses!$F$62/30</f>
        <v>14637723.4042553</v>
      </c>
      <c r="AN33" s="27" t="n">
        <f aca="false">AN18*Hypotheses!$F$62/30</f>
        <v>14978212.7659574</v>
      </c>
      <c r="AO33" s="27" t="n">
        <f aca="false">AO18*Hypotheses!$F$62/30</f>
        <v>15321357.4468085</v>
      </c>
      <c r="AP33" s="27" t="n">
        <f aca="false">AP18*Hypotheses!$F$62/30</f>
        <v>15667157.4468085</v>
      </c>
      <c r="AQ33" s="27" t="n">
        <f aca="false">AQ18*Hypotheses!$F$62/30</f>
        <v>16015612.7659574</v>
      </c>
      <c r="AR33" s="27" t="n">
        <f aca="false">AR18*Hypotheses!$F$62/30</f>
        <v>16366723.4042553</v>
      </c>
      <c r="AS33" s="27" t="n">
        <f aca="false">AS18*Hypotheses!$F$62/30</f>
        <v>16720489.3617021</v>
      </c>
      <c r="AT33" s="27" t="n">
        <f aca="false">AT18*Hypotheses!$F$62/30</f>
        <v>17076910.6382979</v>
      </c>
      <c r="AU33" s="27" t="n">
        <f aca="false">AU18*Hypotheses!$F$62/30</f>
        <v>17435987.2340426</v>
      </c>
      <c r="AV33" s="27" t="n">
        <f aca="false">AV18*Hypotheses!$F$62/30</f>
        <v>17797719.1489362</v>
      </c>
      <c r="AW33" s="27" t="n">
        <f aca="false">AW18*Hypotheses!$F$62/30</f>
        <v>17882689.3617021</v>
      </c>
      <c r="AX33" s="27" t="n">
        <f aca="false">AX18*Hypotheses!$F$62/30</f>
        <v>17967659.5744681</v>
      </c>
      <c r="AY33" s="27" t="n">
        <f aca="false">AY18*Hypotheses!$F$62/30</f>
        <v>18052629.787234</v>
      </c>
      <c r="AZ33" s="27" t="n">
        <f aca="false">AZ18*Hypotheses!$F$62/30</f>
        <v>18137600</v>
      </c>
      <c r="BA33" s="27" t="n">
        <f aca="false">BA18*Hypotheses!$F$62/30</f>
        <v>18137600</v>
      </c>
      <c r="BB33" s="27" t="n">
        <f aca="false">BB18*Hypotheses!$F$62/30</f>
        <v>18137600</v>
      </c>
      <c r="BC33" s="27" t="n">
        <f aca="false">BC18*Hypotheses!$F$62/30</f>
        <v>18137600</v>
      </c>
      <c r="BD33" s="27" t="n">
        <f aca="false">BD18*Hypotheses!$F$62/30</f>
        <v>18137600</v>
      </c>
      <c r="BE33" s="27" t="n">
        <f aca="false">BE18*Hypotheses!$F$62/30</f>
        <v>18137600</v>
      </c>
      <c r="BF33" s="27" t="n">
        <f aca="false">BF18*Hypotheses!$F$62/30</f>
        <v>18137600</v>
      </c>
      <c r="BG33" s="27" t="n">
        <f aca="false">BG18*Hypotheses!$F$62/30</f>
        <v>18137600</v>
      </c>
      <c r="BH33" s="27" t="n">
        <f aca="false">BH18*Hypotheses!$F$62/30</f>
        <v>18137600</v>
      </c>
      <c r="BI33" s="27" t="n">
        <f aca="false">BI18*Hypotheses!$F$62/30</f>
        <v>18137600</v>
      </c>
      <c r="BJ33" s="27" t="n">
        <f aca="false">BJ18*Hypotheses!$F$62/30</f>
        <v>18137600</v>
      </c>
      <c r="BK33" s="27" t="n">
        <f aca="false">BK18*Hypotheses!$F$62/30</f>
        <v>18137600</v>
      </c>
      <c r="BL33" s="27" t="n">
        <f aca="false">BL18*Hypotheses!$F$62/30</f>
        <v>18137600</v>
      </c>
    </row>
    <row r="34" customFormat="false" ht="15" hidden="false" customHeight="false" outlineLevel="0" collapsed="false">
      <c r="B34" s="2" t="s">
        <v>288</v>
      </c>
      <c r="C34" s="2" t="s">
        <v>141</v>
      </c>
      <c r="D34" s="27" t="n">
        <f aca="false">0</f>
        <v>0</v>
      </c>
      <c r="E34" s="27" t="n">
        <f aca="false">-E19*Hypotheses!$F$63/30</f>
        <v>366912</v>
      </c>
      <c r="F34" s="27" t="n">
        <f aca="false">-F19*Hypotheses!$F$63/30</f>
        <v>466978.909090909</v>
      </c>
      <c r="G34" s="27" t="n">
        <f aca="false">-G19*Hypotheses!$F$63/30</f>
        <v>567045.818181818</v>
      </c>
      <c r="H34" s="27" t="n">
        <f aca="false">-H19*Hypotheses!$F$63/30</f>
        <v>667112.727272727</v>
      </c>
      <c r="I34" s="27" t="n">
        <f aca="false">-I19*Hypotheses!$F$63/30</f>
        <v>767179.636363636</v>
      </c>
      <c r="J34" s="27" t="n">
        <f aca="false">-J19*Hypotheses!$F$63/30</f>
        <v>867246.545454545</v>
      </c>
      <c r="K34" s="27" t="n">
        <f aca="false">-K19*Hypotheses!$F$63/30</f>
        <v>967313.454545455</v>
      </c>
      <c r="L34" s="27" t="n">
        <f aca="false">-L19*Hypotheses!$F$63/30</f>
        <v>1067380.36363636</v>
      </c>
      <c r="M34" s="27" t="n">
        <f aca="false">-M19*Hypotheses!$F$63/30</f>
        <v>1167447.27272727</v>
      </c>
      <c r="N34" s="27" t="n">
        <f aca="false">-N19*Hypotheses!$F$63/30</f>
        <v>1267514.18181818</v>
      </c>
      <c r="O34" s="27" t="n">
        <f aca="false">-O19*Hypotheses!$F$63/30</f>
        <v>1367581.09090909</v>
      </c>
      <c r="P34" s="27" t="n">
        <f aca="false">-P19*Hypotheses!$F$63/30</f>
        <v>1467648</v>
      </c>
      <c r="Q34" s="27" t="n">
        <f aca="false">-Q19*Hypotheses!$F$63/30</f>
        <v>1467648</v>
      </c>
      <c r="R34" s="27" t="n">
        <f aca="false">-R19*Hypotheses!$F$63/30</f>
        <v>1467648</v>
      </c>
      <c r="S34" s="27" t="n">
        <f aca="false">-S19*Hypotheses!$F$63/30</f>
        <v>1467648</v>
      </c>
      <c r="T34" s="27" t="n">
        <f aca="false">-T19*Hypotheses!$F$63/30</f>
        <v>1467648</v>
      </c>
      <c r="U34" s="27" t="n">
        <f aca="false">-U19*Hypotheses!$F$63/30</f>
        <v>1467648</v>
      </c>
      <c r="V34" s="27" t="n">
        <f aca="false">-V19*Hypotheses!$F$63/30</f>
        <v>1467648</v>
      </c>
      <c r="W34" s="27" t="n">
        <f aca="false">-W19*Hypotheses!$F$63/30</f>
        <v>1467648</v>
      </c>
      <c r="X34" s="27" t="n">
        <f aca="false">-X19*Hypotheses!$F$63/30</f>
        <v>1834560</v>
      </c>
      <c r="Y34" s="27" t="n">
        <f aca="false">-Y19*Hypotheses!$F$63/30</f>
        <v>1880424</v>
      </c>
      <c r="Z34" s="27" t="n">
        <f aca="false">-Z19*Hypotheses!$F$63/30</f>
        <v>1926288</v>
      </c>
      <c r="AA34" s="27" t="n">
        <f aca="false">-AA19*Hypotheses!$F$63/30</f>
        <v>1972152</v>
      </c>
      <c r="AB34" s="27" t="n">
        <f aca="false">-AB19*Hypotheses!$F$63/30</f>
        <v>2018016</v>
      </c>
      <c r="AC34" s="27" t="n">
        <f aca="false">-AC19*Hypotheses!$F$63/30</f>
        <v>2063880</v>
      </c>
      <c r="AD34" s="27" t="n">
        <f aca="false">-AD19*Hypotheses!$F$63/30</f>
        <v>2109744</v>
      </c>
      <c r="AE34" s="27" t="n">
        <f aca="false">-AE19*Hypotheses!$F$63/30</f>
        <v>2155608</v>
      </c>
      <c r="AF34" s="27" t="n">
        <f aca="false">-AF19*Hypotheses!$F$63/30</f>
        <v>2201472</v>
      </c>
      <c r="AG34" s="27" t="n">
        <f aca="false">-AG19*Hypotheses!$F$63/30</f>
        <v>2247336</v>
      </c>
      <c r="AH34" s="27" t="n">
        <f aca="false">-AH19*Hypotheses!$F$63/30</f>
        <v>2293200</v>
      </c>
      <c r="AI34" s="27" t="n">
        <f aca="false">-AI19*Hypotheses!$F$63/30</f>
        <v>2339064</v>
      </c>
      <c r="AJ34" s="27" t="n">
        <f aca="false">-AJ19*Hypotheses!$F$63/30</f>
        <v>2384928</v>
      </c>
      <c r="AK34" s="27" t="n">
        <f aca="false">-AK19*Hypotheses!$F$63/30</f>
        <v>2430792</v>
      </c>
      <c r="AL34" s="27" t="n">
        <f aca="false">-AL19*Hypotheses!$F$63/30</f>
        <v>2476656</v>
      </c>
      <c r="AM34" s="27" t="n">
        <f aca="false">-AM19*Hypotheses!$F$63/30</f>
        <v>2522520</v>
      </c>
      <c r="AN34" s="27" t="n">
        <f aca="false">-AN19*Hypotheses!$F$63/30</f>
        <v>2568384</v>
      </c>
      <c r="AO34" s="27" t="n">
        <f aca="false">-AO19*Hypotheses!$F$63/30</f>
        <v>2614248</v>
      </c>
      <c r="AP34" s="27" t="n">
        <f aca="false">-AP19*Hypotheses!$F$63/30</f>
        <v>2660112</v>
      </c>
      <c r="AQ34" s="27" t="n">
        <f aca="false">-AQ19*Hypotheses!$F$63/30</f>
        <v>2705976</v>
      </c>
      <c r="AR34" s="27" t="n">
        <f aca="false">-AR19*Hypotheses!$F$63/30</f>
        <v>2751840</v>
      </c>
      <c r="AS34" s="27" t="n">
        <f aca="false">-AS19*Hypotheses!$F$63/30</f>
        <v>2797704</v>
      </c>
      <c r="AT34" s="27" t="n">
        <f aca="false">-AT19*Hypotheses!$F$63/30</f>
        <v>2843568</v>
      </c>
      <c r="AU34" s="27" t="n">
        <f aca="false">-AU19*Hypotheses!$F$63/30</f>
        <v>2889432</v>
      </c>
      <c r="AV34" s="27" t="n">
        <f aca="false">-AV19*Hypotheses!$F$63/30</f>
        <v>2935296</v>
      </c>
      <c r="AW34" s="27" t="n">
        <f aca="false">-AW19*Hypotheses!$F$63/30</f>
        <v>2935296</v>
      </c>
      <c r="AX34" s="27" t="n">
        <f aca="false">-AX19*Hypotheses!$F$63/30</f>
        <v>2935296</v>
      </c>
      <c r="AY34" s="27" t="n">
        <f aca="false">-AY19*Hypotheses!$F$63/30</f>
        <v>2935296</v>
      </c>
      <c r="AZ34" s="27" t="n">
        <f aca="false">-AZ19*Hypotheses!$F$63/30</f>
        <v>2935296</v>
      </c>
      <c r="BA34" s="27" t="n">
        <f aca="false">-BA19*Hypotheses!$F$63/30</f>
        <v>2935296</v>
      </c>
      <c r="BB34" s="27" t="n">
        <f aca="false">-BB19*Hypotheses!$F$63/30</f>
        <v>2935296</v>
      </c>
      <c r="BC34" s="27" t="n">
        <f aca="false">-BC19*Hypotheses!$F$63/30</f>
        <v>2935296</v>
      </c>
      <c r="BD34" s="27" t="n">
        <f aca="false">-BD19*Hypotheses!$F$63/30</f>
        <v>2935296</v>
      </c>
      <c r="BE34" s="27" t="n">
        <f aca="false">-BE19*Hypotheses!$F$63/30</f>
        <v>2935296</v>
      </c>
      <c r="BF34" s="27" t="n">
        <f aca="false">-BF19*Hypotheses!$F$63/30</f>
        <v>2935296</v>
      </c>
      <c r="BG34" s="27" t="n">
        <f aca="false">-BG19*Hypotheses!$F$63/30</f>
        <v>2935296</v>
      </c>
      <c r="BH34" s="27" t="n">
        <f aca="false">-BH19*Hypotheses!$F$63/30</f>
        <v>2935296</v>
      </c>
      <c r="BI34" s="27" t="n">
        <f aca="false">-BI19*Hypotheses!$F$63/30</f>
        <v>2935296</v>
      </c>
      <c r="BJ34" s="27" t="n">
        <f aca="false">-BJ19*Hypotheses!$F$63/30</f>
        <v>2935296</v>
      </c>
      <c r="BK34" s="27" t="n">
        <f aca="false">-BK19*Hypotheses!$F$63/30</f>
        <v>2935296</v>
      </c>
      <c r="BL34" s="27" t="n">
        <f aca="false">-BL19*Hypotheses!$F$63/30</f>
        <v>2935296</v>
      </c>
    </row>
    <row r="35" customFormat="false" ht="15" hidden="false" customHeight="false" outlineLevel="0" collapsed="false">
      <c r="B35" s="2" t="s">
        <v>289</v>
      </c>
      <c r="C35" s="2" t="s">
        <v>141</v>
      </c>
      <c r="D35" s="27" t="n">
        <f aca="false">D33-D34</f>
        <v>0</v>
      </c>
      <c r="E35" s="27" t="n">
        <f aca="false">E33-E34</f>
        <v>1401088</v>
      </c>
      <c r="F35" s="27" t="n">
        <f aca="false">F33-F34</f>
        <v>1796720.89748549</v>
      </c>
      <c r="G35" s="27" t="n">
        <f aca="false">G33-G34</f>
        <v>2198147.21856867</v>
      </c>
      <c r="H35" s="27" t="n">
        <f aca="false">H33-H34</f>
        <v>2605366.96324952</v>
      </c>
      <c r="I35" s="27" t="n">
        <f aca="false">I33-I34</f>
        <v>3018380.13152805</v>
      </c>
      <c r="J35" s="27" t="n">
        <f aca="false">J33-J34</f>
        <v>3437186.72340426</v>
      </c>
      <c r="K35" s="27" t="n">
        <f aca="false">K33-K34</f>
        <v>3861786.73887814</v>
      </c>
      <c r="L35" s="27" t="n">
        <f aca="false">L33-L34</f>
        <v>4292180.17794971</v>
      </c>
      <c r="M35" s="27" t="n">
        <f aca="false">M33-M34</f>
        <v>4728367.04061895</v>
      </c>
      <c r="N35" s="27" t="n">
        <f aca="false">N33-N34</f>
        <v>5170347.32688588</v>
      </c>
      <c r="O35" s="27" t="n">
        <f aca="false">O33-O34</f>
        <v>5618121.03675048</v>
      </c>
      <c r="P35" s="27" t="n">
        <f aca="false">P33-P34</f>
        <v>6071688.17021277</v>
      </c>
      <c r="Q35" s="27" t="n">
        <f aca="false">Q33-Q34</f>
        <v>6114173.27659575</v>
      </c>
      <c r="R35" s="27" t="n">
        <f aca="false">R33-R34</f>
        <v>6156658.38297872</v>
      </c>
      <c r="S35" s="27" t="n">
        <f aca="false">S33-S34</f>
        <v>6199143.4893617</v>
      </c>
      <c r="T35" s="27" t="n">
        <f aca="false">T33-T34</f>
        <v>6241628.59574468</v>
      </c>
      <c r="U35" s="27" t="n">
        <f aca="false">U33-U34</f>
        <v>6284113.70212766</v>
      </c>
      <c r="V35" s="27" t="n">
        <f aca="false">V33-V34</f>
        <v>6326598.80851064</v>
      </c>
      <c r="W35" s="27" t="n">
        <f aca="false">W33-W34</f>
        <v>6369083.91489362</v>
      </c>
      <c r="X35" s="27" t="n">
        <f aca="false">X33-X34</f>
        <v>8014461.27659575</v>
      </c>
      <c r="Y35" s="27" t="n">
        <f aca="false">Y33-Y34</f>
        <v>8269256.85106383</v>
      </c>
      <c r="Z35" s="27" t="n">
        <f aca="false">Z33-Z34</f>
        <v>8526707.74468085</v>
      </c>
      <c r="AA35" s="27" t="n">
        <f aca="false">AA33-AA34</f>
        <v>8786813.95744681</v>
      </c>
      <c r="AB35" s="27" t="n">
        <f aca="false">AB33-AB34</f>
        <v>9049575.4893617</v>
      </c>
      <c r="AC35" s="27" t="n">
        <f aca="false">AC33-AC34</f>
        <v>9314992.34042553</v>
      </c>
      <c r="AD35" s="27" t="n">
        <f aca="false">AD33-AD34</f>
        <v>9583064.5106383</v>
      </c>
      <c r="AE35" s="27" t="n">
        <f aca="false">AE33-AE34</f>
        <v>9853792</v>
      </c>
      <c r="AF35" s="27" t="n">
        <f aca="false">AF33-AF34</f>
        <v>10127174.8085106</v>
      </c>
      <c r="AG35" s="27" t="n">
        <f aca="false">AG33-AG34</f>
        <v>10403212.9361702</v>
      </c>
      <c r="AH35" s="27" t="n">
        <f aca="false">AH33-AH34</f>
        <v>10681906.3829787</v>
      </c>
      <c r="AI35" s="27" t="n">
        <f aca="false">AI33-AI34</f>
        <v>10963255.1489362</v>
      </c>
      <c r="AJ35" s="27" t="n">
        <f aca="false">AJ33-AJ34</f>
        <v>11247259.2340426</v>
      </c>
      <c r="AK35" s="27" t="n">
        <f aca="false">AK33-AK34</f>
        <v>11533918.6382979</v>
      </c>
      <c r="AL35" s="27" t="n">
        <f aca="false">AL33-AL34</f>
        <v>11823233.3617021</v>
      </c>
      <c r="AM35" s="27" t="n">
        <f aca="false">AM33-AM34</f>
        <v>12115203.4042553</v>
      </c>
      <c r="AN35" s="27" t="n">
        <f aca="false">AN33-AN34</f>
        <v>12409828.7659574</v>
      </c>
      <c r="AO35" s="27" t="n">
        <f aca="false">AO33-AO34</f>
        <v>12707109.4468085</v>
      </c>
      <c r="AP35" s="27" t="n">
        <f aca="false">AP33-AP34</f>
        <v>13007045.4468085</v>
      </c>
      <c r="AQ35" s="27" t="n">
        <f aca="false">AQ33-AQ34</f>
        <v>13309636.7659574</v>
      </c>
      <c r="AR35" s="27" t="n">
        <f aca="false">AR33-AR34</f>
        <v>13614883.4042553</v>
      </c>
      <c r="AS35" s="27" t="n">
        <f aca="false">AS33-AS34</f>
        <v>13922785.3617021</v>
      </c>
      <c r="AT35" s="27" t="n">
        <f aca="false">AT33-AT34</f>
        <v>14233342.6382979</v>
      </c>
      <c r="AU35" s="27" t="n">
        <f aca="false">AU33-AU34</f>
        <v>14546555.2340426</v>
      </c>
      <c r="AV35" s="27" t="n">
        <f aca="false">AV33-AV34</f>
        <v>14862423.1489362</v>
      </c>
      <c r="AW35" s="27" t="n">
        <f aca="false">AW33-AW34</f>
        <v>14947393.3617021</v>
      </c>
      <c r="AX35" s="27" t="n">
        <f aca="false">AX33-AX34</f>
        <v>15032363.5744681</v>
      </c>
      <c r="AY35" s="27" t="n">
        <f aca="false">AY33-AY34</f>
        <v>15117333.787234</v>
      </c>
      <c r="AZ35" s="27" t="n">
        <f aca="false">AZ33-AZ34</f>
        <v>15202304</v>
      </c>
      <c r="BA35" s="27" t="n">
        <f aca="false">BA33-BA34</f>
        <v>15202304</v>
      </c>
      <c r="BB35" s="27" t="n">
        <f aca="false">BB33-BB34</f>
        <v>15202304</v>
      </c>
      <c r="BC35" s="27" t="n">
        <f aca="false">BC33-BC34</f>
        <v>15202304</v>
      </c>
      <c r="BD35" s="27" t="n">
        <f aca="false">BD33-BD34</f>
        <v>15202304</v>
      </c>
      <c r="BE35" s="27" t="n">
        <f aca="false">BE33-BE34</f>
        <v>15202304</v>
      </c>
      <c r="BF35" s="27" t="n">
        <f aca="false">BF33-BF34</f>
        <v>15202304</v>
      </c>
      <c r="BG35" s="27" t="n">
        <f aca="false">BG33-BG34</f>
        <v>15202304</v>
      </c>
      <c r="BH35" s="27" t="n">
        <f aca="false">BH33-BH34</f>
        <v>15202304</v>
      </c>
      <c r="BI35" s="27" t="n">
        <f aca="false">BI33-BI34</f>
        <v>15202304</v>
      </c>
      <c r="BJ35" s="27" t="n">
        <f aca="false">BJ33-BJ34</f>
        <v>15202304</v>
      </c>
      <c r="BK35" s="27" t="n">
        <f aca="false">BK33-BK34</f>
        <v>15202304</v>
      </c>
      <c r="BL35" s="27" t="n">
        <f aca="false">BL33-BL34</f>
        <v>15202304</v>
      </c>
    </row>
    <row r="36" customFormat="false" ht="15" hidden="false" customHeight="false" outlineLevel="0" collapsed="false">
      <c r="B36" s="2" t="s">
        <v>290</v>
      </c>
      <c r="C36" s="2" t="s">
        <v>141</v>
      </c>
      <c r="E36" s="27" t="n">
        <f aca="false">-(E35-D35)</f>
        <v>-1401088</v>
      </c>
      <c r="F36" s="27" t="n">
        <f aca="false">-(F35-E35)</f>
        <v>-395632.897485493</v>
      </c>
      <c r="G36" s="27" t="n">
        <f aca="false">-(G35-F35)</f>
        <v>-401426.321083173</v>
      </c>
      <c r="H36" s="27" t="n">
        <f aca="false">-(H35-G35)</f>
        <v>-407219.744680851</v>
      </c>
      <c r="I36" s="27" t="n">
        <f aca="false">-(I35-H35)</f>
        <v>-413013.16827853</v>
      </c>
      <c r="J36" s="27" t="n">
        <f aca="false">-(J35-I35)</f>
        <v>-418806.591876209</v>
      </c>
      <c r="K36" s="27" t="n">
        <f aca="false">-(K35-J35)</f>
        <v>-424600.015473888</v>
      </c>
      <c r="L36" s="27" t="n">
        <f aca="false">-(L35-K35)</f>
        <v>-430393.439071566</v>
      </c>
      <c r="M36" s="27" t="n">
        <f aca="false">-(M35-L35)</f>
        <v>-436186.862669244</v>
      </c>
      <c r="N36" s="27" t="n">
        <f aca="false">-(N35-M35)</f>
        <v>-441980.286266927</v>
      </c>
      <c r="O36" s="27" t="n">
        <f aca="false">-(O35-N35)</f>
        <v>-447773.709864603</v>
      </c>
      <c r="P36" s="27" t="n">
        <f aca="false">-(P35-O35)</f>
        <v>-453567.133462282</v>
      </c>
      <c r="Q36" s="27" t="n">
        <f aca="false">-(Q35-P35)</f>
        <v>-42485.1063829791</v>
      </c>
      <c r="R36" s="27" t="n">
        <f aca="false">-(R35-Q35)</f>
        <v>-42485.1063829772</v>
      </c>
      <c r="S36" s="27" t="n">
        <f aca="false">-(S35-R35)</f>
        <v>-42485.1063829791</v>
      </c>
      <c r="T36" s="27" t="n">
        <f aca="false">-(T35-S35)</f>
        <v>-42485.1063829809</v>
      </c>
      <c r="U36" s="27" t="n">
        <f aca="false">-(U35-T35)</f>
        <v>-42485.1063829772</v>
      </c>
      <c r="V36" s="27" t="n">
        <f aca="false">-(V35-U35)</f>
        <v>-42485.10638298</v>
      </c>
      <c r="W36" s="27" t="n">
        <f aca="false">-(W35-V35)</f>
        <v>-42485.1063829772</v>
      </c>
      <c r="X36" s="27" t="n">
        <f aca="false">-(X35-W35)</f>
        <v>-1645377.36170213</v>
      </c>
      <c r="Y36" s="27" t="n">
        <f aca="false">-(Y35-X35)</f>
        <v>-254795.574468086</v>
      </c>
      <c r="Z36" s="27" t="n">
        <f aca="false">-(Z35-Y35)</f>
        <v>-257450.893617019</v>
      </c>
      <c r="AA36" s="27" t="n">
        <f aca="false">-(AA35-Z35)</f>
        <v>-260106.21276596</v>
      </c>
      <c r="AB36" s="27" t="n">
        <f aca="false">-(AB35-AA35)</f>
        <v>-262761.531914892</v>
      </c>
      <c r="AC36" s="27" t="n">
        <f aca="false">-(AC35-AB35)</f>
        <v>-265416.851063831</v>
      </c>
      <c r="AD36" s="27" t="n">
        <f aca="false">-(AD35-AC35)</f>
        <v>-268072.170212766</v>
      </c>
      <c r="AE36" s="27" t="n">
        <f aca="false">-(AE35-AD35)</f>
        <v>-270727.489361702</v>
      </c>
      <c r="AF36" s="27" t="n">
        <f aca="false">-(AF35-AE35)</f>
        <v>-273382.808510639</v>
      </c>
      <c r="AG36" s="27" t="n">
        <f aca="false">-(AG35-AF35)</f>
        <v>-276038.127659574</v>
      </c>
      <c r="AH36" s="27" t="n">
        <f aca="false">-(AH35-AG35)</f>
        <v>-278693.446808508</v>
      </c>
      <c r="AI36" s="27" t="n">
        <f aca="false">-(AI35-AH35)</f>
        <v>-281348.765957451</v>
      </c>
      <c r="AJ36" s="27" t="n">
        <f aca="false">-(AJ35-AI35)</f>
        <v>-284004.08510638</v>
      </c>
      <c r="AK36" s="27" t="n">
        <f aca="false">-(AK35-AJ35)</f>
        <v>-286659.404255321</v>
      </c>
      <c r="AL36" s="27" t="n">
        <f aca="false">-(AL35-AK35)</f>
        <v>-289314.723404255</v>
      </c>
      <c r="AM36" s="27" t="n">
        <f aca="false">-(AM35-AL35)</f>
        <v>-291970.042553192</v>
      </c>
      <c r="AN36" s="27" t="n">
        <f aca="false">-(AN35-AM35)</f>
        <v>-294625.361702127</v>
      </c>
      <c r="AO36" s="27" t="n">
        <f aca="false">-(AO35-AN35)</f>
        <v>-297280.680851063</v>
      </c>
      <c r="AP36" s="27" t="n">
        <f aca="false">-(AP35-AO35)</f>
        <v>-299936</v>
      </c>
      <c r="AQ36" s="27" t="n">
        <f aca="false">-(AQ35-AP35)</f>
        <v>-302591.319148935</v>
      </c>
      <c r="AR36" s="27" t="n">
        <f aca="false">-(AR35-AQ35)</f>
        <v>-305246.638297875</v>
      </c>
      <c r="AS36" s="27" t="n">
        <f aca="false">-(AS35-AR35)</f>
        <v>-307901.957446808</v>
      </c>
      <c r="AT36" s="27" t="n">
        <f aca="false">-(AT35-AS35)</f>
        <v>-310557.276595743</v>
      </c>
      <c r="AU36" s="27" t="n">
        <f aca="false">-(AU35-AT35)</f>
        <v>-313212.595744681</v>
      </c>
      <c r="AV36" s="27" t="n">
        <f aca="false">-(AV35-AU35)</f>
        <v>-315867.91489362</v>
      </c>
      <c r="AW36" s="27" t="n">
        <f aca="false">-(AW35-AV35)</f>
        <v>-84970.2127659544</v>
      </c>
      <c r="AX36" s="27" t="n">
        <f aca="false">-(AX35-AW35)</f>
        <v>-84970.2127659582</v>
      </c>
      <c r="AY36" s="27" t="n">
        <f aca="false">-(AY35-AX35)</f>
        <v>-84970.2127659582</v>
      </c>
      <c r="AZ36" s="27" t="n">
        <f aca="false">-(AZ35-AY35)</f>
        <v>-84970.2127659582</v>
      </c>
      <c r="BA36" s="27" t="n">
        <f aca="false">-(BA35-AZ35)</f>
        <v>-0</v>
      </c>
      <c r="BB36" s="27" t="n">
        <f aca="false">-(BB35-BA35)</f>
        <v>-0</v>
      </c>
      <c r="BC36" s="27" t="n">
        <f aca="false">-(BC35-BB35)</f>
        <v>-0</v>
      </c>
      <c r="BD36" s="27" t="n">
        <f aca="false">-(BD35-BC35)</f>
        <v>-0</v>
      </c>
      <c r="BE36" s="27" t="n">
        <f aca="false">-(BE35-BD35)</f>
        <v>-0</v>
      </c>
      <c r="BF36" s="27" t="n">
        <f aca="false">-(BF35-BE35)</f>
        <v>-0</v>
      </c>
      <c r="BG36" s="27" t="n">
        <f aca="false">-(BG35-BF35)</f>
        <v>-0</v>
      </c>
      <c r="BH36" s="27" t="n">
        <f aca="false">-(BH35-BG35)</f>
        <v>-0</v>
      </c>
      <c r="BI36" s="27" t="n">
        <f aca="false">-(BI35-BH35)</f>
        <v>-0</v>
      </c>
      <c r="BJ36" s="27" t="n">
        <f aca="false">-(BJ35-BI35)</f>
        <v>-0</v>
      </c>
      <c r="BK36" s="27" t="n">
        <f aca="false">-(BK35-BJ35)</f>
        <v>-0</v>
      </c>
      <c r="BL36" s="27" t="n">
        <f aca="false">-(BL35-BK35)</f>
        <v>-0</v>
      </c>
    </row>
    <row r="37" customFormat="false" ht="15" hidden="false" customHeight="false" outlineLevel="0" collapsed="false">
      <c r="B37" s="2" t="s">
        <v>291</v>
      </c>
      <c r="C37" s="2" t="s">
        <v>141</v>
      </c>
      <c r="D37" s="27" t="n">
        <f aca="false">-Investissements!$E$18*(1+Hypotheses!$F$60)+(Investissements!$E$19*(1+Hypotheses!$F$60)*Hypotheses!$F$69*(1-Hypotheses!$F$70))</f>
        <v>-28908500</v>
      </c>
      <c r="E37" s="27" t="n">
        <f aca="false">-MAX(0,E24-D24)*Hypotheses!$F$45</f>
        <v>-0</v>
      </c>
      <c r="F37" s="27" t="n">
        <f aca="false">-MAX(0,F24-E24)*Hypotheses!$F$45</f>
        <v>-0</v>
      </c>
      <c r="G37" s="27" t="n">
        <f aca="false">-MAX(0,G24-F24)*Hypotheses!$F$45</f>
        <v>-0</v>
      </c>
      <c r="H37" s="27" t="n">
        <f aca="false">-MAX(0,H24-G24)*Hypotheses!$F$45</f>
        <v>-0</v>
      </c>
      <c r="I37" s="27" t="n">
        <f aca="false">-MAX(0,I24-H24)*Hypotheses!$F$45</f>
        <v>-0</v>
      </c>
      <c r="J37" s="27" t="n">
        <f aca="false">-MAX(0,J24-I24)*Hypotheses!$F$45</f>
        <v>-0</v>
      </c>
      <c r="K37" s="27" t="n">
        <f aca="false">-MAX(0,K24-J24)*Hypotheses!$F$45</f>
        <v>-0</v>
      </c>
      <c r="L37" s="27" t="n">
        <f aca="false">-MAX(0,L24-K24)*Hypotheses!$F$45</f>
        <v>-0</v>
      </c>
      <c r="M37" s="27" t="n">
        <f aca="false">-MAX(0,M24-L24)*Hypotheses!$F$45</f>
        <v>-0</v>
      </c>
      <c r="N37" s="27" t="n">
        <f aca="false">-MAX(0,N24-M24)*Hypotheses!$F$45</f>
        <v>-0</v>
      </c>
      <c r="O37" s="27" t="n">
        <f aca="false">-MAX(0,O24-N24)*Hypotheses!$F$45</f>
        <v>-0</v>
      </c>
      <c r="P37" s="27" t="n">
        <f aca="false">-MAX(0,P24-O24)*Hypotheses!$F$45</f>
        <v>-0</v>
      </c>
      <c r="Q37" s="27" t="n">
        <f aca="false">-MAX(0,Q24-P24)*Hypotheses!$F$45</f>
        <v>-0</v>
      </c>
      <c r="R37" s="27" t="n">
        <f aca="false">-MAX(0,R24-Q24)*Hypotheses!$F$45</f>
        <v>-0</v>
      </c>
      <c r="S37" s="27" t="n">
        <f aca="false">-MAX(0,S24-R24)*Hypotheses!$F$45</f>
        <v>-0</v>
      </c>
      <c r="T37" s="27" t="n">
        <f aca="false">-MAX(0,T24-S24)*Hypotheses!$F$45</f>
        <v>-0</v>
      </c>
      <c r="U37" s="27" t="n">
        <f aca="false">-MAX(0,U24-T24)*Hypotheses!$F$45</f>
        <v>-0</v>
      </c>
      <c r="V37" s="27" t="n">
        <f aca="false">-MAX(0,V24-U24)*Hypotheses!$F$45</f>
        <v>-0</v>
      </c>
      <c r="W37" s="27" t="n">
        <f aca="false">-MAX(0,W24-V24)*Hypotheses!$F$45</f>
        <v>-0</v>
      </c>
      <c r="X37" s="27" t="n">
        <f aca="false">-MAX(0,X24-W24)*Hypotheses!$F$45</f>
        <v>-6000000</v>
      </c>
      <c r="Y37" s="27" t="n">
        <f aca="false">-MAX(0,Y24-X24)*Hypotheses!$F$45</f>
        <v>-0</v>
      </c>
      <c r="Z37" s="27" t="n">
        <f aca="false">-MAX(0,Z24-Y24)*Hypotheses!$F$45</f>
        <v>-0</v>
      </c>
      <c r="AA37" s="27" t="n">
        <f aca="false">-MAX(0,AA24-Z24)*Hypotheses!$F$45</f>
        <v>-0</v>
      </c>
      <c r="AB37" s="27" t="n">
        <f aca="false">-MAX(0,AB24-AA24)*Hypotheses!$F$45</f>
        <v>-0</v>
      </c>
      <c r="AC37" s="27" t="n">
        <f aca="false">-MAX(0,AC24-AB24)*Hypotheses!$F$45</f>
        <v>-0</v>
      </c>
      <c r="AD37" s="27" t="n">
        <f aca="false">-MAX(0,AD24-AC24)*Hypotheses!$F$45</f>
        <v>-0</v>
      </c>
      <c r="AE37" s="27" t="n">
        <f aca="false">-MAX(0,AE24-AD24)*Hypotheses!$F$45</f>
        <v>-0</v>
      </c>
      <c r="AF37" s="27" t="n">
        <f aca="false">-MAX(0,AF24-AE24)*Hypotheses!$F$45</f>
        <v>-0</v>
      </c>
      <c r="AG37" s="27" t="n">
        <f aca="false">-MAX(0,AG24-AF24)*Hypotheses!$F$45</f>
        <v>-0</v>
      </c>
      <c r="AH37" s="27" t="n">
        <f aca="false">-MAX(0,AH24-AG24)*Hypotheses!$F$45</f>
        <v>-0</v>
      </c>
      <c r="AI37" s="27" t="n">
        <f aca="false">-MAX(0,AI24-AH24)*Hypotheses!$F$45</f>
        <v>-0</v>
      </c>
      <c r="AJ37" s="27" t="n">
        <f aca="false">-MAX(0,AJ24-AI24)*Hypotheses!$F$45</f>
        <v>-0</v>
      </c>
      <c r="AK37" s="27" t="n">
        <f aca="false">-MAX(0,AK24-AJ24)*Hypotheses!$F$45</f>
        <v>-0</v>
      </c>
      <c r="AL37" s="27" t="n">
        <f aca="false">-MAX(0,AL24-AK24)*Hypotheses!$F$45</f>
        <v>-0</v>
      </c>
      <c r="AM37" s="27" t="n">
        <f aca="false">-MAX(0,AM24-AL24)*Hypotheses!$F$45</f>
        <v>-0</v>
      </c>
      <c r="AN37" s="27" t="n">
        <f aca="false">-MAX(0,AN24-AM24)*Hypotheses!$F$45</f>
        <v>-0</v>
      </c>
      <c r="AO37" s="27" t="n">
        <f aca="false">-MAX(0,AO24-AN24)*Hypotheses!$F$45</f>
        <v>-0</v>
      </c>
      <c r="AP37" s="27" t="n">
        <f aca="false">-MAX(0,AP24-AO24)*Hypotheses!$F$45</f>
        <v>-0</v>
      </c>
      <c r="AQ37" s="27" t="n">
        <f aca="false">-MAX(0,AQ24-AP24)*Hypotheses!$F$45</f>
        <v>-0</v>
      </c>
      <c r="AR37" s="27" t="n">
        <f aca="false">-MAX(0,AR24-AQ24)*Hypotheses!$F$45</f>
        <v>-0</v>
      </c>
      <c r="AS37" s="27" t="n">
        <f aca="false">-MAX(0,AS24-AR24)*Hypotheses!$F$45</f>
        <v>-0</v>
      </c>
      <c r="AT37" s="27" t="n">
        <f aca="false">-MAX(0,AT24-AS24)*Hypotheses!$F$45</f>
        <v>-0</v>
      </c>
      <c r="AU37" s="27" t="n">
        <f aca="false">-MAX(0,AU24-AT24)*Hypotheses!$F$45</f>
        <v>-0</v>
      </c>
      <c r="AV37" s="27" t="n">
        <f aca="false">-MAX(0,AV24-AU24)*Hypotheses!$F$45</f>
        <v>-0</v>
      </c>
      <c r="AW37" s="27" t="n">
        <f aca="false">-MAX(0,AW24-AV24)*Hypotheses!$F$45</f>
        <v>-0</v>
      </c>
      <c r="AX37" s="27" t="n">
        <f aca="false">-MAX(0,AX24-AW24)*Hypotheses!$F$45</f>
        <v>-0</v>
      </c>
      <c r="AY37" s="27" t="n">
        <f aca="false">-MAX(0,AY24-AX24)*Hypotheses!$F$45</f>
        <v>-0</v>
      </c>
      <c r="AZ37" s="27" t="n">
        <f aca="false">-MAX(0,AZ24-AY24)*Hypotheses!$F$45</f>
        <v>-0</v>
      </c>
      <c r="BA37" s="27" t="n">
        <f aca="false">-MAX(0,BA24-AZ24)*Hypotheses!$F$45</f>
        <v>-0</v>
      </c>
      <c r="BB37" s="27" t="n">
        <f aca="false">-MAX(0,BB24-BA24)*Hypotheses!$F$45</f>
        <v>-0</v>
      </c>
      <c r="BC37" s="27" t="n">
        <f aca="false">-MAX(0,BC24-BB24)*Hypotheses!$F$45</f>
        <v>-0</v>
      </c>
      <c r="BD37" s="27" t="n">
        <f aca="false">-MAX(0,BD24-BC24)*Hypotheses!$F$45</f>
        <v>-0</v>
      </c>
      <c r="BE37" s="27" t="n">
        <f aca="false">-MAX(0,BE24-BD24)*Hypotheses!$F$45</f>
        <v>-0</v>
      </c>
      <c r="BF37" s="27" t="n">
        <f aca="false">-MAX(0,BF24-BE24)*Hypotheses!$F$45</f>
        <v>-0</v>
      </c>
      <c r="BG37" s="27" t="n">
        <f aca="false">-MAX(0,BG24-BF24)*Hypotheses!$F$45</f>
        <v>-0</v>
      </c>
      <c r="BH37" s="27" t="n">
        <f aca="false">-MAX(0,BH24-BG24)*Hypotheses!$F$45</f>
        <v>-0</v>
      </c>
      <c r="BI37" s="27" t="n">
        <f aca="false">-MAX(0,BI24-BH24)*Hypotheses!$F$45</f>
        <v>-0</v>
      </c>
      <c r="BJ37" s="27" t="n">
        <f aca="false">-MAX(0,BJ24-BI24)*Hypotheses!$F$45</f>
        <v>-0</v>
      </c>
      <c r="BK37" s="27" t="n">
        <f aca="false">-MAX(0,BK24-BJ24)*Hypotheses!$F$45</f>
        <v>-0</v>
      </c>
      <c r="BL37" s="27" t="n">
        <f aca="false">-MAX(0,BL24-BK24)*Hypotheses!$F$45</f>
        <v>-0</v>
      </c>
    </row>
    <row r="38" customFormat="false" ht="15" hidden="false" customHeight="false" outlineLevel="0" collapsed="false">
      <c r="B38" s="2" t="s">
        <v>292</v>
      </c>
      <c r="C38" s="2" t="s">
        <v>141</v>
      </c>
      <c r="E38" s="27" t="n">
        <f aca="false">-MAX(0,E20-D20)</f>
        <v>-0</v>
      </c>
      <c r="F38" s="27" t="n">
        <f aca="false">-MAX(0,F20-E20)</f>
        <v>-31195.3578336557</v>
      </c>
      <c r="G38" s="27" t="n">
        <f aca="false">-MAX(0,G20-F20)</f>
        <v>-44564.7969052225</v>
      </c>
      <c r="H38" s="27" t="n">
        <f aca="false">-MAX(0,H20-G20)</f>
        <v>-57934.2359767891</v>
      </c>
      <c r="I38" s="27" t="n">
        <f aca="false">-MAX(0,I20-H20)</f>
        <v>-71303.6750483559</v>
      </c>
      <c r="J38" s="27" t="n">
        <f aca="false">-MAX(0,J20-I20)</f>
        <v>-84673.1141199226</v>
      </c>
      <c r="K38" s="27" t="n">
        <f aca="false">-MAX(0,K20-J20)</f>
        <v>-98042.5531914894</v>
      </c>
      <c r="L38" s="27" t="n">
        <f aca="false">-MAX(0,L20-K20)</f>
        <v>-111411.992263056</v>
      </c>
      <c r="M38" s="27" t="n">
        <f aca="false">-MAX(0,M20-L20)</f>
        <v>-124781.431334623</v>
      </c>
      <c r="N38" s="27" t="n">
        <f aca="false">-MAX(0,N20-M20)</f>
        <v>-138150.870406189</v>
      </c>
      <c r="O38" s="27" t="n">
        <f aca="false">-MAX(0,O20-N20)</f>
        <v>-151520.309477756</v>
      </c>
      <c r="P38" s="27" t="n">
        <f aca="false">-MAX(0,P20-O20)</f>
        <v>-164889.748549323</v>
      </c>
      <c r="Q38" s="27" t="n">
        <f aca="false">-MAX(0,Q20-P20)</f>
        <v>-98042.5531914891</v>
      </c>
      <c r="R38" s="27" t="n">
        <f aca="false">-MAX(0,R20-Q20)</f>
        <v>-98042.5531914895</v>
      </c>
      <c r="S38" s="27" t="n">
        <f aca="false">-MAX(0,S20-R20)</f>
        <v>-98042.5531914893</v>
      </c>
      <c r="T38" s="27" t="n">
        <f aca="false">-MAX(0,T20-S20)</f>
        <v>-98042.5531914895</v>
      </c>
      <c r="U38" s="27" t="n">
        <f aca="false">-MAX(0,U20-T20)</f>
        <v>-98042.5531914893</v>
      </c>
      <c r="V38" s="27" t="n">
        <f aca="false">-MAX(0,V20-U20)</f>
        <v>-98042.5531914895</v>
      </c>
      <c r="W38" s="27" t="n">
        <f aca="false">-MAX(0,W20-V20)</f>
        <v>-98042.5531914891</v>
      </c>
      <c r="X38" s="27" t="n">
        <f aca="false">-MAX(0,X20-W20)</f>
        <v>-563744.680851064</v>
      </c>
      <c r="Y38" s="27" t="n">
        <f aca="false">-MAX(0,Y20-X20)</f>
        <v>-183829.787234042</v>
      </c>
      <c r="Z38" s="27" t="n">
        <f aca="false">-MAX(0,Z20-Y20)</f>
        <v>-189957.446808511</v>
      </c>
      <c r="AA38" s="27" t="n">
        <f aca="false">-MAX(0,AA20-Z20)</f>
        <v>-196085.106382979</v>
      </c>
      <c r="AB38" s="27" t="n">
        <f aca="false">-MAX(0,AB20-AA20)</f>
        <v>-202212.765957446</v>
      </c>
      <c r="AC38" s="27" t="n">
        <f aca="false">-MAX(0,AC20-AB20)</f>
        <v>-208340.425531914</v>
      </c>
      <c r="AD38" s="27" t="n">
        <f aca="false">-MAX(0,AD20-AC20)</f>
        <v>-214468.085106383</v>
      </c>
      <c r="AE38" s="27" t="n">
        <f aca="false">-MAX(0,AE20-AD20)</f>
        <v>-220595.744680851</v>
      </c>
      <c r="AF38" s="27" t="n">
        <f aca="false">-MAX(0,AF20-AE20)</f>
        <v>-226723.404255319</v>
      </c>
      <c r="AG38" s="27" t="n">
        <f aca="false">-MAX(0,AG20-AF20)</f>
        <v>-232851.063829787</v>
      </c>
      <c r="AH38" s="27" t="n">
        <f aca="false">-MAX(0,AH20-AG20)</f>
        <v>-238978.723404257</v>
      </c>
      <c r="AI38" s="27" t="n">
        <f aca="false">-MAX(0,AI20-AH20)</f>
        <v>-245106.382978723</v>
      </c>
      <c r="AJ38" s="27" t="n">
        <f aca="false">-MAX(0,AJ20-AI20)</f>
        <v>-251234.042553191</v>
      </c>
      <c r="AK38" s="27" t="n">
        <f aca="false">-MAX(0,AK20-AJ20)</f>
        <v>-257361.70212766</v>
      </c>
      <c r="AL38" s="27" t="n">
        <f aca="false">-MAX(0,AL20-AK20)</f>
        <v>-263489.361702127</v>
      </c>
      <c r="AM38" s="27" t="n">
        <f aca="false">-MAX(0,AM20-AL20)</f>
        <v>-269617.021276596</v>
      </c>
      <c r="AN38" s="27" t="n">
        <f aca="false">-MAX(0,AN20-AM20)</f>
        <v>-275744.680851064</v>
      </c>
      <c r="AO38" s="27" t="n">
        <f aca="false">-MAX(0,AO20-AN20)</f>
        <v>-281872.34042553</v>
      </c>
      <c r="AP38" s="27" t="n">
        <f aca="false">-MAX(0,AP20-AO20)</f>
        <v>-288000</v>
      </c>
      <c r="AQ38" s="27" t="n">
        <f aca="false">-MAX(0,AQ20-AP20)</f>
        <v>-294127.659574469</v>
      </c>
      <c r="AR38" s="27" t="n">
        <f aca="false">-MAX(0,AR20-AQ20)</f>
        <v>-300255.319148936</v>
      </c>
      <c r="AS38" s="27" t="n">
        <f aca="false">-MAX(0,AS20-AR20)</f>
        <v>-306382.978723404</v>
      </c>
      <c r="AT38" s="27" t="n">
        <f aca="false">-MAX(0,AT20-AS20)</f>
        <v>-312510.638297874</v>
      </c>
      <c r="AU38" s="27" t="n">
        <f aca="false">-MAX(0,AU20-AT20)</f>
        <v>-318638.29787234</v>
      </c>
      <c r="AV38" s="27" t="n">
        <f aca="false">-MAX(0,AV20-AU20)</f>
        <v>-324765.957446811</v>
      </c>
      <c r="AW38" s="27" t="n">
        <f aca="false">-MAX(0,AW20-AV20)</f>
        <v>-196085.106382977</v>
      </c>
      <c r="AX38" s="27" t="n">
        <f aca="false">-MAX(0,AX20-AW20)</f>
        <v>-196085.106382977</v>
      </c>
      <c r="AY38" s="27" t="n">
        <f aca="false">-MAX(0,AY20-AX20)</f>
        <v>-196085.106382979</v>
      </c>
      <c r="AZ38" s="27" t="n">
        <f aca="false">-MAX(0,AZ20-AY20)</f>
        <v>-196085.106382979</v>
      </c>
      <c r="BA38" s="27" t="n">
        <f aca="false">-MAX(0,BA20-AZ20)</f>
        <v>-0</v>
      </c>
      <c r="BB38" s="27" t="n">
        <f aca="false">-MAX(0,BB20-BA20)</f>
        <v>-0</v>
      </c>
      <c r="BC38" s="27" t="n">
        <f aca="false">-MAX(0,BC20-BB20)</f>
        <v>-0</v>
      </c>
      <c r="BD38" s="27" t="n">
        <f aca="false">-MAX(0,BD20-BC20)</f>
        <v>-0</v>
      </c>
      <c r="BE38" s="27" t="n">
        <f aca="false">-MAX(0,BE20-BD20)</f>
        <v>-0</v>
      </c>
      <c r="BF38" s="27" t="n">
        <f aca="false">-MAX(0,BF20-BE20)</f>
        <v>-0</v>
      </c>
      <c r="BG38" s="27" t="n">
        <f aca="false">-MAX(0,BG20-BF20)</f>
        <v>-0</v>
      </c>
      <c r="BH38" s="27" t="n">
        <f aca="false">-MAX(0,BH20-BG20)</f>
        <v>-0</v>
      </c>
      <c r="BI38" s="27" t="n">
        <f aca="false">-MAX(0,BI20-BH20)</f>
        <v>-0</v>
      </c>
      <c r="BJ38" s="27" t="n">
        <f aca="false">-MAX(0,BJ20-BI20)</f>
        <v>-0</v>
      </c>
      <c r="BK38" s="27" t="n">
        <f aca="false">-MAX(0,BK20-BJ20)</f>
        <v>-0</v>
      </c>
      <c r="BL38" s="27" t="n">
        <f aca="false">-MAX(0,BL20-BK20)</f>
        <v>-0</v>
      </c>
    </row>
    <row r="39" customFormat="false" ht="15" hidden="false" customHeight="false" outlineLevel="0" collapsed="false">
      <c r="B39" s="2" t="s">
        <v>293</v>
      </c>
      <c r="C39" s="2" t="s">
        <v>141</v>
      </c>
      <c r="E39" s="27" t="n">
        <f aca="false">IF(AND(E6=1,E5&gt;1),-INDEX($E$64:$I$64,E5-1),0)</f>
        <v>0</v>
      </c>
      <c r="F39" s="27" t="n">
        <f aca="false">IF(AND(F6=1,F5&gt;1),-INDEX($E$64:$I$64,F5-1),0)</f>
        <v>0</v>
      </c>
      <c r="G39" s="27" t="n">
        <f aca="false">IF(AND(G6=1,G5&gt;1),-INDEX($E$64:$I$64,G5-1),0)</f>
        <v>0</v>
      </c>
      <c r="H39" s="27" t="n">
        <f aca="false">IF(AND(H6=1,H5&gt;1),-INDEX($E$64:$I$64,H5-1),0)</f>
        <v>0</v>
      </c>
      <c r="I39" s="27" t="n">
        <f aca="false">IF(AND(I6=1,I5&gt;1),-INDEX($E$64:$I$64,I5-1),0)</f>
        <v>0</v>
      </c>
      <c r="J39" s="27" t="n">
        <f aca="false">IF(AND(J6=1,J5&gt;1),-INDEX($E$64:$I$64,J5-1),0)</f>
        <v>0</v>
      </c>
      <c r="K39" s="27" t="n">
        <f aca="false">IF(AND(K6=1,K5&gt;1),-INDEX($E$64:$I$64,K5-1),0)</f>
        <v>0</v>
      </c>
      <c r="L39" s="27" t="n">
        <f aca="false">IF(AND(L6=1,L5&gt;1),-INDEX($E$64:$I$64,L5-1),0)</f>
        <v>0</v>
      </c>
      <c r="M39" s="27" t="n">
        <f aca="false">IF(AND(M6=1,M5&gt;1),-INDEX($E$64:$I$64,M5-1),0)</f>
        <v>0</v>
      </c>
      <c r="N39" s="27" t="n">
        <f aca="false">IF(AND(N6=1,N5&gt;1),-INDEX($E$64:$I$64,N5-1),0)</f>
        <v>0</v>
      </c>
      <c r="O39" s="27" t="n">
        <f aca="false">IF(AND(O6=1,O5&gt;1),-INDEX($E$64:$I$64,O5-1),0)</f>
        <v>0</v>
      </c>
      <c r="P39" s="27" t="n">
        <f aca="false">IF(AND(P6=1,P5&gt;1),-INDEX($E$64:$I$64,P5-1),0)</f>
        <v>0</v>
      </c>
      <c r="Q39" s="27" t="n">
        <f aca="false">IF(AND(Q6=1,Q5&gt;1),-INDEX($E$64:$I$64,Q5-1),0)</f>
        <v>-3555508.34329746</v>
      </c>
      <c r="R39" s="27" t="n">
        <f aca="false">IF(AND(R6=1,R5&gt;1),-INDEX($E$64:$I$64,R5-1),0)</f>
        <v>0</v>
      </c>
      <c r="S39" s="27" t="n">
        <f aca="false">IF(AND(S6=1,S5&gt;1),-INDEX($E$64:$I$64,S5-1),0)</f>
        <v>0</v>
      </c>
      <c r="T39" s="27" t="n">
        <f aca="false">IF(AND(T6=1,T5&gt;1),-INDEX($E$64:$I$64,T5-1),0)</f>
        <v>0</v>
      </c>
      <c r="U39" s="27" t="n">
        <f aca="false">IF(AND(U6=1,U5&gt;1),-INDEX($E$64:$I$64,U5-1),0)</f>
        <v>0</v>
      </c>
      <c r="V39" s="27" t="n">
        <f aca="false">IF(AND(V6=1,V5&gt;1),-INDEX($E$64:$I$64,V5-1),0)</f>
        <v>0</v>
      </c>
      <c r="W39" s="27" t="n">
        <f aca="false">IF(AND(W6=1,W5&gt;1),-INDEX($E$64:$I$64,W5-1),0)</f>
        <v>0</v>
      </c>
      <c r="X39" s="27" t="n">
        <f aca="false">IF(AND(X6=1,X5&gt;1),-INDEX($E$64:$I$64,X5-1),0)</f>
        <v>0</v>
      </c>
      <c r="Y39" s="27" t="n">
        <f aca="false">IF(AND(Y6=1,Y5&gt;1),-INDEX($E$64:$I$64,Y5-1),0)</f>
        <v>0</v>
      </c>
      <c r="Z39" s="27" t="n">
        <f aca="false">IF(AND(Z6=1,Z5&gt;1),-INDEX($E$64:$I$64,Z5-1),0)</f>
        <v>0</v>
      </c>
      <c r="AA39" s="27" t="n">
        <f aca="false">IF(AND(AA6=1,AA5&gt;1),-INDEX($E$64:$I$64,AA5-1),0)</f>
        <v>0</v>
      </c>
      <c r="AB39" s="27" t="n">
        <f aca="false">IF(AND(AB6=1,AB5&gt;1),-INDEX($E$64:$I$64,AB5-1),0)</f>
        <v>0</v>
      </c>
      <c r="AC39" s="27" t="n">
        <f aca="false">IF(AND(AC6=1,AC5&gt;1),-INDEX($E$64:$I$64,AC5-1),0)</f>
        <v>-14754059.2063698</v>
      </c>
      <c r="AD39" s="27" t="n">
        <f aca="false">IF(AND(AD6=1,AD5&gt;1),-INDEX($E$64:$I$64,AD5-1),0)</f>
        <v>0</v>
      </c>
      <c r="AE39" s="27" t="n">
        <f aca="false">IF(AND(AE6=1,AE5&gt;1),-INDEX($E$64:$I$64,AE5-1),0)</f>
        <v>0</v>
      </c>
      <c r="AF39" s="27" t="n">
        <f aca="false">IF(AND(AF6=1,AF5&gt;1),-INDEX($E$64:$I$64,AF5-1),0)</f>
        <v>0</v>
      </c>
      <c r="AG39" s="27" t="n">
        <f aca="false">IF(AND(AG6=1,AG5&gt;1),-INDEX($E$64:$I$64,AG5-1),0)</f>
        <v>0</v>
      </c>
      <c r="AH39" s="27" t="n">
        <f aca="false">IF(AND(AH6=1,AH5&gt;1),-INDEX($E$64:$I$64,AH5-1),0)</f>
        <v>0</v>
      </c>
      <c r="AI39" s="27" t="n">
        <f aca="false">IF(AND(AI6=1,AI5&gt;1),-INDEX($E$64:$I$64,AI5-1),0)</f>
        <v>0</v>
      </c>
      <c r="AJ39" s="27" t="n">
        <f aca="false">IF(AND(AJ6=1,AJ5&gt;1),-INDEX($E$64:$I$64,AJ5-1),0)</f>
        <v>0</v>
      </c>
      <c r="AK39" s="27" t="n">
        <f aca="false">IF(AND(AK6=1,AK5&gt;1),-INDEX($E$64:$I$64,AK5-1),0)</f>
        <v>0</v>
      </c>
      <c r="AL39" s="27" t="n">
        <f aca="false">IF(AND(AL6=1,AL5&gt;1),-INDEX($E$64:$I$64,AL5-1),0)</f>
        <v>0</v>
      </c>
      <c r="AM39" s="27" t="n">
        <f aca="false">IF(AND(AM6=1,AM5&gt;1),-INDEX($E$64:$I$64,AM5-1),0)</f>
        <v>0</v>
      </c>
      <c r="AN39" s="27" t="n">
        <f aca="false">IF(AND(AN6=1,AN5&gt;1),-INDEX($E$64:$I$64,AN5-1),0)</f>
        <v>0</v>
      </c>
      <c r="AO39" s="27" t="n">
        <f aca="false">IF(AND(AO6=1,AO5&gt;1),-INDEX($E$64:$I$64,AO5-1),0)</f>
        <v>-25313701.5706462</v>
      </c>
      <c r="AP39" s="27" t="n">
        <f aca="false">IF(AND(AP6=1,AP5&gt;1),-INDEX($E$64:$I$64,AP5-1),0)</f>
        <v>0</v>
      </c>
      <c r="AQ39" s="27" t="n">
        <f aca="false">IF(AND(AQ6=1,AQ5&gt;1),-INDEX($E$64:$I$64,AQ5-1),0)</f>
        <v>0</v>
      </c>
      <c r="AR39" s="27" t="n">
        <f aca="false">IF(AND(AR6=1,AR5&gt;1),-INDEX($E$64:$I$64,AR5-1),0)</f>
        <v>0</v>
      </c>
      <c r="AS39" s="27" t="n">
        <f aca="false">IF(AND(AS6=1,AS5&gt;1),-INDEX($E$64:$I$64,AS5-1),0)</f>
        <v>0</v>
      </c>
      <c r="AT39" s="27" t="n">
        <f aca="false">IF(AND(AT6=1,AT5&gt;1),-INDEX($E$64:$I$64,AT5-1),0)</f>
        <v>0</v>
      </c>
      <c r="AU39" s="27" t="n">
        <f aca="false">IF(AND(AU6=1,AU5&gt;1),-INDEX($E$64:$I$64,AU5-1),0)</f>
        <v>0</v>
      </c>
      <c r="AV39" s="27" t="n">
        <f aca="false">IF(AND(AV6=1,AV5&gt;1),-INDEX($E$64:$I$64,AV5-1),0)</f>
        <v>0</v>
      </c>
      <c r="AW39" s="27" t="n">
        <f aca="false">IF(AND(AW6=1,AW5&gt;1),-INDEX($E$64:$I$64,AW5-1),0)</f>
        <v>0</v>
      </c>
      <c r="AX39" s="27" t="n">
        <f aca="false">IF(AND(AX6=1,AX5&gt;1),-INDEX($E$64:$I$64,AX5-1),0)</f>
        <v>0</v>
      </c>
      <c r="AY39" s="27" t="n">
        <f aca="false">IF(AND(AY6=1,AY5&gt;1),-INDEX($E$64:$I$64,AY5-1),0)</f>
        <v>0</v>
      </c>
      <c r="AZ39" s="27" t="n">
        <f aca="false">IF(AND(AZ6=1,AZ5&gt;1),-INDEX($E$64:$I$64,AZ5-1),0)</f>
        <v>0</v>
      </c>
      <c r="BA39" s="27" t="n">
        <f aca="false">IF(AND(BA6=1,BA5&gt;1),-INDEX($E$64:$I$64,BA5-1),0)</f>
        <v>-37221164.3774567</v>
      </c>
      <c r="BB39" s="27" t="n">
        <f aca="false">IF(AND(BB6=1,BB5&gt;1),-INDEX($E$64:$I$64,BB5-1),0)</f>
        <v>0</v>
      </c>
      <c r="BC39" s="27" t="n">
        <f aca="false">IF(AND(BC6=1,BC5&gt;1),-INDEX($E$64:$I$64,BC5-1),0)</f>
        <v>0</v>
      </c>
      <c r="BD39" s="27" t="n">
        <f aca="false">IF(AND(BD6=1,BD5&gt;1),-INDEX($E$64:$I$64,BD5-1),0)</f>
        <v>0</v>
      </c>
      <c r="BE39" s="27" t="n">
        <f aca="false">IF(AND(BE6=1,BE5&gt;1),-INDEX($E$64:$I$64,BE5-1),0)</f>
        <v>0</v>
      </c>
      <c r="BF39" s="27" t="n">
        <f aca="false">IF(AND(BF6=1,BF5&gt;1),-INDEX($E$64:$I$64,BF5-1),0)</f>
        <v>0</v>
      </c>
      <c r="BG39" s="27" t="n">
        <f aca="false">IF(AND(BG6=1,BG5&gt;1),-INDEX($E$64:$I$64,BG5-1),0)</f>
        <v>0</v>
      </c>
      <c r="BH39" s="27" t="n">
        <f aca="false">IF(AND(BH6=1,BH5&gt;1),-INDEX($E$64:$I$64,BH5-1),0)</f>
        <v>0</v>
      </c>
      <c r="BI39" s="27" t="n">
        <f aca="false">IF(AND(BI6=1,BI5&gt;1),-INDEX($E$64:$I$64,BI5-1),0)</f>
        <v>0</v>
      </c>
      <c r="BJ39" s="27" t="n">
        <f aca="false">IF(AND(BJ6=1,BJ5&gt;1),-INDEX($E$64:$I$64,BJ5-1),0)</f>
        <v>0</v>
      </c>
      <c r="BK39" s="27" t="n">
        <f aca="false">IF(AND(BK6=1,BK5&gt;1),-INDEX($E$64:$I$64,BK5-1),0)</f>
        <v>0</v>
      </c>
      <c r="BL39" s="27" t="n">
        <f aca="false">IF(AND(BL6=1,BL5&gt;1),-INDEX($E$64:$I$64,BL5-1),0)</f>
        <v>0</v>
      </c>
    </row>
    <row r="40" customFormat="false" ht="15" hidden="false" customHeight="false" outlineLevel="0" collapsed="false">
      <c r="B40" s="2" t="s">
        <v>294</v>
      </c>
      <c r="C40" s="2" t="s">
        <v>141</v>
      </c>
      <c r="E40" s="27" t="n">
        <f aca="false">IF(E3&lt;=Hypotheses!$F$72,PMT(Hypotheses!$F$71/12,Hypotheses!$F$72,(Investissements!$E$19*(1+Hypotheses!$F$60)*Hypotheses!$F$69*(1-Hypotheses!$F$70))),0)</f>
        <v>-323358.773460792</v>
      </c>
      <c r="F40" s="27" t="n">
        <f aca="false">IF(F3&lt;=Hypotheses!$F$72,PMT(Hypotheses!$F$71/12,Hypotheses!$F$72,(Investissements!$E$19*(1+Hypotheses!$F$60)*Hypotheses!$F$69*(1-Hypotheses!$F$70))),0)</f>
        <v>-323358.773460792</v>
      </c>
      <c r="G40" s="27" t="n">
        <f aca="false">IF(G3&lt;=Hypotheses!$F$72,PMT(Hypotheses!$F$71/12,Hypotheses!$F$72,(Investissements!$E$19*(1+Hypotheses!$F$60)*Hypotheses!$F$69*(1-Hypotheses!$F$70))),0)</f>
        <v>-323358.773460792</v>
      </c>
      <c r="H40" s="27" t="n">
        <f aca="false">IF(H3&lt;=Hypotheses!$F$72,PMT(Hypotheses!$F$71/12,Hypotheses!$F$72,(Investissements!$E$19*(1+Hypotheses!$F$60)*Hypotheses!$F$69*(1-Hypotheses!$F$70))),0)</f>
        <v>-323358.773460792</v>
      </c>
      <c r="I40" s="27" t="n">
        <f aca="false">IF(I3&lt;=Hypotheses!$F$72,PMT(Hypotheses!$F$71/12,Hypotheses!$F$72,(Investissements!$E$19*(1+Hypotheses!$F$60)*Hypotheses!$F$69*(1-Hypotheses!$F$70))),0)</f>
        <v>-323358.773460792</v>
      </c>
      <c r="J40" s="27" t="n">
        <f aca="false">IF(J3&lt;=Hypotheses!$F$72,PMT(Hypotheses!$F$71/12,Hypotheses!$F$72,(Investissements!$E$19*(1+Hypotheses!$F$60)*Hypotheses!$F$69*(1-Hypotheses!$F$70))),0)</f>
        <v>-323358.773460792</v>
      </c>
      <c r="K40" s="27" t="n">
        <f aca="false">IF(K3&lt;=Hypotheses!$F$72,PMT(Hypotheses!$F$71/12,Hypotheses!$F$72,(Investissements!$E$19*(1+Hypotheses!$F$60)*Hypotheses!$F$69*(1-Hypotheses!$F$70))),0)</f>
        <v>-323358.773460792</v>
      </c>
      <c r="L40" s="27" t="n">
        <f aca="false">IF(L3&lt;=Hypotheses!$F$72,PMT(Hypotheses!$F$71/12,Hypotheses!$F$72,(Investissements!$E$19*(1+Hypotheses!$F$60)*Hypotheses!$F$69*(1-Hypotheses!$F$70))),0)</f>
        <v>-323358.773460792</v>
      </c>
      <c r="M40" s="27" t="n">
        <f aca="false">IF(M3&lt;=Hypotheses!$F$72,PMT(Hypotheses!$F$71/12,Hypotheses!$F$72,(Investissements!$E$19*(1+Hypotheses!$F$60)*Hypotheses!$F$69*(1-Hypotheses!$F$70))),0)</f>
        <v>-323358.773460792</v>
      </c>
      <c r="N40" s="27" t="n">
        <f aca="false">IF(N3&lt;=Hypotheses!$F$72,PMT(Hypotheses!$F$71/12,Hypotheses!$F$72,(Investissements!$E$19*(1+Hypotheses!$F$60)*Hypotheses!$F$69*(1-Hypotheses!$F$70))),0)</f>
        <v>-323358.773460792</v>
      </c>
      <c r="O40" s="27" t="n">
        <f aca="false">IF(O3&lt;=Hypotheses!$F$72,PMT(Hypotheses!$F$71/12,Hypotheses!$F$72,(Investissements!$E$19*(1+Hypotheses!$F$60)*Hypotheses!$F$69*(1-Hypotheses!$F$70))),0)</f>
        <v>-323358.773460792</v>
      </c>
      <c r="P40" s="27" t="n">
        <f aca="false">IF(P3&lt;=Hypotheses!$F$72,PMT(Hypotheses!$F$71/12,Hypotheses!$F$72,(Investissements!$E$19*(1+Hypotheses!$F$60)*Hypotheses!$F$69*(1-Hypotheses!$F$70))),0)</f>
        <v>-323358.773460792</v>
      </c>
      <c r="Q40" s="27" t="n">
        <f aca="false">IF(Q3&lt;=Hypotheses!$F$72,PMT(Hypotheses!$F$71/12,Hypotheses!$F$72,(Investissements!$E$19*(1+Hypotheses!$F$60)*Hypotheses!$F$69*(1-Hypotheses!$F$70))),0)</f>
        <v>-323358.773460792</v>
      </c>
      <c r="R40" s="27" t="n">
        <f aca="false">IF(R3&lt;=Hypotheses!$F$72,PMT(Hypotheses!$F$71/12,Hypotheses!$F$72,(Investissements!$E$19*(1+Hypotheses!$F$60)*Hypotheses!$F$69*(1-Hypotheses!$F$70))),0)</f>
        <v>-323358.773460792</v>
      </c>
      <c r="S40" s="27" t="n">
        <f aca="false">IF(S3&lt;=Hypotheses!$F$72,PMT(Hypotheses!$F$71/12,Hypotheses!$F$72,(Investissements!$E$19*(1+Hypotheses!$F$60)*Hypotheses!$F$69*(1-Hypotheses!$F$70))),0)</f>
        <v>-323358.773460792</v>
      </c>
      <c r="T40" s="27" t="n">
        <f aca="false">IF(T3&lt;=Hypotheses!$F$72,PMT(Hypotheses!$F$71/12,Hypotheses!$F$72,(Investissements!$E$19*(1+Hypotheses!$F$60)*Hypotheses!$F$69*(1-Hypotheses!$F$70))),0)</f>
        <v>-323358.773460792</v>
      </c>
      <c r="U40" s="27" t="n">
        <f aca="false">IF(U3&lt;=Hypotheses!$F$72,PMT(Hypotheses!$F$71/12,Hypotheses!$F$72,(Investissements!$E$19*(1+Hypotheses!$F$60)*Hypotheses!$F$69*(1-Hypotheses!$F$70))),0)</f>
        <v>-323358.773460792</v>
      </c>
      <c r="V40" s="27" t="n">
        <f aca="false">IF(V3&lt;=Hypotheses!$F$72,PMT(Hypotheses!$F$71/12,Hypotheses!$F$72,(Investissements!$E$19*(1+Hypotheses!$F$60)*Hypotheses!$F$69*(1-Hypotheses!$F$70))),0)</f>
        <v>-323358.773460792</v>
      </c>
      <c r="W40" s="27" t="n">
        <f aca="false">IF(W3&lt;=Hypotheses!$F$72,PMT(Hypotheses!$F$71/12,Hypotheses!$F$72,(Investissements!$E$19*(1+Hypotheses!$F$60)*Hypotheses!$F$69*(1-Hypotheses!$F$70))),0)</f>
        <v>-323358.773460792</v>
      </c>
      <c r="X40" s="27" t="n">
        <f aca="false">IF(X3&lt;=Hypotheses!$F$72,PMT(Hypotheses!$F$71/12,Hypotheses!$F$72,(Investissements!$E$19*(1+Hypotheses!$F$60)*Hypotheses!$F$69*(1-Hypotheses!$F$70))),0)</f>
        <v>-323358.773460792</v>
      </c>
      <c r="Y40" s="27" t="n">
        <f aca="false">IF(Y3&lt;=Hypotheses!$F$72,PMT(Hypotheses!$F$71/12,Hypotheses!$F$72,(Investissements!$E$19*(1+Hypotheses!$F$60)*Hypotheses!$F$69*(1-Hypotheses!$F$70))),0)</f>
        <v>-323358.773460792</v>
      </c>
      <c r="Z40" s="27" t="n">
        <f aca="false">IF(Z3&lt;=Hypotheses!$F$72,PMT(Hypotheses!$F$71/12,Hypotheses!$F$72,(Investissements!$E$19*(1+Hypotheses!$F$60)*Hypotheses!$F$69*(1-Hypotheses!$F$70))),0)</f>
        <v>-323358.773460792</v>
      </c>
      <c r="AA40" s="27" t="n">
        <f aca="false">IF(AA3&lt;=Hypotheses!$F$72,PMT(Hypotheses!$F$71/12,Hypotheses!$F$72,(Investissements!$E$19*(1+Hypotheses!$F$60)*Hypotheses!$F$69*(1-Hypotheses!$F$70))),0)</f>
        <v>-323358.773460792</v>
      </c>
      <c r="AB40" s="27" t="n">
        <f aca="false">IF(AB3&lt;=Hypotheses!$F$72,PMT(Hypotheses!$F$71/12,Hypotheses!$F$72,(Investissements!$E$19*(1+Hypotheses!$F$60)*Hypotheses!$F$69*(1-Hypotheses!$F$70))),0)</f>
        <v>-323358.773460792</v>
      </c>
      <c r="AC40" s="27" t="n">
        <f aca="false">IF(AC3&lt;=Hypotheses!$F$72,PMT(Hypotheses!$F$71/12,Hypotheses!$F$72,(Investissements!$E$19*(1+Hypotheses!$F$60)*Hypotheses!$F$69*(1-Hypotheses!$F$70))),0)</f>
        <v>-323358.773460792</v>
      </c>
      <c r="AD40" s="27" t="n">
        <f aca="false">IF(AD3&lt;=Hypotheses!$F$72,PMT(Hypotheses!$F$71/12,Hypotheses!$F$72,(Investissements!$E$19*(1+Hypotheses!$F$60)*Hypotheses!$F$69*(1-Hypotheses!$F$70))),0)</f>
        <v>-323358.773460792</v>
      </c>
      <c r="AE40" s="27" t="n">
        <f aca="false">IF(AE3&lt;=Hypotheses!$F$72,PMT(Hypotheses!$F$71/12,Hypotheses!$F$72,(Investissements!$E$19*(1+Hypotheses!$F$60)*Hypotheses!$F$69*(1-Hypotheses!$F$70))),0)</f>
        <v>-323358.773460792</v>
      </c>
      <c r="AF40" s="27" t="n">
        <f aca="false">IF(AF3&lt;=Hypotheses!$F$72,PMT(Hypotheses!$F$71/12,Hypotheses!$F$72,(Investissements!$E$19*(1+Hypotheses!$F$60)*Hypotheses!$F$69*(1-Hypotheses!$F$70))),0)</f>
        <v>-323358.773460792</v>
      </c>
      <c r="AG40" s="27" t="n">
        <f aca="false">IF(AG3&lt;=Hypotheses!$F$72,PMT(Hypotheses!$F$71/12,Hypotheses!$F$72,(Investissements!$E$19*(1+Hypotheses!$F$60)*Hypotheses!$F$69*(1-Hypotheses!$F$70))),0)</f>
        <v>-323358.773460792</v>
      </c>
      <c r="AH40" s="27" t="n">
        <f aca="false">IF(AH3&lt;=Hypotheses!$F$72,PMT(Hypotheses!$F$71/12,Hypotheses!$F$72,(Investissements!$E$19*(1+Hypotheses!$F$60)*Hypotheses!$F$69*(1-Hypotheses!$F$70))),0)</f>
        <v>-323358.773460792</v>
      </c>
      <c r="AI40" s="27" t="n">
        <f aca="false">IF(AI3&lt;=Hypotheses!$F$72,PMT(Hypotheses!$F$71/12,Hypotheses!$F$72,(Investissements!$E$19*(1+Hypotheses!$F$60)*Hypotheses!$F$69*(1-Hypotheses!$F$70))),0)</f>
        <v>-323358.773460792</v>
      </c>
      <c r="AJ40" s="27" t="n">
        <f aca="false">IF(AJ3&lt;=Hypotheses!$F$72,PMT(Hypotheses!$F$71/12,Hypotheses!$F$72,(Investissements!$E$19*(1+Hypotheses!$F$60)*Hypotheses!$F$69*(1-Hypotheses!$F$70))),0)</f>
        <v>-323358.773460792</v>
      </c>
      <c r="AK40" s="27" t="n">
        <f aca="false">IF(AK3&lt;=Hypotheses!$F$72,PMT(Hypotheses!$F$71/12,Hypotheses!$F$72,(Investissements!$E$19*(1+Hypotheses!$F$60)*Hypotheses!$F$69*(1-Hypotheses!$F$70))),0)</f>
        <v>-323358.773460792</v>
      </c>
      <c r="AL40" s="27" t="n">
        <f aca="false">IF(AL3&lt;=Hypotheses!$F$72,PMT(Hypotheses!$F$71/12,Hypotheses!$F$72,(Investissements!$E$19*(1+Hypotheses!$F$60)*Hypotheses!$F$69*(1-Hypotheses!$F$70))),0)</f>
        <v>-323358.773460792</v>
      </c>
      <c r="AM40" s="27" t="n">
        <f aca="false">IF(AM3&lt;=Hypotheses!$F$72,PMT(Hypotheses!$F$71/12,Hypotheses!$F$72,(Investissements!$E$19*(1+Hypotheses!$F$60)*Hypotheses!$F$69*(1-Hypotheses!$F$70))),0)</f>
        <v>-323358.773460792</v>
      </c>
      <c r="AN40" s="27" t="n">
        <f aca="false">IF(AN3&lt;=Hypotheses!$F$72,PMT(Hypotheses!$F$71/12,Hypotheses!$F$72,(Investissements!$E$19*(1+Hypotheses!$F$60)*Hypotheses!$F$69*(1-Hypotheses!$F$70))),0)</f>
        <v>-323358.773460792</v>
      </c>
      <c r="AO40" s="27" t="n">
        <f aca="false">IF(AO3&lt;=Hypotheses!$F$72,PMT(Hypotheses!$F$71/12,Hypotheses!$F$72,(Investissements!$E$19*(1+Hypotheses!$F$60)*Hypotheses!$F$69*(1-Hypotheses!$F$70))),0)</f>
        <v>-323358.773460792</v>
      </c>
      <c r="AP40" s="27" t="n">
        <f aca="false">IF(AP3&lt;=Hypotheses!$F$72,PMT(Hypotheses!$F$71/12,Hypotheses!$F$72,(Investissements!$E$19*(1+Hypotheses!$F$60)*Hypotheses!$F$69*(1-Hypotheses!$F$70))),0)</f>
        <v>-323358.773460792</v>
      </c>
      <c r="AQ40" s="27" t="n">
        <f aca="false">IF(AQ3&lt;=Hypotheses!$F$72,PMT(Hypotheses!$F$71/12,Hypotheses!$F$72,(Investissements!$E$19*(1+Hypotheses!$F$60)*Hypotheses!$F$69*(1-Hypotheses!$F$70))),0)</f>
        <v>-323358.773460792</v>
      </c>
      <c r="AR40" s="27" t="n">
        <f aca="false">IF(AR3&lt;=Hypotheses!$F$72,PMT(Hypotheses!$F$71/12,Hypotheses!$F$72,(Investissements!$E$19*(1+Hypotheses!$F$60)*Hypotheses!$F$69*(1-Hypotheses!$F$70))),0)</f>
        <v>-323358.773460792</v>
      </c>
      <c r="AS40" s="27" t="n">
        <f aca="false">IF(AS3&lt;=Hypotheses!$F$72,PMT(Hypotheses!$F$71/12,Hypotheses!$F$72,(Investissements!$E$19*(1+Hypotheses!$F$60)*Hypotheses!$F$69*(1-Hypotheses!$F$70))),0)</f>
        <v>-323358.773460792</v>
      </c>
      <c r="AT40" s="27" t="n">
        <f aca="false">IF(AT3&lt;=Hypotheses!$F$72,PMT(Hypotheses!$F$71/12,Hypotheses!$F$72,(Investissements!$E$19*(1+Hypotheses!$F$60)*Hypotheses!$F$69*(1-Hypotheses!$F$70))),0)</f>
        <v>-323358.773460792</v>
      </c>
      <c r="AU40" s="27" t="n">
        <f aca="false">IF(AU3&lt;=Hypotheses!$F$72,PMT(Hypotheses!$F$71/12,Hypotheses!$F$72,(Investissements!$E$19*(1+Hypotheses!$F$60)*Hypotheses!$F$69*(1-Hypotheses!$F$70))),0)</f>
        <v>-323358.773460792</v>
      </c>
      <c r="AV40" s="27" t="n">
        <f aca="false">IF(AV3&lt;=Hypotheses!$F$72,PMT(Hypotheses!$F$71/12,Hypotheses!$F$72,(Investissements!$E$19*(1+Hypotheses!$F$60)*Hypotheses!$F$69*(1-Hypotheses!$F$70))),0)</f>
        <v>-323358.773460792</v>
      </c>
      <c r="AW40" s="27" t="n">
        <f aca="false">IF(AW3&lt;=Hypotheses!$F$72,PMT(Hypotheses!$F$71/12,Hypotheses!$F$72,(Investissements!$E$19*(1+Hypotheses!$F$60)*Hypotheses!$F$69*(1-Hypotheses!$F$70))),0)</f>
        <v>-323358.773460792</v>
      </c>
      <c r="AX40" s="27" t="n">
        <f aca="false">IF(AX3&lt;=Hypotheses!$F$72,PMT(Hypotheses!$F$71/12,Hypotheses!$F$72,(Investissements!$E$19*(1+Hypotheses!$F$60)*Hypotheses!$F$69*(1-Hypotheses!$F$70))),0)</f>
        <v>-323358.773460792</v>
      </c>
      <c r="AY40" s="27" t="n">
        <f aca="false">IF(AY3&lt;=Hypotheses!$F$72,PMT(Hypotheses!$F$71/12,Hypotheses!$F$72,(Investissements!$E$19*(1+Hypotheses!$F$60)*Hypotheses!$F$69*(1-Hypotheses!$F$70))),0)</f>
        <v>-323358.773460792</v>
      </c>
      <c r="AZ40" s="27" t="n">
        <f aca="false">IF(AZ3&lt;=Hypotheses!$F$72,PMT(Hypotheses!$F$71/12,Hypotheses!$F$72,(Investissements!$E$19*(1+Hypotheses!$F$60)*Hypotheses!$F$69*(1-Hypotheses!$F$70))),0)</f>
        <v>-323358.773460792</v>
      </c>
      <c r="BA40" s="27" t="n">
        <f aca="false">IF(BA3&lt;=Hypotheses!$F$72,PMT(Hypotheses!$F$71/12,Hypotheses!$F$72,(Investissements!$E$19*(1+Hypotheses!$F$60)*Hypotheses!$F$69*(1-Hypotheses!$F$70))),0)</f>
        <v>-323358.773460792</v>
      </c>
      <c r="BB40" s="27" t="n">
        <f aca="false">IF(BB3&lt;=Hypotheses!$F$72,PMT(Hypotheses!$F$71/12,Hypotheses!$F$72,(Investissements!$E$19*(1+Hypotheses!$F$60)*Hypotheses!$F$69*(1-Hypotheses!$F$70))),0)</f>
        <v>-323358.773460792</v>
      </c>
      <c r="BC40" s="27" t="n">
        <f aca="false">IF(BC3&lt;=Hypotheses!$F$72,PMT(Hypotheses!$F$71/12,Hypotheses!$F$72,(Investissements!$E$19*(1+Hypotheses!$F$60)*Hypotheses!$F$69*(1-Hypotheses!$F$70))),0)</f>
        <v>-323358.773460792</v>
      </c>
      <c r="BD40" s="27" t="n">
        <f aca="false">IF(BD3&lt;=Hypotheses!$F$72,PMT(Hypotheses!$F$71/12,Hypotheses!$F$72,(Investissements!$E$19*(1+Hypotheses!$F$60)*Hypotheses!$F$69*(1-Hypotheses!$F$70))),0)</f>
        <v>-323358.773460792</v>
      </c>
      <c r="BE40" s="27" t="n">
        <f aca="false">IF(BE3&lt;=Hypotheses!$F$72,PMT(Hypotheses!$F$71/12,Hypotheses!$F$72,(Investissements!$E$19*(1+Hypotheses!$F$60)*Hypotheses!$F$69*(1-Hypotheses!$F$70))),0)</f>
        <v>-323358.773460792</v>
      </c>
      <c r="BF40" s="27" t="n">
        <f aca="false">IF(BF3&lt;=Hypotheses!$F$72,PMT(Hypotheses!$F$71/12,Hypotheses!$F$72,(Investissements!$E$19*(1+Hypotheses!$F$60)*Hypotheses!$F$69*(1-Hypotheses!$F$70))),0)</f>
        <v>-323358.773460792</v>
      </c>
      <c r="BG40" s="27" t="n">
        <f aca="false">IF(BG3&lt;=Hypotheses!$F$72,PMT(Hypotheses!$F$71/12,Hypotheses!$F$72,(Investissements!$E$19*(1+Hypotheses!$F$60)*Hypotheses!$F$69*(1-Hypotheses!$F$70))),0)</f>
        <v>-323358.773460792</v>
      </c>
      <c r="BH40" s="27" t="n">
        <f aca="false">IF(BH3&lt;=Hypotheses!$F$72,PMT(Hypotheses!$F$71/12,Hypotheses!$F$72,(Investissements!$E$19*(1+Hypotheses!$F$60)*Hypotheses!$F$69*(1-Hypotheses!$F$70))),0)</f>
        <v>-323358.773460792</v>
      </c>
      <c r="BI40" s="27" t="n">
        <f aca="false">IF(BI3&lt;=Hypotheses!$F$72,PMT(Hypotheses!$F$71/12,Hypotheses!$F$72,(Investissements!$E$19*(1+Hypotheses!$F$60)*Hypotheses!$F$69*(1-Hypotheses!$F$70))),0)</f>
        <v>-323358.773460792</v>
      </c>
      <c r="BJ40" s="27" t="n">
        <f aca="false">IF(BJ3&lt;=Hypotheses!$F$72,PMT(Hypotheses!$F$71/12,Hypotheses!$F$72,(Investissements!$E$19*(1+Hypotheses!$F$60)*Hypotheses!$F$69*(1-Hypotheses!$F$70))),0)</f>
        <v>-323358.773460792</v>
      </c>
      <c r="BK40" s="27" t="n">
        <f aca="false">IF(BK3&lt;=Hypotheses!$F$72,PMT(Hypotheses!$F$71/12,Hypotheses!$F$72,(Investissements!$E$19*(1+Hypotheses!$F$60)*Hypotheses!$F$69*(1-Hypotheses!$F$70))),0)</f>
        <v>-323358.773460792</v>
      </c>
      <c r="BL40" s="27" t="n">
        <f aca="false">IF(BL3&lt;=Hypotheses!$F$72,PMT(Hypotheses!$F$71/12,Hypotheses!$F$72,(Investissements!$E$19*(1+Hypotheses!$F$60)*Hypotheses!$F$69*(1-Hypotheses!$F$70))),0)</f>
        <v>-323358.773460792</v>
      </c>
    </row>
    <row r="41" customFormat="false" ht="15" hidden="false" customHeight="false" outlineLevel="0" collapsed="false">
      <c r="B41" s="2" t="s">
        <v>295</v>
      </c>
      <c r="C41" s="2" t="s">
        <v>141</v>
      </c>
      <c r="D41" s="27" t="n">
        <f aca="false">(Investissements!$E$19*(1+Hypotheses!$F$60)*Hypotheses!$F$69*(1-Hypotheses!$F$70))</f>
        <v>15219000</v>
      </c>
      <c r="E41" s="27" t="n">
        <f aca="false">IF(E3&lt;=Hypotheses!$F$72,D41*(1+Hypotheses!$F$71/12)+E40,0)</f>
        <v>15022466.2265392</v>
      </c>
      <c r="F41" s="27" t="n">
        <f aca="false">IF(F3&lt;=Hypotheses!$F$72,E41*(1+Hypotheses!$F$71/12)+F40,0)</f>
        <v>14824294.6716329</v>
      </c>
      <c r="G41" s="27" t="n">
        <f aca="false">IF(G3&lt;=Hypotheses!$F$72,F41*(1+Hypotheses!$F$71/12)+G40,0)</f>
        <v>14624471.6871024</v>
      </c>
      <c r="H41" s="27" t="n">
        <f aca="false">IF(H3&lt;=Hypotheses!$F$72,G41*(1+Hypotheses!$F$71/12)+H40,0)</f>
        <v>14422983.5110341</v>
      </c>
      <c r="I41" s="27" t="n">
        <f aca="false">IF(I3&lt;=Hypotheses!$F$72,H41*(1+Hypotheses!$F$71/12)+I40,0)</f>
        <v>14219816.2668319</v>
      </c>
      <c r="J41" s="27" t="n">
        <f aca="false">IF(J3&lt;=Hypotheses!$F$72,I41*(1+Hypotheses!$F$71/12)+J40,0)</f>
        <v>14014955.9622614</v>
      </c>
      <c r="K41" s="27" t="n">
        <f aca="false">IF(K3&lt;=Hypotheses!$F$72,J41*(1+Hypotheses!$F$71/12)+K40,0)</f>
        <v>13808388.4884861</v>
      </c>
      <c r="L41" s="27" t="n">
        <f aca="false">IF(L3&lt;=Hypotheses!$F$72,K41*(1+Hypotheses!$F$71/12)+L40,0)</f>
        <v>13600099.6190961</v>
      </c>
      <c r="M41" s="27" t="n">
        <f aca="false">IF(M3&lt;=Hypotheses!$F$72,L41*(1+Hypotheses!$F$71/12)+M40,0)</f>
        <v>13390075.0091277</v>
      </c>
      <c r="N41" s="27" t="n">
        <f aca="false">IF(N3&lt;=Hypotheses!$F$72,M41*(1+Hypotheses!$F$71/12)+N40,0)</f>
        <v>13178300.1940763</v>
      </c>
      <c r="O41" s="27" t="n">
        <f aca="false">IF(O3&lt;=Hypotheses!$F$72,N41*(1+Hypotheses!$F$71/12)+O40,0)</f>
        <v>12964760.5888995</v>
      </c>
      <c r="P41" s="27" t="n">
        <f aca="false">IF(P3&lt;=Hypotheses!$F$72,O41*(1+Hypotheses!$F$71/12)+P40,0)</f>
        <v>12749441.4870129</v>
      </c>
      <c r="Q41" s="27" t="n">
        <f aca="false">IF(Q3&lt;=Hypotheses!$F$72,P41*(1+Hypotheses!$F$71/12)+Q40,0)</f>
        <v>12532328.0592772</v>
      </c>
      <c r="R41" s="27" t="n">
        <f aca="false">IF(R3&lt;=Hypotheses!$F$72,Q41*(1+Hypotheses!$F$71/12)+R40,0)</f>
        <v>12313405.3529771</v>
      </c>
      <c r="S41" s="27" t="n">
        <f aca="false">IF(S3&lt;=Hypotheses!$F$72,R41*(1+Hypotheses!$F$71/12)+S40,0)</f>
        <v>12092658.2907911</v>
      </c>
      <c r="T41" s="27" t="n">
        <f aca="false">IF(T3&lt;=Hypotheses!$F$72,S41*(1+Hypotheses!$F$71/12)+T40,0)</f>
        <v>11870071.6697535</v>
      </c>
      <c r="U41" s="27" t="n">
        <f aca="false">IF(U3&lt;=Hypotheses!$F$72,T41*(1+Hypotheses!$F$71/12)+U40,0)</f>
        <v>11645630.1602074</v>
      </c>
      <c r="V41" s="27" t="n">
        <f aca="false">IF(V3&lt;=Hypotheses!$F$72,U41*(1+Hypotheses!$F$71/12)+V40,0)</f>
        <v>11419318.3047483</v>
      </c>
      <c r="W41" s="27" t="n">
        <f aca="false">IF(W3&lt;=Hypotheses!$F$72,V41*(1+Hypotheses!$F$71/12)+W40,0)</f>
        <v>11191120.5171604</v>
      </c>
      <c r="X41" s="27" t="n">
        <f aca="false">IF(X3&lt;=Hypotheses!$F$72,W41*(1+Hypotheses!$F$71/12)+X40,0)</f>
        <v>10961021.0813426</v>
      </c>
      <c r="Y41" s="27" t="n">
        <f aca="false">IF(Y3&lt;=Hypotheses!$F$72,X41*(1+Hypotheses!$F$71/12)+Y40,0)</f>
        <v>10729004.1502263</v>
      </c>
      <c r="Z41" s="27" t="n">
        <f aca="false">IF(Z3&lt;=Hypotheses!$F$72,Y41*(1+Hypotheses!$F$71/12)+Z40,0)</f>
        <v>10495053.7446841</v>
      </c>
      <c r="AA41" s="27" t="n">
        <f aca="false">IF(AA3&lt;=Hypotheses!$F$72,Z41*(1+Hypotheses!$F$71/12)+AA40,0)</f>
        <v>10259153.752429</v>
      </c>
      <c r="AB41" s="27" t="n">
        <f aca="false">IF(AB3&lt;=Hypotheses!$F$72,AA41*(1+Hypotheses!$F$71/12)+AB40,0)</f>
        <v>10021287.9269051</v>
      </c>
      <c r="AC41" s="27" t="n">
        <f aca="false">IF(AC3&lt;=Hypotheses!$F$72,AB41*(1+Hypotheses!$F$71/12)+AC40,0)</f>
        <v>9781439.88616854</v>
      </c>
      <c r="AD41" s="27" t="n">
        <f aca="false">IF(AD3&lt;=Hypotheses!$F$72,AC41*(1+Hypotheses!$F$71/12)+AD40,0)</f>
        <v>9539593.11175916</v>
      </c>
      <c r="AE41" s="27" t="n">
        <f aca="false">IF(AE3&lt;=Hypotheses!$F$72,AD41*(1+Hypotheses!$F$71/12)+AE40,0)</f>
        <v>9295730.94756302</v>
      </c>
      <c r="AF41" s="27" t="n">
        <f aca="false">IF(AF3&lt;=Hypotheses!$F$72,AE41*(1+Hypotheses!$F$71/12)+AF40,0)</f>
        <v>9049836.59866525</v>
      </c>
      <c r="AG41" s="27" t="n">
        <f aca="false">IF(AG3&lt;=Hypotheses!$F$72,AF41*(1+Hypotheses!$F$71/12)+AG40,0)</f>
        <v>8801893.13019334</v>
      </c>
      <c r="AH41" s="27" t="n">
        <f aca="false">IF(AH3&lt;=Hypotheses!$F$72,AG41*(1+Hypotheses!$F$71/12)+AH40,0)</f>
        <v>8551883.46615082</v>
      </c>
      <c r="AI41" s="27" t="n">
        <f aca="false">IF(AI3&lt;=Hypotheses!$F$72,AH41*(1+Hypotheses!$F$71/12)+AI40,0)</f>
        <v>8299790.38824129</v>
      </c>
      <c r="AJ41" s="27" t="n">
        <f aca="false">IF(AJ3&lt;=Hypotheses!$F$72,AI41*(1+Hypotheses!$F$71/12)+AJ40,0)</f>
        <v>8045596.53468251</v>
      </c>
      <c r="AK41" s="27" t="n">
        <f aca="false">IF(AK3&lt;=Hypotheses!$F$72,AJ41*(1+Hypotheses!$F$71/12)+AK40,0)</f>
        <v>7789284.39901073</v>
      </c>
      <c r="AL41" s="27" t="n">
        <f aca="false">IF(AL3&lt;=Hypotheses!$F$72,AK41*(1+Hypotheses!$F$71/12)+AL40,0)</f>
        <v>7530836.32887503</v>
      </c>
      <c r="AM41" s="27" t="n">
        <f aca="false">IF(AM3&lt;=Hypotheses!$F$72,AL41*(1+Hypotheses!$F$71/12)+AM40,0)</f>
        <v>7270234.52482153</v>
      </c>
      <c r="AN41" s="27" t="n">
        <f aca="false">IF(AN3&lt;=Hypotheses!$F$72,AM41*(1+Hypotheses!$F$71/12)+AN40,0)</f>
        <v>7007461.03906758</v>
      </c>
      <c r="AO41" s="27" t="n">
        <f aca="false">IF(AO3&lt;=Hypotheses!$F$72,AN41*(1+Hypotheses!$F$71/12)+AO40,0)</f>
        <v>6742497.77426569</v>
      </c>
      <c r="AP41" s="27" t="n">
        <f aca="false">IF(AP3&lt;=Hypotheses!$F$72,AO41*(1+Hypotheses!$F$71/12)+AP40,0)</f>
        <v>6475326.48225711</v>
      </c>
      <c r="AQ41" s="27" t="n">
        <f aca="false">IF(AQ3&lt;=Hypotheses!$F$72,AP41*(1+Hypotheses!$F$71/12)+AQ40,0)</f>
        <v>6205928.76281513</v>
      </c>
      <c r="AR41" s="27" t="n">
        <f aca="false">IF(AR3&lt;=Hypotheses!$F$72,AQ41*(1+Hypotheses!$F$71/12)+AR40,0)</f>
        <v>5934286.06237779</v>
      </c>
      <c r="AS41" s="27" t="n">
        <f aca="false">IF(AS3&lt;=Hypotheses!$F$72,AR41*(1+Hypotheses!$F$71/12)+AS40,0)</f>
        <v>5660379.67277015</v>
      </c>
      <c r="AT41" s="27" t="n">
        <f aca="false">IF(AT3&lt;=Hypotheses!$F$72,AS41*(1+Hypotheses!$F$71/12)+AT40,0)</f>
        <v>5384190.72991578</v>
      </c>
      <c r="AU41" s="27" t="n">
        <f aca="false">IF(AU3&lt;=Hypotheses!$F$72,AT41*(1+Hypotheses!$F$71/12)+AU40,0)</f>
        <v>5105700.21253762</v>
      </c>
      <c r="AV41" s="27" t="n">
        <f aca="false">IF(AV3&lt;=Hypotheses!$F$72,AU41*(1+Hypotheses!$F$71/12)+AV40,0)</f>
        <v>4824888.94084797</v>
      </c>
      <c r="AW41" s="27" t="n">
        <f aca="false">IF(AW3&lt;=Hypotheses!$F$72,AV41*(1+Hypotheses!$F$71/12)+AW40,0)</f>
        <v>4541737.57522758</v>
      </c>
      <c r="AX41" s="27" t="n">
        <f aca="false">IF(AX3&lt;=Hypotheses!$F$72,AW41*(1+Hypotheses!$F$71/12)+AX40,0)</f>
        <v>4256226.61489368</v>
      </c>
      <c r="AY41" s="27" t="n">
        <f aca="false">IF(AY3&lt;=Hypotheses!$F$72,AX41*(1+Hypotheses!$F$71/12)+AY40,0)</f>
        <v>3968336.396557</v>
      </c>
      <c r="AZ41" s="27" t="n">
        <f aca="false">IF(AZ3&lt;=Hypotheses!$F$72,AY41*(1+Hypotheses!$F$71/12)+AZ40,0)</f>
        <v>3678047.09306752</v>
      </c>
      <c r="BA41" s="27" t="n">
        <f aca="false">IF(BA3&lt;=Hypotheses!$F$72,AZ41*(1+Hypotheses!$F$71/12)+BA40,0)</f>
        <v>3385338.71204896</v>
      </c>
      <c r="BB41" s="27" t="n">
        <f aca="false">IF(BB3&lt;=Hypotheses!$F$72,BA41*(1+Hypotheses!$F$71/12)+BB40,0)</f>
        <v>3090191.09452191</v>
      </c>
      <c r="BC41" s="27" t="n">
        <f aca="false">IF(BC3&lt;=Hypotheses!$F$72,BB41*(1+Hypotheses!$F$71/12)+BC40,0)</f>
        <v>2792583.91351547</v>
      </c>
      <c r="BD41" s="27" t="n">
        <f aca="false">IF(BD3&lt;=Hypotheses!$F$72,BC41*(1+Hypotheses!$F$71/12)+BD40,0)</f>
        <v>2492496.6726673</v>
      </c>
      <c r="BE41" s="27" t="n">
        <f aca="false">IF(BE3&lt;=Hypotheses!$F$72,BD41*(1+Hypotheses!$F$71/12)+BE40,0)</f>
        <v>2189908.70481207</v>
      </c>
      <c r="BF41" s="27" t="n">
        <f aca="false">IF(BF3&lt;=Hypotheses!$F$72,BE41*(1+Hypotheses!$F$71/12)+BF40,0)</f>
        <v>1884799.17055805</v>
      </c>
      <c r="BG41" s="27" t="n">
        <f aca="false">IF(BG3&lt;=Hypotheses!$F$72,BF41*(1+Hypotheses!$F$71/12)+BG40,0)</f>
        <v>1577147.0568519</v>
      </c>
      <c r="BH41" s="27" t="n">
        <f aca="false">IF(BH3&lt;=Hypotheses!$F$72,BG41*(1+Hypotheses!$F$71/12)+BH40,0)</f>
        <v>1266931.17553154</v>
      </c>
      <c r="BI41" s="27" t="n">
        <f aca="false">IF(BI3&lt;=Hypotheses!$F$72,BH41*(1+Hypotheses!$F$71/12)+BI40,0)</f>
        <v>954130.161866849</v>
      </c>
      <c r="BJ41" s="27" t="n">
        <f aca="false">IF(BJ3&lt;=Hypotheses!$F$72,BI41*(1+Hypotheses!$F$71/12)+BJ40,0)</f>
        <v>638722.473088281</v>
      </c>
      <c r="BK41" s="27" t="n">
        <f aca="false">IF(BK3&lt;=Hypotheses!$F$72,BJ41*(1+Hypotheses!$F$71/12)+BK40,0)</f>
        <v>320686.386903225</v>
      </c>
      <c r="BL41" s="27" t="n">
        <f aca="false">IF(BL3&lt;=Hypotheses!$F$72,BK41*(1+Hypotheses!$F$71/12)+BL40,0)</f>
        <v>-4.03961166739464E-008</v>
      </c>
    </row>
    <row r="42" customFormat="false" ht="15" hidden="false" customHeight="false" outlineLevel="0" collapsed="false">
      <c r="B42" s="2" t="s">
        <v>296</v>
      </c>
      <c r="C42" s="2" t="s">
        <v>141</v>
      </c>
      <c r="E42" s="27" t="n">
        <f aca="false">IF(E3&lt;=Hypotheses!$F$72,-D41*Hypotheses!$F$71/12,0)</f>
        <v>-126825</v>
      </c>
      <c r="F42" s="27" t="n">
        <f aca="false">IF(F3&lt;=Hypotheses!$F$72,-E41*Hypotheses!$F$71/12,0)</f>
        <v>-125187.218554493</v>
      </c>
      <c r="G42" s="27" t="n">
        <f aca="false">IF(G3&lt;=Hypotheses!$F$72,-F41*Hypotheses!$F$71/12,0)</f>
        <v>-123535.788930274</v>
      </c>
      <c r="H42" s="27" t="n">
        <f aca="false">IF(H3&lt;=Hypotheses!$F$72,-G41*Hypotheses!$F$71/12,0)</f>
        <v>-121870.59739252</v>
      </c>
      <c r="I42" s="27" t="n">
        <f aca="false">IF(I3&lt;=Hypotheses!$F$72,-H41*Hypotheses!$F$71/12,0)</f>
        <v>-120191.529258618</v>
      </c>
      <c r="J42" s="27" t="n">
        <f aca="false">IF(J3&lt;=Hypotheses!$F$72,-I41*Hypotheses!$F$71/12,0)</f>
        <v>-118498.468890266</v>
      </c>
      <c r="K42" s="27" t="n">
        <f aca="false">IF(K3&lt;=Hypotheses!$F$72,-J41*Hypotheses!$F$71/12,0)</f>
        <v>-116791.299685512</v>
      </c>
      <c r="L42" s="27" t="n">
        <f aca="false">IF(L3&lt;=Hypotheses!$F$72,-K41*Hypotheses!$F$71/12,0)</f>
        <v>-115069.904070718</v>
      </c>
      <c r="M42" s="27" t="n">
        <f aca="false">IF(M3&lt;=Hypotheses!$F$72,-L41*Hypotheses!$F$71/12,0)</f>
        <v>-113334.163492467</v>
      </c>
      <c r="N42" s="27" t="n">
        <f aca="false">IF(N3&lt;=Hypotheses!$F$72,-M41*Hypotheses!$F$71/12,0)</f>
        <v>-111583.958409398</v>
      </c>
      <c r="O42" s="27" t="n">
        <f aca="false">IF(O3&lt;=Hypotheses!$F$72,-N41*Hypotheses!$F$71/12,0)</f>
        <v>-109819.16828397</v>
      </c>
      <c r="P42" s="27" t="n">
        <f aca="false">IF(P3&lt;=Hypotheses!$F$72,-O41*Hypotheses!$F$71/12,0)</f>
        <v>-108039.671574163</v>
      </c>
      <c r="Q42" s="27" t="n">
        <f aca="false">IF(Q3&lt;=Hypotheses!$F$72,-P41*Hypotheses!$F$71/12,0)</f>
        <v>-106245.345725107</v>
      </c>
      <c r="R42" s="27" t="n">
        <f aca="false">IF(R3&lt;=Hypotheses!$F$72,-Q41*Hypotheses!$F$71/12,0)</f>
        <v>-104436.067160643</v>
      </c>
      <c r="S42" s="27" t="n">
        <f aca="false">IF(S3&lt;=Hypotheses!$F$72,-R41*Hypotheses!$F$71/12,0)</f>
        <v>-102611.711274809</v>
      </c>
      <c r="T42" s="27" t="n">
        <f aca="false">IF(T3&lt;=Hypotheses!$F$72,-S41*Hypotheses!$F$71/12,0)</f>
        <v>-100772.152423259</v>
      </c>
      <c r="U42" s="27" t="n">
        <f aca="false">IF(U3&lt;=Hypotheses!$F$72,-T41*Hypotheses!$F$71/12,0)</f>
        <v>-98917.2639146128</v>
      </c>
      <c r="V42" s="27" t="n">
        <f aca="false">IF(V3&lt;=Hypotheses!$F$72,-U41*Hypotheses!$F$71/12,0)</f>
        <v>-97046.918001728</v>
      </c>
      <c r="W42" s="27" t="n">
        <f aca="false">IF(W3&lt;=Hypotheses!$F$72,-V41*Hypotheses!$F$71/12,0)</f>
        <v>-95160.9858729025</v>
      </c>
      <c r="X42" s="27" t="n">
        <f aca="false">IF(X3&lt;=Hypotheses!$F$72,-W41*Hypotheses!$F$71/12,0)</f>
        <v>-93259.3376430034</v>
      </c>
      <c r="Y42" s="27" t="n">
        <f aca="false">IF(Y3&lt;=Hypotheses!$F$72,-X41*Hypotheses!$F$71/12,0)</f>
        <v>-91341.8423445218</v>
      </c>
      <c r="Z42" s="27" t="n">
        <f aca="false">IF(Z3&lt;=Hypotheses!$F$72,-Y41*Hypotheses!$F$71/12,0)</f>
        <v>-89408.3679185529</v>
      </c>
      <c r="AA42" s="27" t="n">
        <f aca="false">IF(AA3&lt;=Hypotheses!$F$72,-Z41*Hypotheses!$F$71/12,0)</f>
        <v>-87458.7812057009</v>
      </c>
      <c r="AB42" s="27" t="n">
        <f aca="false">IF(AB3&lt;=Hypotheses!$F$72,-AA41*Hypotheses!$F$71/12,0)</f>
        <v>-85492.9479369084</v>
      </c>
      <c r="AC42" s="27" t="n">
        <f aca="false">IF(AC3&lt;=Hypotheses!$F$72,-AB41*Hypotheses!$F$71/12,0)</f>
        <v>-83510.7327242094</v>
      </c>
      <c r="AD42" s="27" t="n">
        <f aca="false">IF(AD3&lt;=Hypotheses!$F$72,-AC41*Hypotheses!$F$71/12,0)</f>
        <v>-81511.9990514045</v>
      </c>
      <c r="AE42" s="27" t="n">
        <f aca="false">IF(AE3&lt;=Hypotheses!$F$72,-AD41*Hypotheses!$F$71/12,0)</f>
        <v>-79496.6092646596</v>
      </c>
      <c r="AF42" s="27" t="n">
        <f aca="false">IF(AF3&lt;=Hypotheses!$F$72,-AE41*Hypotheses!$F$71/12,0)</f>
        <v>-77464.4245630252</v>
      </c>
      <c r="AG42" s="27" t="n">
        <f aca="false">IF(AG3&lt;=Hypotheses!$F$72,-AF41*Hypotheses!$F$71/12,0)</f>
        <v>-75415.3049888771</v>
      </c>
      <c r="AH42" s="27" t="n">
        <f aca="false">IF(AH3&lt;=Hypotheses!$F$72,-AG41*Hypotheses!$F$71/12,0)</f>
        <v>-73349.1094182778</v>
      </c>
      <c r="AI42" s="27" t="n">
        <f aca="false">IF(AI3&lt;=Hypotheses!$F$72,-AH41*Hypotheses!$F$71/12,0)</f>
        <v>-71265.6955512569</v>
      </c>
      <c r="AJ42" s="27" t="n">
        <f aca="false">IF(AJ3&lt;=Hypotheses!$F$72,-AI41*Hypotheses!$F$71/12,0)</f>
        <v>-69164.9199020107</v>
      </c>
      <c r="AK42" s="27" t="n">
        <f aca="false">IF(AK3&lt;=Hypotheses!$F$72,-AJ41*Hypotheses!$F$71/12,0)</f>
        <v>-67046.6377890209</v>
      </c>
      <c r="AL42" s="27" t="n">
        <f aca="false">IF(AL3&lt;=Hypotheses!$F$72,-AK41*Hypotheses!$F$71/12,0)</f>
        <v>-64910.7033250894</v>
      </c>
      <c r="AM42" s="27" t="n">
        <f aca="false">IF(AM3&lt;=Hypotheses!$F$72,-AL41*Hypotheses!$F$71/12,0)</f>
        <v>-62756.9694072919</v>
      </c>
      <c r="AN42" s="27" t="n">
        <f aca="false">IF(AN3&lt;=Hypotheses!$F$72,-AM41*Hypotheses!$F$71/12,0)</f>
        <v>-60585.2877068461</v>
      </c>
      <c r="AO42" s="27" t="n">
        <f aca="false">IF(AO3&lt;=Hypotheses!$F$72,-AN41*Hypotheses!$F$71/12,0)</f>
        <v>-58395.5086588965</v>
      </c>
      <c r="AP42" s="27" t="n">
        <f aca="false">IF(AP3&lt;=Hypotheses!$F$72,-AO41*Hypotheses!$F$71/12,0)</f>
        <v>-56187.4814522141</v>
      </c>
      <c r="AQ42" s="27" t="n">
        <f aca="false">IF(AQ3&lt;=Hypotheses!$F$72,-AP41*Hypotheses!$F$71/12,0)</f>
        <v>-53961.0540188093</v>
      </c>
      <c r="AR42" s="27" t="n">
        <f aca="false">IF(AR3&lt;=Hypotheses!$F$72,-AQ41*Hypotheses!$F$71/12,0)</f>
        <v>-51716.0730234594</v>
      </c>
      <c r="AS42" s="27" t="n">
        <f aca="false">IF(AS3&lt;=Hypotheses!$F$72,-AR41*Hypotheses!$F$71/12,0)</f>
        <v>-49452.3838531483</v>
      </c>
      <c r="AT42" s="27" t="n">
        <f aca="false">IF(AT3&lt;=Hypotheses!$F$72,-AS41*Hypotheses!$F$71/12,0)</f>
        <v>-47169.8306064179</v>
      </c>
      <c r="AU42" s="27" t="n">
        <f aca="false">IF(AU3&lt;=Hypotheses!$F$72,-AT41*Hypotheses!$F$71/12,0)</f>
        <v>-44868.2560826315</v>
      </c>
      <c r="AV42" s="27" t="n">
        <f aca="false">IF(AV3&lt;=Hypotheses!$F$72,-AU41*Hypotheses!$F$71/12,0)</f>
        <v>-42547.5017711468</v>
      </c>
      <c r="AW42" s="27" t="n">
        <f aca="false">IF(AW3&lt;=Hypotheses!$F$72,-AV41*Hypotheses!$F$71/12,0)</f>
        <v>-40207.4078403997</v>
      </c>
      <c r="AX42" s="27" t="n">
        <f aca="false">IF(AX3&lt;=Hypotheses!$F$72,-AW41*Hypotheses!$F$71/12,0)</f>
        <v>-37847.8131268965</v>
      </c>
      <c r="AY42" s="27" t="n">
        <f aca="false">IF(AY3&lt;=Hypotheses!$F$72,-AX41*Hypotheses!$F$71/12,0)</f>
        <v>-35468.555124114</v>
      </c>
      <c r="AZ42" s="27" t="n">
        <f aca="false">IF(AZ3&lt;=Hypotheses!$F$72,-AY41*Hypotheses!$F$71/12,0)</f>
        <v>-33069.4699713084</v>
      </c>
      <c r="BA42" s="27" t="n">
        <f aca="false">IF(BA3&lt;=Hypotheses!$F$72,-AZ41*Hypotheses!$F$71/12,0)</f>
        <v>-30650.3924422293</v>
      </c>
      <c r="BB42" s="27" t="n">
        <f aca="false">IF(BB3&lt;=Hypotheses!$F$72,-BA41*Hypotheses!$F$71/12,0)</f>
        <v>-28211.1559337413</v>
      </c>
      <c r="BC42" s="27" t="n">
        <f aca="false">IF(BC3&lt;=Hypotheses!$F$72,-BB41*Hypotheses!$F$71/12,0)</f>
        <v>-25751.5924543492</v>
      </c>
      <c r="BD42" s="27" t="n">
        <f aca="false">IF(BD3&lt;=Hypotheses!$F$72,-BC41*Hypotheses!$F$71/12,0)</f>
        <v>-23271.5326126289</v>
      </c>
      <c r="BE42" s="27" t="n">
        <f aca="false">IF(BE3&lt;=Hypotheses!$F$72,-BD41*Hypotheses!$F$71/12,0)</f>
        <v>-20770.8056055609</v>
      </c>
      <c r="BF42" s="27" t="n">
        <f aca="false">IF(BF3&lt;=Hypotheses!$F$72,-BE41*Hypotheses!$F$71/12,0)</f>
        <v>-18249.2392067673</v>
      </c>
      <c r="BG42" s="27" t="n">
        <f aca="false">IF(BG3&lt;=Hypotheses!$F$72,-BF41*Hypotheses!$F$71/12,0)</f>
        <v>-15706.6597546504</v>
      </c>
      <c r="BH42" s="27" t="n">
        <f aca="false">IF(BH3&lt;=Hypotheses!$F$72,-BG41*Hypotheses!$F$71/12,0)</f>
        <v>-13142.8921404325</v>
      </c>
      <c r="BI42" s="27" t="n">
        <f aca="false">IF(BI3&lt;=Hypotheses!$F$72,-BH41*Hypotheses!$F$71/12,0)</f>
        <v>-10557.7597960962</v>
      </c>
      <c r="BJ42" s="27" t="n">
        <f aca="false">IF(BJ3&lt;=Hypotheses!$F$72,-BI41*Hypotheses!$F$71/12,0)</f>
        <v>-7951.08468222374</v>
      </c>
      <c r="BK42" s="27" t="n">
        <f aca="false">IF(BK3&lt;=Hypotheses!$F$72,-BJ41*Hypotheses!$F$71/12,0)</f>
        <v>-5322.68727573567</v>
      </c>
      <c r="BL42" s="27" t="n">
        <f aca="false">IF(BL3&lt;=Hypotheses!$F$72,-BK41*Hypotheses!$F$71/12,0)</f>
        <v>-2672.38655752687</v>
      </c>
    </row>
    <row r="43" customFormat="false" ht="15" hidden="false" customHeight="false" outlineLevel="0" collapsed="false">
      <c r="B43" s="3" t="s">
        <v>297</v>
      </c>
      <c r="C43" s="2" t="s">
        <v>141</v>
      </c>
      <c r="D43" s="28" t="n">
        <f aca="false">D29+D37</f>
        <v>-31408500</v>
      </c>
      <c r="E43" s="28" t="n">
        <f aca="false">E29+E36+E37+E38+E39+E40</f>
        <v>-1987477.52346079</v>
      </c>
      <c r="F43" s="28" t="n">
        <f aca="false">F29+F36+F37+F38+F39+F40</f>
        <v>-619092.656923074</v>
      </c>
      <c r="G43" s="28" t="n">
        <f aca="false">G29+G36+G37+G38+G39+G40</f>
        <v>-238983.163692901</v>
      </c>
      <c r="H43" s="28" t="n">
        <f aca="false">H29+H36+H37+H38+H39+H40</f>
        <v>146273.563579827</v>
      </c>
      <c r="I43" s="28" t="n">
        <f aca="false">I29+I36+I37+I38+I39+I40</f>
        <v>536677.524895108</v>
      </c>
      <c r="J43" s="28" t="n">
        <f aca="false">J29+J36+J37+J38+J39+J40</f>
        <v>932228.720252941</v>
      </c>
      <c r="K43" s="28" t="n">
        <f aca="false">K29+K36+K37+K38+K39+K40</f>
        <v>1090927.14965333</v>
      </c>
      <c r="L43" s="28" t="n">
        <f aca="false">L29+L36+L37+L38+L39+L40</f>
        <v>1496772.81309627</v>
      </c>
      <c r="M43" s="28" t="n">
        <f aca="false">M29+M36+M37+M38+M39+M40</f>
        <v>1907765.71058176</v>
      </c>
      <c r="N43" s="28" t="n">
        <f aca="false">N29+N36+N37+N38+N39+N40</f>
        <v>2323905.84210981</v>
      </c>
      <c r="O43" s="28" t="n">
        <f aca="false">O29+O36+O37+O38+O39+O40</f>
        <v>2745193.20768041</v>
      </c>
      <c r="P43" s="28" t="n">
        <f aca="false">P29+P36+P37+P38+P39+P40</f>
        <v>3171627.80729356</v>
      </c>
      <c r="Q43" s="28" t="n">
        <f aca="false">Q29+Q36+Q37+Q38+Q39+Q40</f>
        <v>131795.069411957</v>
      </c>
      <c r="R43" s="28" t="n">
        <f aca="false">R29+R36+R37+R38+R39+R40</f>
        <v>3725049.79568814</v>
      </c>
      <c r="S43" s="28" t="n">
        <f aca="false">S29+S36+S37+S38+S39+S40</f>
        <v>3762796.17866687</v>
      </c>
      <c r="T43" s="28" t="n">
        <f aca="false">T29+T36+T37+T38+T39+T40</f>
        <v>3800542.56164559</v>
      </c>
      <c r="U43" s="28" t="n">
        <f aca="false">U29+U36+U37+U38+U39+U40</f>
        <v>3838288.94462432</v>
      </c>
      <c r="V43" s="28" t="n">
        <f aca="false">V29+V36+V37+V38+V39+V40</f>
        <v>3876035.32760304</v>
      </c>
      <c r="W43" s="28" t="n">
        <f aca="false">W29+W36+W37+W38+W39+W40</f>
        <v>3913781.71058176</v>
      </c>
      <c r="X43" s="28" t="n">
        <f aca="false">X29+X36+X37+X38+X39+X40</f>
        <v>-3477982.9702693</v>
      </c>
      <c r="Y43" s="28" t="n">
        <f aca="false">Y29+Y36+Y37+Y38+Y39+Y40</f>
        <v>4538424.17866687</v>
      </c>
      <c r="Z43" s="28" t="n">
        <f aca="false">Z29+Z36+Z37+Z38+Z39+Z40</f>
        <v>4777910.81696474</v>
      </c>
      <c r="AA43" s="28" t="n">
        <f aca="false">AA29+AA36+AA37+AA38+AA39+AA40</f>
        <v>5019756.60419878</v>
      </c>
      <c r="AB43" s="28" t="n">
        <f aca="false">AB29+AB36+AB37+AB38+AB39+AB40</f>
        <v>5263961.540369</v>
      </c>
      <c r="AC43" s="28" t="n">
        <f aca="false">AC29+AC36+AC37+AC38+AC39+AC40</f>
        <v>-9243533.58089445</v>
      </c>
      <c r="AD43" s="28" t="n">
        <f aca="false">AD29+AD36+AD37+AD38+AD39+AD40</f>
        <v>5759448.85951793</v>
      </c>
      <c r="AE43" s="28" t="n">
        <f aca="false">AE29+AE36+AE37+AE38+AE39+AE40</f>
        <v>6010731.24249666</v>
      </c>
      <c r="AF43" s="28" t="n">
        <f aca="false">AF29+AF36+AF37+AF38+AF39+AF40</f>
        <v>6264372.77441155</v>
      </c>
      <c r="AG43" s="28" t="n">
        <f aca="false">AG29+AG36+AG37+AG38+AG39+AG40</f>
        <v>6520373.45526261</v>
      </c>
      <c r="AH43" s="28" t="n">
        <f aca="false">AH29+AH36+AH37+AH38+AH39+AH40</f>
        <v>6778733.28504985</v>
      </c>
      <c r="AI43" s="28" t="n">
        <f aca="false">AI29+AI36+AI37+AI38+AI39+AI40</f>
        <v>7039452.26377325</v>
      </c>
      <c r="AJ43" s="28" t="n">
        <f aca="false">AJ29+AJ36+AJ37+AJ38+AJ39+AJ40</f>
        <v>7302530.39143283</v>
      </c>
      <c r="AK43" s="28" t="n">
        <f aca="false">AK29+AK36+AK37+AK38+AK39+AK40</f>
        <v>7567967.66802857</v>
      </c>
      <c r="AL43" s="28" t="n">
        <f aca="false">AL29+AL36+AL37+AL38+AL39+AL40</f>
        <v>7835764.09356049</v>
      </c>
      <c r="AM43" s="28" t="n">
        <f aca="false">AM29+AM36+AM37+AM38+AM39+AM40</f>
        <v>8105919.66802857</v>
      </c>
      <c r="AN43" s="28" t="n">
        <f aca="false">AN29+AN36+AN37+AN38+AN39+AN40</f>
        <v>8378434.39143282</v>
      </c>
      <c r="AO43" s="28" t="n">
        <f aca="false">AO29+AO36+AO37+AO38+AO39+AO40</f>
        <v>-16660393.306873</v>
      </c>
      <c r="AP43" s="28" t="n">
        <f aca="false">AP29+AP36+AP37+AP38+AP39+AP40</f>
        <v>8930541.28504985</v>
      </c>
      <c r="AQ43" s="28" t="n">
        <f aca="false">AQ29+AQ36+AQ37+AQ38+AQ39+AQ40</f>
        <v>9210133.45526261</v>
      </c>
      <c r="AR43" s="28" t="n">
        <f aca="false">AR29+AR36+AR37+AR38+AR39+AR40</f>
        <v>9492084.77441155</v>
      </c>
      <c r="AS43" s="28" t="n">
        <f aca="false">AS29+AS36+AS37+AS38+AS39+AS40</f>
        <v>9776395.24249666</v>
      </c>
      <c r="AT43" s="28" t="n">
        <f aca="false">AT29+AT36+AT37+AT38+AT39+AT40</f>
        <v>10063064.8595179</v>
      </c>
      <c r="AU43" s="28" t="n">
        <f aca="false">AU29+AU36+AU37+AU38+AU39+AU40</f>
        <v>10352093.6254754</v>
      </c>
      <c r="AV43" s="28" t="n">
        <f aca="false">AV29+AV36+AV37+AV38+AV39+AV40</f>
        <v>10643481.540369</v>
      </c>
      <c r="AW43" s="28" t="n">
        <f aca="false">AW29+AW36+AW37+AW38+AW39+AW40</f>
        <v>11078552.8595179</v>
      </c>
      <c r="AX43" s="28" t="n">
        <f aca="false">AX29+AX36+AX37+AX38+AX39+AX40</f>
        <v>11154045.6254754</v>
      </c>
      <c r="AY43" s="28" t="n">
        <f aca="false">AY29+AY36+AY37+AY38+AY39+AY40</f>
        <v>11229538.3914328</v>
      </c>
      <c r="AZ43" s="28" t="n">
        <f aca="false">AZ29+AZ36+AZ37+AZ38+AZ39+AZ40</f>
        <v>11305031.1573903</v>
      </c>
      <c r="BA43" s="28" t="n">
        <f aca="false">BA29+BA36+BA37+BA38+BA39+BA40</f>
        <v>-25635077.9009174</v>
      </c>
      <c r="BB43" s="28" t="n">
        <f aca="false">BB29+BB36+BB37+BB38+BB39+BB40</f>
        <v>11586086.4765392</v>
      </c>
      <c r="BC43" s="28" t="n">
        <f aca="false">BC29+BC36+BC37+BC38+BC39+BC40</f>
        <v>11586086.4765392</v>
      </c>
      <c r="BD43" s="28" t="n">
        <f aca="false">BD29+BD36+BD37+BD38+BD39+BD40</f>
        <v>11586086.4765392</v>
      </c>
      <c r="BE43" s="28" t="n">
        <f aca="false">BE29+BE36+BE37+BE38+BE39+BE40</f>
        <v>11586086.4765392</v>
      </c>
      <c r="BF43" s="28" t="n">
        <f aca="false">BF29+BF36+BF37+BF38+BF39+BF40</f>
        <v>11586086.4765392</v>
      </c>
      <c r="BG43" s="28" t="n">
        <f aca="false">BG29+BG36+BG37+BG38+BG39+BG40</f>
        <v>11586086.4765392</v>
      </c>
      <c r="BH43" s="28" t="n">
        <f aca="false">BH29+BH36+BH37+BH38+BH39+BH40</f>
        <v>11586086.4765392</v>
      </c>
      <c r="BI43" s="28" t="n">
        <f aca="false">BI29+BI36+BI37+BI38+BI39+BI40</f>
        <v>11586086.4765392</v>
      </c>
      <c r="BJ43" s="28" t="n">
        <f aca="false">BJ29+BJ36+BJ37+BJ38+BJ39+BJ40</f>
        <v>11586086.4765392</v>
      </c>
      <c r="BK43" s="28" t="n">
        <f aca="false">BK29+BK36+BK37+BK38+BK39+BK40</f>
        <v>11586086.4765392</v>
      </c>
      <c r="BL43" s="28" t="n">
        <f aca="false">BL29+BL36+BL37+BL38+BL39+BL40</f>
        <v>11586086.4765392</v>
      </c>
    </row>
    <row r="44" customFormat="false" ht="15" hidden="false" customHeight="false" outlineLevel="0" collapsed="false">
      <c r="B44" s="3" t="s">
        <v>298</v>
      </c>
      <c r="C44" s="2" t="s">
        <v>141</v>
      </c>
      <c r="D44" s="28" t="n">
        <f aca="false">D43</f>
        <v>-31408500</v>
      </c>
      <c r="E44" s="28" t="n">
        <f aca="false">D44+E43</f>
        <v>-33395977.5234608</v>
      </c>
      <c r="F44" s="28" t="n">
        <f aca="false">E44+F43</f>
        <v>-34015070.1803839</v>
      </c>
      <c r="G44" s="28" t="n">
        <f aca="false">F44+G43</f>
        <v>-34254053.3440768</v>
      </c>
      <c r="H44" s="28" t="n">
        <f aca="false">G44+H43</f>
        <v>-34107779.7804969</v>
      </c>
      <c r="I44" s="28" t="n">
        <f aca="false">H44+I43</f>
        <v>-33571102.2556018</v>
      </c>
      <c r="J44" s="28" t="n">
        <f aca="false">I44+J43</f>
        <v>-32638873.5353489</v>
      </c>
      <c r="K44" s="28" t="n">
        <f aca="false">J44+K43</f>
        <v>-31547946.3856956</v>
      </c>
      <c r="L44" s="28" t="n">
        <f aca="false">K44+L43</f>
        <v>-30051173.5725993</v>
      </c>
      <c r="M44" s="28" t="n">
        <f aca="false">L44+M43</f>
        <v>-28143407.8620175</v>
      </c>
      <c r="N44" s="28" t="n">
        <f aca="false">M44+N43</f>
        <v>-25819502.0199077</v>
      </c>
      <c r="O44" s="28" t="n">
        <f aca="false">N44+O43</f>
        <v>-23074308.8122273</v>
      </c>
      <c r="P44" s="28" t="n">
        <f aca="false">O44+P43</f>
        <v>-19902681.0049338</v>
      </c>
      <c r="Q44" s="28" t="n">
        <f aca="false">P44+Q43</f>
        <v>-19770885.9355218</v>
      </c>
      <c r="R44" s="28" t="n">
        <f aca="false">Q44+R43</f>
        <v>-16045836.1398336</v>
      </c>
      <c r="S44" s="28" t="n">
        <f aca="false">R44+S43</f>
        <v>-12283039.9611668</v>
      </c>
      <c r="T44" s="28" t="n">
        <f aca="false">S44+T43</f>
        <v>-8482497.39952119</v>
      </c>
      <c r="U44" s="28" t="n">
        <f aca="false">T44+U43</f>
        <v>-4644208.45489688</v>
      </c>
      <c r="V44" s="28" t="n">
        <f aca="false">U44+V43</f>
        <v>-768173.127293838</v>
      </c>
      <c r="W44" s="28" t="n">
        <f aca="false">V44+W43</f>
        <v>3145608.58328793</v>
      </c>
      <c r="X44" s="28" t="n">
        <f aca="false">W44+X43</f>
        <v>-332374.386981377</v>
      </c>
      <c r="Y44" s="28" t="n">
        <f aca="false">X44+Y43</f>
        <v>4206049.79168549</v>
      </c>
      <c r="Z44" s="28" t="n">
        <f aca="false">Y44+Z43</f>
        <v>8983960.60865023</v>
      </c>
      <c r="AA44" s="28" t="n">
        <f aca="false">Z44+AA43</f>
        <v>14003717.212849</v>
      </c>
      <c r="AB44" s="28" t="n">
        <f aca="false">AA44+AB43</f>
        <v>19267678.753218</v>
      </c>
      <c r="AC44" s="28" t="n">
        <f aca="false">AB44+AC43</f>
        <v>10024145.1723236</v>
      </c>
      <c r="AD44" s="28" t="n">
        <f aca="false">AC44+AD43</f>
        <v>15783594.0318415</v>
      </c>
      <c r="AE44" s="28" t="n">
        <f aca="false">AD44+AE43</f>
        <v>21794325.2743381</v>
      </c>
      <c r="AF44" s="28" t="n">
        <f aca="false">AE44+AF43</f>
        <v>28058698.0487497</v>
      </c>
      <c r="AG44" s="28" t="n">
        <f aca="false">AF44+AG43</f>
        <v>34579071.5040123</v>
      </c>
      <c r="AH44" s="28" t="n">
        <f aca="false">AG44+AH43</f>
        <v>41357804.7890622</v>
      </c>
      <c r="AI44" s="28" t="n">
        <f aca="false">AH44+AI43</f>
        <v>48397257.0528354</v>
      </c>
      <c r="AJ44" s="28" t="n">
        <f aca="false">AI44+AJ43</f>
        <v>55699787.4442682</v>
      </c>
      <c r="AK44" s="28" t="n">
        <f aca="false">AJ44+AK43</f>
        <v>63267755.1122968</v>
      </c>
      <c r="AL44" s="28" t="n">
        <f aca="false">AK44+AL43</f>
        <v>71103519.2058573</v>
      </c>
      <c r="AM44" s="28" t="n">
        <f aca="false">AL44+AM43</f>
        <v>79209438.8738858</v>
      </c>
      <c r="AN44" s="28" t="n">
        <f aca="false">AM44+AN43</f>
        <v>87587873.2653187</v>
      </c>
      <c r="AO44" s="28" t="n">
        <f aca="false">AN44+AO43</f>
        <v>70927479.9584457</v>
      </c>
      <c r="AP44" s="28" t="n">
        <f aca="false">AO44+AP43</f>
        <v>79858021.2434955</v>
      </c>
      <c r="AQ44" s="28" t="n">
        <f aca="false">AP44+AQ43</f>
        <v>89068154.6987582</v>
      </c>
      <c r="AR44" s="28" t="n">
        <f aca="false">AQ44+AR43</f>
        <v>98560239.4731697</v>
      </c>
      <c r="AS44" s="28" t="n">
        <f aca="false">AR44+AS43</f>
        <v>108336634.715666</v>
      </c>
      <c r="AT44" s="28" t="n">
        <f aca="false">AS44+AT43</f>
        <v>118399699.575184</v>
      </c>
      <c r="AU44" s="28" t="n">
        <f aca="false">AT44+AU43</f>
        <v>128751793.20066</v>
      </c>
      <c r="AV44" s="28" t="n">
        <f aca="false">AU44+AV43</f>
        <v>139395274.741029</v>
      </c>
      <c r="AW44" s="28" t="n">
        <f aca="false">AV44+AW43</f>
        <v>150473827.600547</v>
      </c>
      <c r="AX44" s="28" t="n">
        <f aca="false">AW44+AX43</f>
        <v>161627873.226022</v>
      </c>
      <c r="AY44" s="28" t="n">
        <f aca="false">AX44+AY43</f>
        <v>172857411.617455</v>
      </c>
      <c r="AZ44" s="28" t="n">
        <f aca="false">AY44+AZ43</f>
        <v>184162442.774845</v>
      </c>
      <c r="BA44" s="28" t="n">
        <f aca="false">AZ44+BA43</f>
        <v>158527364.873928</v>
      </c>
      <c r="BB44" s="28" t="n">
        <f aca="false">BA44+BB43</f>
        <v>170113451.350467</v>
      </c>
      <c r="BC44" s="28" t="n">
        <f aca="false">BB44+BC43</f>
        <v>181699537.827006</v>
      </c>
      <c r="BD44" s="28" t="n">
        <f aca="false">BC44+BD43</f>
        <v>193285624.303545</v>
      </c>
      <c r="BE44" s="28" t="n">
        <f aca="false">BD44+BE43</f>
        <v>204871710.780084</v>
      </c>
      <c r="BF44" s="28" t="n">
        <f aca="false">BE44+BF43</f>
        <v>216457797.256624</v>
      </c>
      <c r="BG44" s="28" t="n">
        <f aca="false">BF44+BG43</f>
        <v>228043883.733163</v>
      </c>
      <c r="BH44" s="28" t="n">
        <f aca="false">BG44+BH43</f>
        <v>239629970.209702</v>
      </c>
      <c r="BI44" s="28" t="n">
        <f aca="false">BH44+BI43</f>
        <v>251216056.686241</v>
      </c>
      <c r="BJ44" s="28" t="n">
        <f aca="false">BI44+BJ43</f>
        <v>262802143.16278</v>
      </c>
      <c r="BK44" s="28" t="n">
        <f aca="false">BJ44+BK43</f>
        <v>274388229.63932</v>
      </c>
      <c r="BL44" s="28" t="n">
        <f aca="false">BK44+BL43</f>
        <v>285974316.115859</v>
      </c>
    </row>
    <row r="45" customFormat="false" ht="15" hidden="false" customHeight="false" outlineLevel="0" collapsed="false">
      <c r="B45" s="2" t="s">
        <v>299</v>
      </c>
      <c r="C45" s="2" t="s">
        <v>141</v>
      </c>
      <c r="D45" s="27" t="n">
        <f aca="false">Epargne!$G$130</f>
        <v>24366258.5</v>
      </c>
      <c r="E45" s="27" t="n">
        <f aca="false">0</f>
        <v>0</v>
      </c>
      <c r="F45" s="27" t="n">
        <f aca="false">0</f>
        <v>0</v>
      </c>
      <c r="G45" s="27" t="n">
        <f aca="false">0</f>
        <v>0</v>
      </c>
      <c r="H45" s="27" t="n">
        <f aca="false">0</f>
        <v>0</v>
      </c>
      <c r="I45" s="27" t="n">
        <f aca="false">0</f>
        <v>0</v>
      </c>
      <c r="J45" s="27" t="n">
        <f aca="false">0</f>
        <v>0</v>
      </c>
      <c r="K45" s="27" t="n">
        <f aca="false">0</f>
        <v>0</v>
      </c>
      <c r="L45" s="27" t="n">
        <f aca="false">0</f>
        <v>0</v>
      </c>
      <c r="M45" s="27" t="n">
        <f aca="false">0</f>
        <v>0</v>
      </c>
      <c r="N45" s="27" t="n">
        <f aca="false">0</f>
        <v>0</v>
      </c>
      <c r="O45" s="27" t="n">
        <f aca="false">0</f>
        <v>0</v>
      </c>
      <c r="P45" s="27" t="n">
        <f aca="false">0</f>
        <v>0</v>
      </c>
      <c r="Q45" s="27" t="n">
        <f aca="false">0</f>
        <v>0</v>
      </c>
      <c r="R45" s="27" t="n">
        <f aca="false">0</f>
        <v>0</v>
      </c>
      <c r="S45" s="27" t="n">
        <f aca="false">0</f>
        <v>0</v>
      </c>
      <c r="T45" s="27" t="n">
        <f aca="false">0</f>
        <v>0</v>
      </c>
      <c r="U45" s="27" t="n">
        <f aca="false">0</f>
        <v>0</v>
      </c>
      <c r="V45" s="27" t="n">
        <f aca="false">0</f>
        <v>0</v>
      </c>
      <c r="W45" s="27" t="n">
        <f aca="false">0</f>
        <v>0</v>
      </c>
      <c r="X45" s="27" t="n">
        <f aca="false">0</f>
        <v>0</v>
      </c>
      <c r="Y45" s="27" t="n">
        <f aca="false">0</f>
        <v>0</v>
      </c>
      <c r="Z45" s="27" t="n">
        <f aca="false">0</f>
        <v>0</v>
      </c>
      <c r="AA45" s="27" t="n">
        <f aca="false">0</f>
        <v>0</v>
      </c>
      <c r="AB45" s="27" t="n">
        <f aca="false">0</f>
        <v>0</v>
      </c>
      <c r="AC45" s="27" t="n">
        <f aca="false">0</f>
        <v>0</v>
      </c>
      <c r="AD45" s="27" t="n">
        <f aca="false">0</f>
        <v>0</v>
      </c>
      <c r="AE45" s="27" t="n">
        <f aca="false">0</f>
        <v>0</v>
      </c>
      <c r="AF45" s="27" t="n">
        <f aca="false">0</f>
        <v>0</v>
      </c>
      <c r="AG45" s="27" t="n">
        <f aca="false">0</f>
        <v>0</v>
      </c>
      <c r="AH45" s="27" t="n">
        <f aca="false">0</f>
        <v>0</v>
      </c>
      <c r="AI45" s="27" t="n">
        <f aca="false">0</f>
        <v>0</v>
      </c>
      <c r="AJ45" s="27" t="n">
        <f aca="false">0</f>
        <v>0</v>
      </c>
      <c r="AK45" s="27" t="n">
        <f aca="false">0</f>
        <v>0</v>
      </c>
      <c r="AL45" s="27" t="n">
        <f aca="false">0</f>
        <v>0</v>
      </c>
      <c r="AM45" s="27" t="n">
        <f aca="false">0</f>
        <v>0</v>
      </c>
      <c r="AN45" s="27" t="n">
        <f aca="false">0</f>
        <v>0</v>
      </c>
      <c r="AO45" s="27" t="n">
        <f aca="false">0</f>
        <v>0</v>
      </c>
      <c r="AP45" s="27" t="n">
        <f aca="false">0</f>
        <v>0</v>
      </c>
      <c r="AQ45" s="27" t="n">
        <f aca="false">0</f>
        <v>0</v>
      </c>
      <c r="AR45" s="27" t="n">
        <f aca="false">0</f>
        <v>0</v>
      </c>
      <c r="AS45" s="27" t="n">
        <f aca="false">0</f>
        <v>0</v>
      </c>
      <c r="AT45" s="27" t="n">
        <f aca="false">0</f>
        <v>0</v>
      </c>
      <c r="AU45" s="27" t="n">
        <f aca="false">0</f>
        <v>0</v>
      </c>
      <c r="AV45" s="27" t="n">
        <f aca="false">0</f>
        <v>0</v>
      </c>
      <c r="AW45" s="27" t="n">
        <f aca="false">0</f>
        <v>0</v>
      </c>
      <c r="AX45" s="27" t="n">
        <f aca="false">0</f>
        <v>0</v>
      </c>
      <c r="AY45" s="27" t="n">
        <f aca="false">0</f>
        <v>0</v>
      </c>
      <c r="AZ45" s="27" t="n">
        <f aca="false">0</f>
        <v>0</v>
      </c>
      <c r="BA45" s="27" t="n">
        <f aca="false">0</f>
        <v>0</v>
      </c>
      <c r="BB45" s="27" t="n">
        <f aca="false">0</f>
        <v>0</v>
      </c>
      <c r="BC45" s="27" t="n">
        <f aca="false">0</f>
        <v>0</v>
      </c>
      <c r="BD45" s="27" t="n">
        <f aca="false">0</f>
        <v>0</v>
      </c>
      <c r="BE45" s="27" t="n">
        <f aca="false">0</f>
        <v>0</v>
      </c>
      <c r="BF45" s="27" t="n">
        <f aca="false">0</f>
        <v>0</v>
      </c>
      <c r="BG45" s="27" t="n">
        <f aca="false">0</f>
        <v>0</v>
      </c>
      <c r="BH45" s="27" t="n">
        <f aca="false">0</f>
        <v>0</v>
      </c>
      <c r="BI45" s="27" t="n">
        <f aca="false">0</f>
        <v>0</v>
      </c>
      <c r="BJ45" s="27" t="n">
        <f aca="false">0</f>
        <v>0</v>
      </c>
      <c r="BK45" s="27" t="n">
        <f aca="false">0</f>
        <v>0</v>
      </c>
      <c r="BL45" s="27" t="n">
        <f aca="false">0</f>
        <v>0</v>
      </c>
    </row>
    <row r="46" customFormat="false" ht="15" hidden="false" customHeight="false" outlineLevel="0" collapsed="false">
      <c r="B46" s="3" t="s">
        <v>300</v>
      </c>
      <c r="C46" s="2" t="s">
        <v>141</v>
      </c>
      <c r="D46" s="28" t="n">
        <f aca="false">D44+D45</f>
        <v>-7042241.5</v>
      </c>
      <c r="E46" s="28" t="n">
        <f aca="false">D46+E43</f>
        <v>-9029719.02346079</v>
      </c>
      <c r="F46" s="28" t="n">
        <f aca="false">E46+F43</f>
        <v>-9648811.68038387</v>
      </c>
      <c r="G46" s="28" t="n">
        <f aca="false">F46+G43</f>
        <v>-9887794.84407677</v>
      </c>
      <c r="H46" s="28" t="n">
        <f aca="false">G46+H43</f>
        <v>-9741521.28049694</v>
      </c>
      <c r="I46" s="28" t="n">
        <f aca="false">H46+I43</f>
        <v>-9204843.75560183</v>
      </c>
      <c r="J46" s="28" t="n">
        <f aca="false">I46+J43</f>
        <v>-8272615.03534889</v>
      </c>
      <c r="K46" s="28" t="n">
        <f aca="false">J46+K43</f>
        <v>-7181687.88569556</v>
      </c>
      <c r="L46" s="28" t="n">
        <f aca="false">K46+L43</f>
        <v>-5684915.0725993</v>
      </c>
      <c r="M46" s="28" t="n">
        <f aca="false">L46+M43</f>
        <v>-3777149.36201753</v>
      </c>
      <c r="N46" s="28" t="n">
        <f aca="false">M46+N43</f>
        <v>-1453243.51990773</v>
      </c>
      <c r="O46" s="28" t="n">
        <f aca="false">N46+O43</f>
        <v>1291949.68777268</v>
      </c>
      <c r="P46" s="28" t="n">
        <f aca="false">O46+P43</f>
        <v>4463577.49506624</v>
      </c>
      <c r="Q46" s="28" t="n">
        <f aca="false">P46+Q43</f>
        <v>4595372.5644782</v>
      </c>
      <c r="R46" s="28" t="n">
        <f aca="false">Q46+R43</f>
        <v>8320422.36016634</v>
      </c>
      <c r="S46" s="28" t="n">
        <f aca="false">R46+S43</f>
        <v>12083218.5388332</v>
      </c>
      <c r="T46" s="28" t="n">
        <f aca="false">S46+T43</f>
        <v>15883761.1004788</v>
      </c>
      <c r="U46" s="28" t="n">
        <f aca="false">T46+U43</f>
        <v>19722050.0451031</v>
      </c>
      <c r="V46" s="28" t="n">
        <f aca="false">U46+V43</f>
        <v>23598085.3727062</v>
      </c>
      <c r="W46" s="28" t="n">
        <f aca="false">V46+W43</f>
        <v>27511867.0832879</v>
      </c>
      <c r="X46" s="28" t="n">
        <f aca="false">W46+X43</f>
        <v>24033884.1130186</v>
      </c>
      <c r="Y46" s="28" t="n">
        <f aca="false">X46+Y43</f>
        <v>28572308.2916855</v>
      </c>
      <c r="Z46" s="28" t="n">
        <f aca="false">Y46+Z43</f>
        <v>33350219.1086502</v>
      </c>
      <c r="AA46" s="28" t="n">
        <f aca="false">Z46+AA43</f>
        <v>38369975.712849</v>
      </c>
      <c r="AB46" s="28" t="n">
        <f aca="false">AA46+AB43</f>
        <v>43633937.253218</v>
      </c>
      <c r="AC46" s="28" t="n">
        <f aca="false">AB46+AC43</f>
        <v>34390403.6723236</v>
      </c>
      <c r="AD46" s="28" t="n">
        <f aca="false">AC46+AD43</f>
        <v>40149852.5318415</v>
      </c>
      <c r="AE46" s="28" t="n">
        <f aca="false">AD46+AE43</f>
        <v>46160583.7743381</v>
      </c>
      <c r="AF46" s="28" t="n">
        <f aca="false">AE46+AF43</f>
        <v>52424956.5487497</v>
      </c>
      <c r="AG46" s="28" t="n">
        <f aca="false">AF46+AG43</f>
        <v>58945330.0040123</v>
      </c>
      <c r="AH46" s="28" t="n">
        <f aca="false">AG46+AH43</f>
        <v>65724063.2890622</v>
      </c>
      <c r="AI46" s="28" t="n">
        <f aca="false">AH46+AI43</f>
        <v>72763515.5528354</v>
      </c>
      <c r="AJ46" s="28" t="n">
        <f aca="false">AI46+AJ43</f>
        <v>80066045.9442682</v>
      </c>
      <c r="AK46" s="28" t="n">
        <f aca="false">AJ46+AK43</f>
        <v>87634013.6122968</v>
      </c>
      <c r="AL46" s="28" t="n">
        <f aca="false">AK46+AL43</f>
        <v>95469777.7058573</v>
      </c>
      <c r="AM46" s="28" t="n">
        <f aca="false">AL46+AM43</f>
        <v>103575697.373886</v>
      </c>
      <c r="AN46" s="28" t="n">
        <f aca="false">AM46+AN43</f>
        <v>111954131.765319</v>
      </c>
      <c r="AO46" s="28" t="n">
        <f aca="false">AN46+AO43</f>
        <v>95293738.4584457</v>
      </c>
      <c r="AP46" s="28" t="n">
        <f aca="false">AO46+AP43</f>
        <v>104224279.743496</v>
      </c>
      <c r="AQ46" s="28" t="n">
        <f aca="false">AP46+AQ43</f>
        <v>113434413.198758</v>
      </c>
      <c r="AR46" s="28" t="n">
        <f aca="false">AQ46+AR43</f>
        <v>122926497.97317</v>
      </c>
      <c r="AS46" s="28" t="n">
        <f aca="false">AR46+AS43</f>
        <v>132702893.215666</v>
      </c>
      <c r="AT46" s="28" t="n">
        <f aca="false">AS46+AT43</f>
        <v>142765958.075184</v>
      </c>
      <c r="AU46" s="28" t="n">
        <f aca="false">AT46+AU43</f>
        <v>153118051.70066</v>
      </c>
      <c r="AV46" s="28" t="n">
        <f aca="false">AU46+AV43</f>
        <v>163761533.241029</v>
      </c>
      <c r="AW46" s="28" t="n">
        <f aca="false">AV46+AW43</f>
        <v>174840086.100547</v>
      </c>
      <c r="AX46" s="28" t="n">
        <f aca="false">AW46+AX43</f>
        <v>185994131.726022</v>
      </c>
      <c r="AY46" s="28" t="n">
        <f aca="false">AX46+AY43</f>
        <v>197223670.117455</v>
      </c>
      <c r="AZ46" s="28" t="n">
        <f aca="false">AY46+AZ43</f>
        <v>208528701.274845</v>
      </c>
      <c r="BA46" s="28" t="n">
        <f aca="false">AZ46+BA43</f>
        <v>182893623.373928</v>
      </c>
      <c r="BB46" s="28" t="n">
        <f aca="false">BA46+BB43</f>
        <v>194479709.850467</v>
      </c>
      <c r="BC46" s="28" t="n">
        <f aca="false">BB46+BC43</f>
        <v>206065796.327006</v>
      </c>
      <c r="BD46" s="28" t="n">
        <f aca="false">BC46+BD43</f>
        <v>217651882.803545</v>
      </c>
      <c r="BE46" s="28" t="n">
        <f aca="false">BD46+BE43</f>
        <v>229237969.280084</v>
      </c>
      <c r="BF46" s="28" t="n">
        <f aca="false">BE46+BF43</f>
        <v>240824055.756624</v>
      </c>
      <c r="BG46" s="28" t="n">
        <f aca="false">BF46+BG43</f>
        <v>252410142.233163</v>
      </c>
      <c r="BH46" s="28" t="n">
        <f aca="false">BG46+BH43</f>
        <v>263996228.709702</v>
      </c>
      <c r="BI46" s="28" t="n">
        <f aca="false">BH46+BI43</f>
        <v>275582315.186241</v>
      </c>
      <c r="BJ46" s="28" t="n">
        <f aca="false">BI46+BJ43</f>
        <v>287168401.66278</v>
      </c>
      <c r="BK46" s="28" t="n">
        <f aca="false">BJ46+BK43</f>
        <v>298754488.13932</v>
      </c>
      <c r="BL46" s="28" t="n">
        <f aca="false">BK46+BL43</f>
        <v>310340574.615859</v>
      </c>
    </row>
    <row r="48" customFormat="false" ht="15" hidden="false" customHeight="false" outlineLevel="0" collapsed="false">
      <c r="B48" s="9" t="s">
        <v>301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customFormat="false" ht="15" hidden="false" customHeight="false" outlineLevel="0" collapsed="false">
      <c r="B49" s="3" t="s">
        <v>302</v>
      </c>
      <c r="E49" s="3" t="n">
        <v>1</v>
      </c>
      <c r="F49" s="3" t="n">
        <v>2</v>
      </c>
      <c r="G49" s="3" t="n">
        <v>3</v>
      </c>
      <c r="H49" s="3" t="n">
        <v>4</v>
      </c>
      <c r="I49" s="3" t="n">
        <v>5</v>
      </c>
    </row>
    <row r="50" customFormat="false" ht="15" hidden="false" customHeight="false" outlineLevel="0" collapsed="false">
      <c r="B50" s="2" t="s">
        <v>35</v>
      </c>
      <c r="E50" s="27" t="n">
        <f aca="false">AVERAGEIF($E$5:$BL$5,E$49,$E$9:$BL$9)</f>
        <v>200</v>
      </c>
      <c r="F50" s="27" t="n">
        <f aca="false">AVERAGEIF($E$5:$BL$5,F$49,$E$9:$BL$9)</f>
        <v>361.666666666667</v>
      </c>
      <c r="G50" s="27" t="n">
        <f aca="false">AVERAGEIF($E$5:$BL$5,G$49,$E$9:$BL$9)</f>
        <v>505</v>
      </c>
      <c r="H50" s="27" t="n">
        <f aca="false">AVERAGEIF($E$5:$BL$5,H$49,$E$9:$BL$9)</f>
        <v>616.666666666667</v>
      </c>
      <c r="I50" s="27" t="n">
        <f aca="false">AVERAGEIF($E$5:$BL$5,I$49,$E$9:$BL$9)</f>
        <v>640</v>
      </c>
    </row>
    <row r="51" customFormat="false" ht="15" hidden="false" customHeight="false" outlineLevel="0" collapsed="false">
      <c r="B51" s="3" t="s">
        <v>36</v>
      </c>
      <c r="E51" s="28" t="n">
        <f aca="false">SUMIF($E$5:$BL$5,E$49,$E$18:$BL$18)</f>
        <v>55206740.4255319</v>
      </c>
      <c r="F51" s="28" t="n">
        <f aca="false">SUMIF($E$5:$BL$5,F$49,$E$18:$BL$18)</f>
        <v>106243191.489362</v>
      </c>
      <c r="G51" s="28" t="n">
        <f aca="false">SUMIF($E$5:$BL$5,G$49,$E$18:$BL$18)</f>
        <v>157850425.531915</v>
      </c>
      <c r="H51" s="28" t="n">
        <f aca="false">SUMIF($E$5:$BL$5,H$49,$E$18:$BL$18)</f>
        <v>204442536.170213</v>
      </c>
      <c r="I51" s="28" t="n">
        <f aca="false">SUMIF($E$5:$BL$5,I$49,$E$18:$BL$18)</f>
        <v>217651200</v>
      </c>
    </row>
    <row r="52" customFormat="false" ht="15" hidden="false" customHeight="false" outlineLevel="0" collapsed="false">
      <c r="B52" s="2" t="s">
        <v>303</v>
      </c>
      <c r="E52" s="27" t="n">
        <f aca="false">SUMIF($E$5:$BL$5,E$49,$E$19:$BL$19)</f>
        <v>-11007360</v>
      </c>
      <c r="F52" s="27" t="n">
        <f aca="false">SUMIF($E$5:$BL$5,F$49,$E$19:$BL$19)</f>
        <v>-19904976</v>
      </c>
      <c r="G52" s="27" t="n">
        <f aca="false">SUMIF($E$5:$BL$5,G$49,$E$19:$BL$19)</f>
        <v>-27793584</v>
      </c>
      <c r="H52" s="27" t="n">
        <f aca="false">SUMIF($E$5:$BL$5,H$49,$E$19:$BL$19)</f>
        <v>-33939360</v>
      </c>
      <c r="I52" s="27" t="n">
        <f aca="false">SUMIF($E$5:$BL$5,I$49,$E$19:$BL$19)</f>
        <v>-35223552</v>
      </c>
    </row>
    <row r="53" customFormat="false" ht="15" hidden="false" customHeight="false" outlineLevel="0" collapsed="false">
      <c r="B53" s="2" t="s">
        <v>304</v>
      </c>
      <c r="E53" s="27" t="n">
        <f aca="false">SUMIF($E$5:$BL$5,E$49,$E$21:$BL$21)</f>
        <v>-241674.893617021</v>
      </c>
      <c r="F53" s="27" t="n">
        <f aca="false">SUMIF($E$5:$BL$5,F$49,$E$21:$BL$21)</f>
        <v>-1152102.12765957</v>
      </c>
      <c r="G53" s="27" t="n">
        <f aca="false">SUMIF($E$5:$BL$5,G$49,$E$21:$BL$21)</f>
        <v>-2668493.61702128</v>
      </c>
      <c r="H53" s="27" t="n">
        <f aca="false">SUMIF($E$5:$BL$5,H$49,$E$21:$BL$21)</f>
        <v>-4562205.95744681</v>
      </c>
      <c r="I53" s="27" t="n">
        <f aca="false">SUMIF($E$5:$BL$5,I$49,$E$21:$BL$21)</f>
        <v>-5345280</v>
      </c>
    </row>
    <row r="54" customFormat="false" ht="15" hidden="false" customHeight="false" outlineLevel="0" collapsed="false">
      <c r="B54" s="2" t="s">
        <v>305</v>
      </c>
      <c r="E54" s="27" t="n">
        <f aca="false">SUMIF($E$5:$BL$5,E$49,$E$25:$BL$25)</f>
        <v>-9147600</v>
      </c>
      <c r="F54" s="27" t="n">
        <f aca="false">SUMIF($E$5:$BL$5,F$49,$E$25:$BL$25)</f>
        <v>-13806100</v>
      </c>
      <c r="G54" s="27" t="n">
        <f aca="false">SUMIF($E$5:$BL$5,G$49,$E$25:$BL$25)</f>
        <v>-18295200</v>
      </c>
      <c r="H54" s="27" t="n">
        <f aca="false">SUMIF($E$5:$BL$5,H$49,$E$25:$BL$25)</f>
        <v>-18295200</v>
      </c>
      <c r="I54" s="27" t="n">
        <f aca="false">SUMIF($E$5:$BL$5,I$49,$E$25:$BL$25)</f>
        <v>-18295200</v>
      </c>
    </row>
    <row r="55" customFormat="false" ht="15" hidden="false" customHeight="false" outlineLevel="0" collapsed="false">
      <c r="B55" s="2" t="s">
        <v>306</v>
      </c>
      <c r="E55" s="27" t="n">
        <f aca="false">SUMIF($E$5:$BL$5,E$49,$E$26:$BL$26)+SUMIF($E$5:$BL$5,E$49,$E$27:$BL$27)</f>
        <v>-12273825</v>
      </c>
      <c r="F55" s="27" t="n">
        <f aca="false">SUMIF($E$5:$BL$5,F$49,$E$26:$BL$26)+SUMIF($E$5:$BL$5,F$49,$E$27:$BL$27)</f>
        <v>-13773825</v>
      </c>
      <c r="G55" s="27" t="n">
        <f aca="false">SUMIF($E$5:$BL$5,G$49,$E$26:$BL$26)+SUMIF($E$5:$BL$5,G$49,$E$27:$BL$27)</f>
        <v>-15873825</v>
      </c>
      <c r="H55" s="27" t="n">
        <f aca="false">SUMIF($E$5:$BL$5,H$49,$E$26:$BL$26)+SUMIF($E$5:$BL$5,H$49,$E$27:$BL$27)</f>
        <v>-15873825</v>
      </c>
      <c r="I55" s="27" t="n">
        <f aca="false">SUMIF($E$5:$BL$5,I$49,$E$26:$BL$26)+SUMIF($E$5:$BL$5,I$49,$E$27:$BL$27)</f>
        <v>-15873825</v>
      </c>
    </row>
    <row r="56" customFormat="false" ht="15" hidden="false" customHeight="false" outlineLevel="0" collapsed="false">
      <c r="B56" s="2" t="s">
        <v>307</v>
      </c>
      <c r="E56" s="27" t="n">
        <f aca="false">IF(E$49=1,$D$28,0)</f>
        <v>-2500000</v>
      </c>
      <c r="F56" s="27" t="n">
        <f aca="false">IF(F$49=1,$D$28,0)</f>
        <v>0</v>
      </c>
      <c r="G56" s="27" t="n">
        <f aca="false">IF(G$49=1,$D$28,0)</f>
        <v>0</v>
      </c>
      <c r="H56" s="27" t="n">
        <f aca="false">IF(H$49=1,$D$28,0)</f>
        <v>0</v>
      </c>
      <c r="I56" s="27" t="n">
        <f aca="false">IF(I$49=1,$D$28,0)</f>
        <v>0</v>
      </c>
    </row>
    <row r="57" customFormat="false" ht="15" hidden="false" customHeight="false" outlineLevel="0" collapsed="false">
      <c r="B57" s="3" t="s">
        <v>37</v>
      </c>
      <c r="E57" s="28" t="n">
        <f aca="false">E51+E52+E53+E54+E55+E56</f>
        <v>20036280.5319149</v>
      </c>
      <c r="F57" s="28" t="n">
        <f aca="false">F51+F52+F53+F54+F55+F56</f>
        <v>57606188.3617021</v>
      </c>
      <c r="G57" s="28" t="n">
        <f aca="false">G51+G52+G53+G54+G55+G56</f>
        <v>93219322.9148936</v>
      </c>
      <c r="H57" s="28" t="n">
        <f aca="false">H51+H52+H53+H54+H55+H56</f>
        <v>131771945.212766</v>
      </c>
      <c r="I57" s="28" t="n">
        <f aca="false">I51+I52+I53+I54+I55+I56</f>
        <v>142913343</v>
      </c>
    </row>
    <row r="58" customFormat="false" ht="15" hidden="false" customHeight="false" outlineLevel="0" collapsed="false">
      <c r="B58" s="2" t="s">
        <v>38</v>
      </c>
      <c r="E58" s="35" t="n">
        <f aca="false">IF(E51&gt;0,E57/E51,0)</f>
        <v>0.362931779298612</v>
      </c>
      <c r="F58" s="35" t="n">
        <f aca="false">IF(F51&gt;0,F57/F51,0)</f>
        <v>0.542210635374883</v>
      </c>
      <c r="G58" s="35" t="n">
        <f aca="false">IF(G51&gt;0,G57/G51,0)</f>
        <v>0.590554777415194</v>
      </c>
      <c r="H58" s="35" t="n">
        <f aca="false">IF(H51&gt;0,H57/H51,0)</f>
        <v>0.644542704670111</v>
      </c>
      <c r="I58" s="35" t="n">
        <f aca="false">IF(I51&gt;0,I57/I51,0)</f>
        <v>0.656616379785639</v>
      </c>
    </row>
    <row r="59" customFormat="false" ht="15" hidden="false" customHeight="false" outlineLevel="0" collapsed="false">
      <c r="B59" s="2" t="s">
        <v>308</v>
      </c>
      <c r="E59" s="27" t="n">
        <f aca="false">SUMIF($E$5:$BL$5,E$49,$E$30:$BL$30)</f>
        <v>-6773839.28571429</v>
      </c>
      <c r="F59" s="27" t="n">
        <f aca="false">SUMIF($E$5:$BL$5,F$49,$E$30:$BL$30)</f>
        <v>-7273839.28571429</v>
      </c>
      <c r="G59" s="27" t="n">
        <f aca="false">SUMIF($E$5:$BL$5,G$49,$E$30:$BL$30)</f>
        <v>-7973839.28571429</v>
      </c>
      <c r="H59" s="27" t="n">
        <f aca="false">SUMIF($E$5:$BL$5,H$49,$E$30:$BL$30)</f>
        <v>-7150505.95238095</v>
      </c>
      <c r="I59" s="27" t="n">
        <f aca="false">SUMIF($E$5:$BL$5,I$49,$E$30:$BL$30)</f>
        <v>-7150505.95238095</v>
      </c>
    </row>
    <row r="60" customFormat="false" ht="15" hidden="false" customHeight="false" outlineLevel="0" collapsed="false">
      <c r="B60" s="2" t="s">
        <v>309</v>
      </c>
      <c r="E60" s="27" t="n">
        <f aca="false">SUMIF($E$5:$BL$5,E$49,$E$42:$BL$42)</f>
        <v>-1410746.7685424</v>
      </c>
      <c r="F60" s="27" t="n">
        <f aca="false">SUMIF($E$5:$BL$5,F$49,$E$42:$BL$42)</f>
        <v>-1152151.72142175</v>
      </c>
      <c r="G60" s="27" t="n">
        <f aca="false">SUMIF($E$5:$BL$5,G$49,$E$42:$BL$42)</f>
        <v>-866478.39369197</v>
      </c>
      <c r="H60" s="27" t="n">
        <f aca="false">SUMIF($E$5:$BL$5,H$49,$E$42:$BL$42)</f>
        <v>-550891.335529442</v>
      </c>
      <c r="I60" s="27" t="n">
        <f aca="false">SUMIF($E$5:$BL$5,I$49,$E$42:$BL$42)</f>
        <v>-202258.188461942</v>
      </c>
    </row>
    <row r="61" customFormat="false" ht="15" hidden="false" customHeight="false" outlineLevel="0" collapsed="false">
      <c r="B61" s="3" t="s">
        <v>310</v>
      </c>
      <c r="E61" s="28" t="n">
        <f aca="false">E57+E59+E60</f>
        <v>11851694.4776582</v>
      </c>
      <c r="F61" s="28" t="n">
        <f aca="false">F57+F59+F60</f>
        <v>49180197.3545661</v>
      </c>
      <c r="G61" s="28" t="n">
        <f aca="false">G57+G59+G60</f>
        <v>84379005.2354874</v>
      </c>
      <c r="H61" s="28" t="n">
        <f aca="false">H57+H59+H60</f>
        <v>124070547.924856</v>
      </c>
      <c r="I61" s="28" t="n">
        <f aca="false">I57+I59+I60</f>
        <v>135560578.859157</v>
      </c>
    </row>
    <row r="62" customFormat="false" ht="15" hidden="false" customHeight="false" outlineLevel="0" collapsed="false">
      <c r="B62" s="2" t="s">
        <v>311</v>
      </c>
      <c r="E62" s="27" t="n">
        <f aca="false">0</f>
        <v>0</v>
      </c>
      <c r="F62" s="27" t="n">
        <f aca="false">MAX(0,E62-E61)</f>
        <v>0</v>
      </c>
      <c r="G62" s="27" t="n">
        <f aca="false">MAX(0,F62-F61)</f>
        <v>0</v>
      </c>
      <c r="H62" s="27" t="n">
        <f aca="false">MAX(0,G62-G61)</f>
        <v>0</v>
      </c>
      <c r="I62" s="27" t="n">
        <f aca="false">MAX(0,H62-H61)</f>
        <v>0</v>
      </c>
    </row>
    <row r="63" customFormat="false" ht="15" hidden="false" customHeight="false" outlineLevel="0" collapsed="false">
      <c r="B63" s="2" t="s">
        <v>312</v>
      </c>
      <c r="E63" s="27" t="n">
        <f aca="false">MAX(Hypotheses!$F$66,MIN(Hypotheses!$F$67,Hypotheses!$F$65*E51))</f>
        <v>500000</v>
      </c>
      <c r="F63" s="27" t="n">
        <f aca="false">MAX(Hypotheses!$F$66,MIN(Hypotheses!$F$67,Hypotheses!$F$65*F51))</f>
        <v>531215.957446809</v>
      </c>
      <c r="G63" s="27" t="n">
        <f aca="false">MAX(Hypotheses!$F$66,MIN(Hypotheses!$F$67,Hypotheses!$F$65*G51))</f>
        <v>789252.127659575</v>
      </c>
      <c r="H63" s="27" t="n">
        <f aca="false">MAX(Hypotheses!$F$66,MIN(Hypotheses!$F$67,Hypotheses!$F$65*H51))</f>
        <v>1022212.68085106</v>
      </c>
      <c r="I63" s="27" t="n">
        <f aca="false">MAX(Hypotheses!$F$66,MIN(Hypotheses!$F$67,Hypotheses!$F$65*I51))</f>
        <v>1088256</v>
      </c>
    </row>
    <row r="64" customFormat="false" ht="15" hidden="false" customHeight="false" outlineLevel="0" collapsed="false">
      <c r="B64" s="2" t="s">
        <v>313</v>
      </c>
      <c r="E64" s="27" t="n">
        <f aca="false">MAX(Hypotheses!$F$64*MAX(0,E61-E62),E63)</f>
        <v>3555508.34329746</v>
      </c>
      <c r="F64" s="27" t="n">
        <f aca="false">MAX(Hypotheses!$F$64*MAX(0,F61-F62),F63)</f>
        <v>14754059.2063698</v>
      </c>
      <c r="G64" s="27" t="n">
        <f aca="false">MAX(Hypotheses!$F$64*MAX(0,G61-G62),G63)</f>
        <v>25313701.5706462</v>
      </c>
      <c r="H64" s="27" t="n">
        <f aca="false">MAX(Hypotheses!$F$64*MAX(0,H61-H62),H63)</f>
        <v>37221164.3774567</v>
      </c>
      <c r="I64" s="27" t="n">
        <f aca="false">MAX(Hypotheses!$F$64*MAX(0,I61-I62),I63)</f>
        <v>40668173.6577471</v>
      </c>
    </row>
    <row r="65" customFormat="false" ht="15" hidden="false" customHeight="false" outlineLevel="0" collapsed="false">
      <c r="B65" s="3" t="s">
        <v>39</v>
      </c>
      <c r="E65" s="28" t="n">
        <f aca="false">E61-E64</f>
        <v>8296186.13436075</v>
      </c>
      <c r="F65" s="28" t="n">
        <f aca="false">F61-F64</f>
        <v>34426138.1481963</v>
      </c>
      <c r="G65" s="28" t="n">
        <f aca="false">G61-G64</f>
        <v>59065303.6648411</v>
      </c>
      <c r="H65" s="28" t="n">
        <f aca="false">H61-H64</f>
        <v>86849383.5473989</v>
      </c>
      <c r="I65" s="28" t="n">
        <f aca="false">I61-I64</f>
        <v>94892405.20141</v>
      </c>
    </row>
    <row r="66" customFormat="false" ht="15" hidden="false" customHeight="false" outlineLevel="0" collapsed="false">
      <c r="B66" s="2" t="s">
        <v>314</v>
      </c>
      <c r="E66" s="27" t="n">
        <f aca="false">SUMIF($E$5:$BL$5,E$49,$E$43:$BL$43)</f>
        <v>11505818.9950662</v>
      </c>
      <c r="F66" s="27" t="n">
        <f aca="false">SUMIF($E$5:$BL$5,F$49,$E$43:$BL$43)</f>
        <v>39170359.7581518</v>
      </c>
      <c r="G66" s="27" t="n">
        <f aca="false">SUMIF($E$5:$BL$5,G$49,$E$43:$BL$43)</f>
        <v>68320194.5121007</v>
      </c>
      <c r="H66" s="27" t="n">
        <f aca="false">SUMIF($E$5:$BL$5,H$49,$E$43:$BL$43)</f>
        <v>96574569.5095264</v>
      </c>
      <c r="I66" s="27" t="n">
        <f aca="false">SUMIF($E$5:$BL$5,I$49,$E$43:$BL$43)</f>
        <v>101811873.341014</v>
      </c>
    </row>
    <row r="67" customFormat="false" ht="15" hidden="false" customHeight="false" outlineLevel="0" collapsed="false">
      <c r="B67" s="3" t="s">
        <v>315</v>
      </c>
      <c r="E67" s="28" t="n">
        <f aca="false">INDEX($E$46:$BL$46,E$49*12)</f>
        <v>4463577.49506624</v>
      </c>
      <c r="F67" s="28" t="n">
        <f aca="false">INDEX($E$46:$BL$46,F$49*12)</f>
        <v>43633937.253218</v>
      </c>
      <c r="G67" s="28" t="n">
        <f aca="false">INDEX($E$46:$BL$46,G$49*12)</f>
        <v>111954131.765319</v>
      </c>
      <c r="H67" s="28" t="n">
        <f aca="false">INDEX($E$46:$BL$46,H$49*12)</f>
        <v>208528701.274845</v>
      </c>
      <c r="I67" s="28" t="n">
        <f aca="false">INDEX($E$46:$BL$46,I$49*12)</f>
        <v>310340574.615859</v>
      </c>
    </row>
    <row r="68" customFormat="false" ht="15" hidden="false" customHeight="false" outlineLevel="0" collapsed="false">
      <c r="B68" s="2" t="s">
        <v>316</v>
      </c>
      <c r="E68" s="27" t="n">
        <f aca="false">IF((E51+E52+E53)&gt;0,-(E54+E55)/((E51+E52+E53)/(E50*Hypotheses!$F$17*12))/(Hypotheses!$F$17*12),0)</f>
        <v>97.4637995354296</v>
      </c>
      <c r="F68" s="27" t="n">
        <f aca="false">IF((F51+F52+F53)&gt;0,-(F54+F55)/((F51+F52+F53)/(F50*Hypotheses!$F$17*12))/(Hypotheses!$F$17*12),0)</f>
        <v>117.093492683646</v>
      </c>
      <c r="G68" s="27" t="n">
        <f aca="false">IF((G51+G52+G53)&gt;0,-(G54+G55)/((G51+G52+G53)/(G50*Hypotheses!$F$17*12))/(Hypotheses!$F$17*12),0)</f>
        <v>135.454756321419</v>
      </c>
      <c r="H68" s="27" t="n">
        <f aca="false">IF((H51+H52+H53)&gt;0,-(H54+H55)/((H51+H52+H53)/(H50*Hypotheses!$F$17*12))/(Hypotheses!$F$17*12),0)</f>
        <v>126.978278619098</v>
      </c>
      <c r="I68" s="27" t="n">
        <f aca="false">IF((I51+I52+I53)&gt;0,-(I54+I55)/((I51+I52+I53)/(I50*Hypotheses!$F$17*12))/(Hypotheses!$F$17*12),0)</f>
        <v>123.491549424051</v>
      </c>
    </row>
    <row r="70" customFormat="false" ht="15" hidden="false" customHeight="false" outlineLevel="0" collapsed="false">
      <c r="B70" s="3" t="s">
        <v>317</v>
      </c>
    </row>
    <row r="71" customFormat="false" ht="15" hidden="false" customHeight="false" outlineLevel="0" collapsed="false">
      <c r="B71" s="2" t="s">
        <v>318</v>
      </c>
      <c r="D71" s="28" t="n">
        <f aca="false">-MIN(0,MIN($D$44:$BL$44))</f>
        <v>34254053.3440768</v>
      </c>
    </row>
    <row r="72" customFormat="false" ht="15" hidden="false" customHeight="false" outlineLevel="0" collapsed="false">
      <c r="B72" s="2" t="s">
        <v>319</v>
      </c>
      <c r="D72" s="36" t="n">
        <f aca="false">INDEX($D$4:$BL$4,MATCH(MIN($D$44:$BL$44),$D$44:$BL$44,0))</f>
        <v>47818</v>
      </c>
    </row>
    <row r="73" customFormat="false" ht="15" hidden="false" customHeight="false" outlineLevel="0" collapsed="false">
      <c r="B73" s="2" t="s">
        <v>320</v>
      </c>
      <c r="D73" s="28" t="n">
        <f aca="false">Hypotheses!$F$73*-(F54+F55)/12</f>
        <v>6894981.25</v>
      </c>
    </row>
    <row r="74" customFormat="false" ht="15" hidden="false" customHeight="false" outlineLevel="0" collapsed="false">
      <c r="B74" s="2" t="s">
        <v>27</v>
      </c>
      <c r="D74" s="28" t="n">
        <f aca="false">D71+D73</f>
        <v>41149034.5940768</v>
      </c>
    </row>
    <row r="75" customFormat="false" ht="15" hidden="false" customHeight="false" outlineLevel="0" collapsed="false">
      <c r="B75" s="2" t="s">
        <v>321</v>
      </c>
      <c r="D75" s="28" t="n">
        <f aca="false">Epargne!$G$130</f>
        <v>24366258.5</v>
      </c>
    </row>
    <row r="76" customFormat="false" ht="15" hidden="false" customHeight="false" outlineLevel="0" collapsed="false">
      <c r="B76" s="2" t="s">
        <v>29</v>
      </c>
      <c r="D76" s="31" t="n">
        <f aca="false">D75-D74</f>
        <v>-16782776.0940768</v>
      </c>
    </row>
    <row r="77" customFormat="false" ht="15" hidden="false" customHeight="false" outlineLevel="0" collapsed="false">
      <c r="B77" s="2" t="s">
        <v>30</v>
      </c>
      <c r="D77" s="36" t="n">
        <f aca="false">IFERROR(INDEX($E$4:$BL$4,MATCH(TRUE(),INDEX($E$29:$BL$29&gt;0,0),0)),"jamais")</f>
        <v>47788</v>
      </c>
    </row>
    <row r="78" customFormat="false" ht="15" hidden="false" customHeight="false" outlineLevel="0" collapsed="false">
      <c r="B78" s="2" t="s">
        <v>31</v>
      </c>
      <c r="D78" s="28" t="n">
        <f aca="false">MIN($D$46:$BL$46)</f>
        <v>-9887794.84407677</v>
      </c>
    </row>
    <row r="79" customFormat="false" ht="15" hidden="false" customHeight="false" outlineLevel="0" collapsed="false">
      <c r="B79" s="2" t="s">
        <v>32</v>
      </c>
      <c r="D79" s="28" t="n">
        <f aca="false">(Investissements!$E$19*(1+Hypotheses!$F$60)*Hypotheses!$F$69*(1-Hypotheses!$F$70))</f>
        <v>15219000</v>
      </c>
    </row>
    <row r="80" customFormat="false" ht="15" hidden="false" customHeight="false" outlineLevel="0" collapsed="false">
      <c r="B80" s="2" t="s">
        <v>33</v>
      </c>
      <c r="D80" s="28" t="n">
        <f aca="false">-PMT(Hypotheses!$F$71/12,Hypotheses!$F$72,(Investissements!$E$19*(1+Hypotheses!$F$60)*Hypotheses!$F$69*(1-Hypotheses!$F$70)))</f>
        <v>323358.773460792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2026-10-10T11:19:23Z</dcterms:created>
  <dc:creator>openpyxl</dc:creator>
  <dc:description/>
  <dc:language>en-US</dc:language>
  <cp:lastModifiedBy/>
  <dcterms:modified xsi:type="dcterms:W3CDTF">2026-10-10T11:19:23Z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