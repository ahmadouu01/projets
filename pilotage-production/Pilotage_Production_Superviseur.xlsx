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LISEZ-MOI" sheetId="1" state="visible" r:id="rId1"/>
    <sheet name="COCKPIT" sheetId="2" state="visible" r:id="rId2"/>
    <sheet name="SAISIE_PROD" sheetId="3" state="visible" r:id="rId3"/>
    <sheet name="ARRETS" sheetId="4" state="visible" r:id="rId4"/>
    <sheet name="PLAN_ACTIONS" sheetId="5" state="visible" r:id="rId5"/>
    <sheet name="POLYVALENCE" sheetId="6" state="visible" r:id="rId6"/>
    <sheet name="AUDIT_5S" sheetId="7" state="visible" r:id="rId7"/>
    <sheet name="PRISE_DE_POSTE" sheetId="8" state="visible" r:id="rId8"/>
    <sheet name="PARAMETRES" sheetId="9" state="visible" r:id="rId9"/>
    <sheet name="GLOSSAIRE" sheetId="10" state="visible" r:id="rId10"/>
    <sheet name="CALC" sheetId="11" state="visible" r:id="rId11"/>
  </sheets>
  <definedNames>
    <definedName name="LST_LIGNES">OFFSET(PARAMETRES!$I$7,0,0,MAX(1,COUNTA(PARAMETRES!$I$7:$I$36)),1)</definedName>
    <definedName name="LST_EQUIPES">OFFSET(PARAMETRES!$J$7,0,0,MAX(1,COUNTA(PARAMETRES!$J$7:$J$36)),1)</definedName>
    <definedName name="LST_PILOTES">OFFSET(PARAMETRES!$K$7,0,0,MAX(1,COUNTA(PARAMETRES!$K$7:$K$36)),1)</definedName>
    <definedName name="LST_PRODUITS">OFFSET(PARAMETRES!$M$7,0,0,MAX(1,COUNTA(PARAMETRES!$M$7:$M$36)),1)</definedName>
    <definedName name="LST_CAUSES">OFFSET(PARAMETRES!$R$7,0,0,MAX(1,COUNTA(PARAMETRES!$R$7:$R$46)),1)</definedName>
    <definedName name="LST_POSTES">OFFSET(PARAMETRES!$X$7,0,0,MAX(1,COUNTA(PARAMETRES!$X$7:$X$26)),1)</definedName>
    <definedName name="LST_FAM5M">OFFSET(PARAMETRES!$AB$7,0,0,MAX(1,COUNTA(PARAMETRES!$AB$7:$AB$26)),1)</definedName>
    <definedName name="LST_SOURCES">OFFSET(PARAMETRES!$AC$7,0,0,MAX(1,COUNTA(PARAMETRES!$AC$7:$AC$26)),1)</definedName>
    <definedName name="LST_NATURES">OFFSET(PARAMETRES!$AD$7,0,0,MAX(1,COUNTA(PARAMETRES!$AD$7:$AD$26)),1)</definedName>
    <definedName name="LST_STATUTS">OFFSET(PARAMETRES!$AE$7,0,0,MAX(1,COUNTA(PARAMETRES!$AE$7:$AE$26)),1)</definedName>
    <definedName name="LST_EFFICACITE">OFFSET(PARAMETRES!$AF$7,0,0,MAX(1,COUNTA(PARAMETRES!$AF$7:$AF$26)),1)</definedName>
    <definedName name="LST_OUINON">OFFSET(PARAMETRES!$AG$7,0,0,MAX(1,COUNTA(PARAMETRES!$AG$7:$AG$26)),1)</definedName>
    <definedName name="LST_CONTROLE">OFFSET(PARAMETRES!$AH$7,0,0,MAX(1,COUNTA(PARAMETRES!$AH$7:$AH$26)),1)</definedName>
    <definedName name="LST_SQCDP">OFFSET(PARAMETRES!$AI$7,0,0,MAX(1,COUNTA(PARAMETRES!$AI$7:$AI$26)),1)</definedName>
    <definedName name="LST_F_LIGNES">OFFSET(PARAMETRES!$AJ$7,0,0,MAX(1,COUNTA(PARAMETRES!$AJ$7:$AJ$26)),1)</definedName>
    <definedName name="LST_F_EQUIPES">OFFSET(PARAMETRES!$AK$7,0,0,MAX(1,COUNTA(PARAMETRES!$AK$7:$AK$26)),1)</definedName>
    <definedName name="LST_RUBRIQUES">OFFSET(PARAMETRES!$AL$7,0,0,MAX(1,COUNTA(PARAMETRES!$AL$7:$AL$26)),1)</definedName>
    <definedName name="LST_MOIS">OFFSET(PARAMETRES!$AM$7,0,0,MAX(1,COUNTA(PARAMETRES!$AM$7:$AM$26)),1)</definedName>
    <definedName name="_xlnm.Print_Area" localSheetId="1">'COCKPIT'!$A$1:$R$97</definedName>
    <definedName name="_xlnm._FilterDatabase" localSheetId="2" hidden="1">'SAISIE_PROD'!$A$4:$AS$204</definedName>
    <definedName name="_xlnm.Print_Titles" localSheetId="2">'SAISIE_PROD'!$3:$4</definedName>
    <definedName name="_xlnm._FilterDatabase" localSheetId="3" hidden="1">'ARRETS'!$A$4:$Q$404</definedName>
    <definedName name="_xlnm.Print_Titles" localSheetId="3">'ARRETS'!$4:$4</definedName>
    <definedName name="_xlnm._FilterDatabase" localSheetId="4" hidden="1">'PLAN_ACTIONS'!$A$8:$Y$128</definedName>
    <definedName name="_xlnm.Print_Titles" localSheetId="4">'PLAN_ACTIONS'!$8:$8</definedName>
    <definedName name="_xlnm.Print_Titles" localSheetId="5">'POLYVALENCE'!$9:$11</definedName>
    <definedName name="_xlnm.Print_Titles" localSheetId="6">'AUDIT_5S'!$7:$7</definedName>
    <definedName name="_xlnm.Print_Titles" localSheetId="7">'PRISE_DE_POSTE'!$7:$7</definedName>
    <definedName name="_xlnm.Print_Titles" localSheetId="8">'PARAMETRES'!$1:$2</definedName>
    <definedName name="_xlnm.Print_Titles" localSheetId="9">'GLOSSAIRE'!$5:$5</definedName>
  </definedNames>
  <calcPr calcId="124519" fullCalcOnLoad="1"/>
</workbook>
</file>

<file path=xl/styles.xml><?xml version="1.0" encoding="utf-8"?>
<styleSheet xmlns="http://schemas.openxmlformats.org/spreadsheetml/2006/main">
  <numFmts count="14">
    <numFmt numFmtId="164" formatCode="0.0%"/>
    <numFmt numFmtId="165" formatCode="0.0"/>
    <numFmt numFmtId="166" formatCode="dd/mm/yyyy"/>
    <numFmt numFmtId="167" formatCode="#,##0.0"/>
    <numFmt numFmtId="168" formatCode="hh:mm"/>
    <numFmt numFmtId="169" formatCode="#,##0.0&quot; j&quot;"/>
    <numFmt numFmtId="170" formatCode="#,##0&quot; €&quot;"/>
    <numFmt numFmtId="171" formatCode="yyyy-mm-dd"/>
    <numFmt numFmtId="172" formatCode="+0;-0;0"/>
    <numFmt numFmtId="173" formatCode="+0.0%;-0.0%;0.0%"/>
    <numFmt numFmtId="174" formatCode="0.00000"/>
    <numFmt numFmtId="175" formatCode="mmm yyyy"/>
    <numFmt numFmtId="176" formatCode="#,##0&quot; ppm&quot;"/>
    <numFmt numFmtId="177" formatCode="#,##0&quot; min&quot;"/>
  </numFmts>
  <fonts count="36">
    <font>
      <name val="Calibri"/>
      <family val="2"/>
      <color theme="1"/>
      <sz val="11"/>
      <scheme val="minor"/>
    </font>
    <font>
      <name val="Arial"/>
      <b val="1"/>
      <color rgb="00FFFFFF"/>
      <sz val="15"/>
    </font>
    <font>
      <name val="Arial"/>
      <i val="1"/>
      <color rgb="004A5A6A"/>
      <sz val="9"/>
    </font>
    <font>
      <name val="Arial"/>
      <b val="1"/>
      <color rgb="001F4E79"/>
      <sz val="10.5"/>
    </font>
    <font>
      <name val="Arial"/>
      <color rgb="001A1A1A"/>
      <sz val="10"/>
    </font>
    <font>
      <name val="Arial"/>
      <b val="1"/>
      <color rgb="000000FF"/>
      <sz val="10"/>
    </font>
    <font>
      <name val="Arial"/>
      <i val="1"/>
      <color rgb="006B7A88"/>
      <sz val="8.5"/>
    </font>
    <font>
      <name val="Arial"/>
      <b val="1"/>
      <color rgb="00FFFFFF"/>
      <sz val="9"/>
    </font>
    <font>
      <name val="Arial"/>
      <color rgb="001A1A1A"/>
      <sz val="9"/>
    </font>
    <font>
      <name val="Arial"/>
      <b val="1"/>
      <color rgb="000000FF"/>
      <sz val="9"/>
    </font>
    <font>
      <name val="Arial"/>
      <b val="1"/>
      <color rgb="001F4E79"/>
      <sz val="9"/>
    </font>
    <font>
      <name val="Arial"/>
      <color rgb="006B7A88"/>
      <sz val="8.5"/>
    </font>
    <font>
      <name val="Arial"/>
      <b val="1"/>
      <color rgb="00FFFFFF"/>
      <sz val="9.5"/>
    </font>
    <font>
      <name val="Arial"/>
      <color rgb="000000FF"/>
      <sz val="9"/>
    </font>
    <font>
      <name val="Arial"/>
      <color rgb="001E7B34"/>
      <sz val="9"/>
    </font>
    <font>
      <name val="Arial"/>
      <b val="1"/>
      <color rgb="00FFFFFF"/>
      <sz val="8.5"/>
    </font>
    <font>
      <name val="Arial"/>
      <b val="1"/>
      <color rgb="000F2A44"/>
      <sz val="14"/>
    </font>
    <font>
      <name val="Arial"/>
      <b val="1"/>
      <color rgb="000F2A44"/>
      <sz val="15"/>
    </font>
    <font>
      <name val="Arial"/>
      <color rgb="001E7B34"/>
      <sz val="8.5"/>
    </font>
    <font>
      <name val="Arial"/>
      <b val="1"/>
      <color rgb="001A1A1A"/>
      <sz val="9"/>
    </font>
    <font>
      <name val="Arial"/>
      <b val="1"/>
      <color rgb="001F4E79"/>
      <sz val="9.5"/>
    </font>
    <font>
      <name val="Arial"/>
      <b val="1"/>
      <color rgb="000F2A44"/>
      <sz val="9.5"/>
    </font>
    <font>
      <name val="Arial"/>
      <b val="1"/>
      <color rgb="001E7B34"/>
      <sz val="9"/>
    </font>
    <font>
      <name val="Arial"/>
      <b val="1"/>
      <color rgb="001F4E79"/>
      <sz val="8.5"/>
    </font>
    <font>
      <name val="Arial"/>
      <b val="1"/>
      <color rgb="000F2A44"/>
      <sz val="11"/>
    </font>
    <font>
      <name val="Arial"/>
      <color rgb="006B7A88"/>
      <sz val="9"/>
    </font>
    <font>
      <name val="Arial"/>
      <b val="1"/>
      <color rgb="000F2A44"/>
      <sz val="10"/>
    </font>
    <font>
      <name val="Arial"/>
      <i val="1"/>
      <color rgb="006B7A88"/>
      <sz val="9"/>
    </font>
    <font>
      <name val="Arial"/>
      <b val="1"/>
      <color rgb="000F2A44"/>
      <sz val="20"/>
    </font>
    <font>
      <name val="Arial"/>
      <color rgb="004A5A6A"/>
      <sz val="8"/>
    </font>
    <font>
      <name val="Arial"/>
      <color rgb="006B7A88"/>
      <sz val="8"/>
    </font>
    <font>
      <name val="Arial"/>
      <b val="1"/>
      <color rgb="006B7A88"/>
      <sz val="8"/>
    </font>
    <font>
      <name val="Arial"/>
      <color rgb="001A1A1A"/>
      <sz val="9.5"/>
    </font>
    <font>
      <name val="Arial"/>
      <b val="1"/>
      <color rgb="009C6500"/>
      <sz val="9"/>
    </font>
    <font>
      <name val="Arial"/>
      <b val="1"/>
      <color rgb="00B01919"/>
      <sz val="9"/>
    </font>
    <font>
      <name val="Arial"/>
      <b val="1"/>
      <color rgb="009C6500"/>
      <sz val="10.5"/>
    </font>
  </fonts>
  <fills count="19">
    <fill>
      <patternFill/>
    </fill>
    <fill>
      <patternFill patternType="gray125"/>
    </fill>
    <fill>
      <patternFill patternType="solid">
        <fgColor rgb="000F2A44"/>
      </patternFill>
    </fill>
    <fill>
      <patternFill patternType="solid">
        <fgColor rgb="00EDF2F7"/>
      </patternFill>
    </fill>
    <fill>
      <patternFill patternType="solid">
        <fgColor rgb="00FFF9DB"/>
      </patternFill>
    </fill>
    <fill>
      <patternFill patternType="solid">
        <fgColor rgb="001F4E79"/>
      </patternFill>
    </fill>
    <fill>
      <patternFill patternType="solid">
        <fgColor rgb="00F5F8FB"/>
      </patternFill>
    </fill>
    <fill>
      <patternFill patternType="solid">
        <fgColor rgb="0035566F"/>
      </patternFill>
    </fill>
    <fill>
      <patternFill patternType="solid">
        <fgColor rgb="00F2F7ED"/>
      </patternFill>
    </fill>
    <fill>
      <patternFill patternType="solid">
        <fgColor rgb="002E6B4F"/>
      </patternFill>
    </fill>
    <fill>
      <patternFill patternType="solid">
        <fgColor rgb="007A5230"/>
      </patternFill>
    </fill>
    <fill>
      <patternFill patternType="solid">
        <fgColor rgb="005B4B7A"/>
      </patternFill>
    </fill>
    <fill>
      <patternFill patternType="solid">
        <fgColor rgb="00EAF1F8"/>
      </patternFill>
    </fill>
    <fill>
      <patternFill patternType="solid">
        <fgColor rgb="00FFFFFF"/>
      </patternFill>
    </fill>
    <fill>
      <patternFill patternType="solid">
        <fgColor rgb="00DFF3E3"/>
      </patternFill>
    </fill>
    <fill>
      <patternFill patternType="solid">
        <fgColor rgb="00FFF0C7"/>
      </patternFill>
    </fill>
    <fill>
      <patternFill patternType="solid">
        <fgColor rgb="00FBE0E0"/>
      </patternFill>
    </fill>
    <fill>
      <patternFill patternType="solid">
        <fgColor rgb="00FFF3D6"/>
      </patternFill>
    </fill>
    <fill>
      <patternFill patternType="solid">
        <fgColor rgb="00FFF9E8"/>
      </patternFill>
    </fill>
  </fills>
  <borders count="18">
    <border>
      <left/>
      <right/>
      <top/>
      <bottom/>
      <diagonal/>
    </border>
    <border>
      <bottom style="thin">
        <color rgb="001F4E79"/>
      </bottom>
    </border>
    <border>
      <left style="thin">
        <color rgb="00B7C4D1"/>
      </left>
      <right style="thin">
        <color rgb="00B7C4D1"/>
      </right>
      <top style="thin">
        <color rgb="00B7C4D1"/>
      </top>
      <bottom style="thin">
        <color rgb="00B7C4D1"/>
      </bottom>
    </border>
    <border>
      <left/>
      <right/>
      <top style="thin">
        <color rgb="00B7C4D1"/>
      </top>
      <bottom/>
      <diagonal/>
    </border>
    <border>
      <left/>
      <right style="thin">
        <color rgb="00B7C4D1"/>
      </right>
      <top style="thin">
        <color rgb="00B7C4D1"/>
      </top>
      <bottom/>
      <diagonal/>
    </border>
    <border>
      <left/>
      <right/>
      <top style="thin">
        <color rgb="00B7C4D1"/>
      </top>
      <bottom style="thin">
        <color rgb="00B7C4D1"/>
      </bottom>
      <diagonal/>
    </border>
    <border>
      <left/>
      <right style="thin">
        <color rgb="00B7C4D1"/>
      </right>
      <top style="thin">
        <color rgb="00B7C4D1"/>
      </top>
      <bottom style="thin">
        <color rgb="00B7C4D1"/>
      </bottom>
      <diagonal/>
    </border>
    <border>
      <right style="thin">
        <color rgb="00FFFFFF"/>
      </right>
    </border>
    <border>
      <left/>
      <right/>
      <top/>
      <bottom style="thin">
        <color rgb="001F4E79"/>
      </bottom>
      <diagonal/>
    </border>
    <border>
      <left style="thin">
        <color rgb="001F4E79"/>
      </left>
      <top style="thin">
        <color rgb="001F4E79"/>
      </top>
    </border>
    <border>
      <top style="thin">
        <color rgb="001F4E79"/>
      </top>
    </border>
    <border>
      <right style="thin">
        <color rgb="001F4E79"/>
      </right>
      <top style="thin">
        <color rgb="001F4E79"/>
      </top>
    </border>
    <border>
      <left style="thin">
        <color rgb="001F4E79"/>
      </left>
    </border>
    <border/>
    <border>
      <right style="thin">
        <color rgb="001F4E79"/>
      </right>
    </border>
    <border>
      <left style="thin">
        <color rgb="001F4E79"/>
      </left>
      <bottom style="thin">
        <color rgb="001F4E79"/>
      </bottom>
    </border>
    <border>
      <right style="thin">
        <color rgb="001F4E79"/>
      </right>
      <bottom style="thin">
        <color rgb="001F4E79"/>
      </bottom>
    </border>
    <border>
      <bottom style="thin">
        <color rgb="009C6500"/>
      </bottom>
    </border>
  </borders>
  <cellStyleXfs count="1">
    <xf numFmtId="0" fontId="0" fillId="0" borderId="0"/>
  </cellStyleXfs>
  <cellXfs count="198">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3" borderId="1" applyAlignment="1" pivotButton="0" quotePrefix="0" xfId="0">
      <alignment horizontal="left" vertical="center" indent="1"/>
    </xf>
    <xf numFmtId="0" fontId="0" fillId="3" borderId="1" pivotButton="0" quotePrefix="0" xfId="0"/>
    <xf numFmtId="0" fontId="7" fillId="5" borderId="2" applyAlignment="1" pivotButton="0" quotePrefix="0" xfId="0">
      <alignment horizontal="center" vertical="center" wrapText="1"/>
    </xf>
    <xf numFmtId="0" fontId="0" fillId="0" borderId="5" pivotButton="0" quotePrefix="0" xfId="0"/>
    <xf numFmtId="0" fontId="0" fillId="0" borderId="6" pivotButton="0" quotePrefix="0" xfId="0"/>
    <xf numFmtId="0" fontId="10" fillId="13" borderId="2" applyAlignment="1" pivotButton="0" quotePrefix="0" xfId="0">
      <alignment horizontal="left" vertical="center" wrapText="1" indent="1"/>
    </xf>
    <xf numFmtId="0" fontId="8" fillId="13" borderId="2" applyAlignment="1" pivotButton="0" quotePrefix="0" xfId="0">
      <alignment horizontal="left" vertical="center" wrapText="1" indent="1"/>
    </xf>
    <xf numFmtId="0" fontId="0" fillId="13" borderId="2" pivotButton="0" quotePrefix="0" xfId="0"/>
    <xf numFmtId="0" fontId="10" fillId="6" borderId="2" applyAlignment="1" pivotButton="0" quotePrefix="0" xfId="0">
      <alignment horizontal="left" vertical="center" wrapText="1" indent="1"/>
    </xf>
    <xf numFmtId="0" fontId="8" fillId="6" borderId="2" applyAlignment="1" pivotButton="0" quotePrefix="0" xfId="0">
      <alignment horizontal="left" vertical="center" wrapText="1" indent="1"/>
    </xf>
    <xf numFmtId="0" fontId="0" fillId="6" borderId="2" pivotButton="0" quotePrefix="0" xfId="0"/>
    <xf numFmtId="0" fontId="0" fillId="4" borderId="2" pivotButton="0" quotePrefix="0" xfId="0"/>
    <xf numFmtId="0" fontId="9" fillId="0" borderId="2" applyAlignment="1" pivotButton="0" quotePrefix="0" xfId="0">
      <alignment horizontal="left" vertical="center" indent="1"/>
    </xf>
    <xf numFmtId="0" fontId="0" fillId="0" borderId="2" pivotButton="0" quotePrefix="0" xfId="0"/>
    <xf numFmtId="0" fontId="8" fillId="0" borderId="2" applyAlignment="1" pivotButton="0" quotePrefix="0" xfId="0">
      <alignment horizontal="left" vertical="center" indent="1"/>
    </xf>
    <xf numFmtId="0" fontId="0" fillId="12" borderId="2" pivotButton="0" quotePrefix="0" xfId="0"/>
    <xf numFmtId="0" fontId="19" fillId="0" borderId="2" applyAlignment="1" pivotButton="0" quotePrefix="0" xfId="0">
      <alignment horizontal="left" vertical="center" indent="1"/>
    </xf>
    <xf numFmtId="0" fontId="0" fillId="8" borderId="2" pivotButton="0" quotePrefix="0" xfId="0"/>
    <xf numFmtId="0" fontId="22" fillId="0" borderId="2" applyAlignment="1" pivotButton="0" quotePrefix="0" xfId="0">
      <alignment horizontal="left" vertical="center" indent="1"/>
    </xf>
    <xf numFmtId="0" fontId="0" fillId="14" borderId="2" pivotButton="0" quotePrefix="0" xfId="0"/>
    <xf numFmtId="0" fontId="0" fillId="15" borderId="2" pivotButton="0" quotePrefix="0" xfId="0"/>
    <xf numFmtId="0" fontId="33" fillId="0" borderId="2" applyAlignment="1" pivotButton="0" quotePrefix="0" xfId="0">
      <alignment horizontal="left" vertical="center" indent="1"/>
    </xf>
    <xf numFmtId="0" fontId="0" fillId="16" borderId="2" pivotButton="0" quotePrefix="0" xfId="0"/>
    <xf numFmtId="0" fontId="34" fillId="0" borderId="2" applyAlignment="1" pivotButton="0" quotePrefix="0" xfId="0">
      <alignment horizontal="left" vertical="center" indent="1"/>
    </xf>
    <xf numFmtId="0" fontId="10" fillId="0" borderId="2" applyAlignment="1" pivotButton="0" quotePrefix="0" xfId="0">
      <alignment horizontal="left" vertical="center" wrapText="1" indent="1"/>
    </xf>
    <xf numFmtId="0" fontId="8" fillId="0" borderId="2" applyAlignment="1" pivotButton="0" quotePrefix="0" xfId="0">
      <alignment horizontal="left" vertical="center" wrapText="1" indent="1"/>
    </xf>
    <xf numFmtId="0" fontId="32" fillId="0" borderId="0" applyAlignment="1" pivotButton="0" quotePrefix="0" xfId="0">
      <alignment horizontal="left" vertical="center" wrapText="1" indent="1"/>
    </xf>
    <xf numFmtId="0" fontId="35" fillId="17" borderId="17" applyAlignment="1" pivotButton="0" quotePrefix="0" xfId="0">
      <alignment horizontal="left" vertical="center" indent="1"/>
    </xf>
    <xf numFmtId="0" fontId="0" fillId="17" borderId="17" pivotButton="0" quotePrefix="0" xfId="0"/>
    <xf numFmtId="0" fontId="32" fillId="18" borderId="2" applyAlignment="1" pivotButton="0" quotePrefix="0" xfId="0">
      <alignment horizontal="left" vertical="top" wrapText="1" indent="1"/>
    </xf>
    <xf numFmtId="0" fontId="0" fillId="18" borderId="2" pivotButton="0" quotePrefix="0" xfId="0"/>
    <xf numFmtId="0" fontId="20" fillId="3" borderId="1" applyAlignment="1" pivotButton="0" quotePrefix="0" xfId="0">
      <alignment horizontal="right" vertical="center"/>
    </xf>
    <xf numFmtId="1" fontId="5" fillId="4" borderId="2" applyAlignment="1" pivotButton="0" quotePrefix="0" xfId="0">
      <alignment horizontal="center" vertical="center"/>
    </xf>
    <xf numFmtId="0" fontId="26" fillId="3" borderId="1" applyAlignment="1" pivotButton="0" quotePrefix="0" xfId="0">
      <alignment horizontal="left" vertical="center" indent="1"/>
    </xf>
    <xf numFmtId="0" fontId="0" fillId="0" borderId="8" pivotButton="0" quotePrefix="0" xfId="0"/>
    <xf numFmtId="0" fontId="5" fillId="4" borderId="2" applyAlignment="1" pivotButton="0" quotePrefix="0" xfId="0">
      <alignment horizontal="center" vertical="center"/>
    </xf>
    <xf numFmtId="0" fontId="27" fillId="3" borderId="1" applyAlignment="1" pivotButton="0" quotePrefix="0" xfId="0">
      <alignment horizontal="right" vertical="center"/>
    </xf>
    <xf numFmtId="0" fontId="31" fillId="0" borderId="0" applyAlignment="1" pivotButton="0" quotePrefix="0" xfId="0">
      <alignment horizontal="left" vertical="center"/>
    </xf>
    <xf numFmtId="0" fontId="15" fillId="5" borderId="9" applyAlignment="1" pivotButton="0" quotePrefix="0" xfId="0">
      <alignment horizontal="center" vertical="center" wrapText="1"/>
    </xf>
    <xf numFmtId="0" fontId="0" fillId="5" borderId="10" pivotButton="0" quotePrefix="0" xfId="0"/>
    <xf numFmtId="0" fontId="0" fillId="5" borderId="11" pivotButton="0" quotePrefix="0" xfId="0"/>
    <xf numFmtId="0" fontId="30" fillId="0" borderId="0" pivotButton="0" quotePrefix="0" xfId="0"/>
    <xf numFmtId="164" fontId="28" fillId="13" borderId="12" applyAlignment="1" pivotButton="0" quotePrefix="0" xfId="0">
      <alignment horizontal="center" vertical="center"/>
    </xf>
    <xf numFmtId="0" fontId="0" fillId="13" borderId="13" pivotButton="0" quotePrefix="0" xfId="0"/>
    <xf numFmtId="0" fontId="0" fillId="13" borderId="14" pivotButton="0" quotePrefix="0" xfId="0"/>
    <xf numFmtId="0" fontId="0" fillId="13" borderId="12" pivotButton="0" quotePrefix="0" xfId="0"/>
    <xf numFmtId="0" fontId="29" fillId="13" borderId="12" applyAlignment="1" pivotButton="0" quotePrefix="0" xfId="0">
      <alignment horizontal="center" vertical="center"/>
    </xf>
    <xf numFmtId="0" fontId="29" fillId="13" borderId="15" applyAlignment="1" pivotButton="0" quotePrefix="0" xfId="0">
      <alignment horizontal="center" vertical="center"/>
    </xf>
    <xf numFmtId="0" fontId="0" fillId="13" borderId="1" pivotButton="0" quotePrefix="0" xfId="0"/>
    <xf numFmtId="0" fontId="0" fillId="13" borderId="16" pivotButton="0" quotePrefix="0" xfId="0"/>
    <xf numFmtId="176" fontId="28" fillId="13" borderId="12" applyAlignment="1" pivotButton="0" quotePrefix="0" xfId="0">
      <alignment horizontal="center" vertical="center"/>
    </xf>
    <xf numFmtId="3" fontId="28" fillId="13" borderId="12" applyAlignment="1" pivotButton="0" quotePrefix="0" xfId="0">
      <alignment horizontal="center" vertical="center"/>
    </xf>
    <xf numFmtId="177" fontId="28" fillId="13" borderId="12" applyAlignment="1" pivotButton="0" quotePrefix="0" xfId="0">
      <alignment horizontal="center" vertical="center"/>
    </xf>
    <xf numFmtId="0" fontId="15" fillId="5" borderId="2" applyAlignment="1" pivotButton="0" quotePrefix="0" xfId="0">
      <alignment horizontal="center" vertical="center"/>
    </xf>
    <xf numFmtId="0" fontId="0" fillId="5" borderId="2" pivotButton="0" quotePrefix="0" xfId="0"/>
    <xf numFmtId="1" fontId="32" fillId="13" borderId="2" applyAlignment="1" pivotButton="0" quotePrefix="0" xfId="0">
      <alignment horizontal="center" vertical="center" indent="1"/>
    </xf>
    <xf numFmtId="0" fontId="32" fillId="13" borderId="2" applyAlignment="1" pivotButton="0" quotePrefix="0" xfId="0">
      <alignment horizontal="left" vertical="center" indent="1"/>
    </xf>
    <xf numFmtId="3" fontId="32" fillId="13" borderId="2" applyAlignment="1" pivotButton="0" quotePrefix="0" xfId="0">
      <alignment horizontal="center" vertical="center" indent="1"/>
    </xf>
    <xf numFmtId="167" fontId="32" fillId="13" borderId="2" applyAlignment="1" pivotButton="0" quotePrefix="0" xfId="0">
      <alignment horizontal="center" vertical="center" indent="1"/>
    </xf>
    <xf numFmtId="164" fontId="32" fillId="13" borderId="2" applyAlignment="1" pivotButton="0" quotePrefix="0" xfId="0">
      <alignment horizontal="center" vertical="center" indent="1"/>
    </xf>
    <xf numFmtId="1" fontId="32" fillId="6" borderId="2" applyAlignment="1" pivotButton="0" quotePrefix="0" xfId="0">
      <alignment horizontal="center" vertical="center" indent="1"/>
    </xf>
    <xf numFmtId="0" fontId="32" fillId="6" borderId="2" applyAlignment="1" pivotButton="0" quotePrefix="0" xfId="0">
      <alignment horizontal="left" vertical="center" indent="1"/>
    </xf>
    <xf numFmtId="3" fontId="32" fillId="6" borderId="2" applyAlignment="1" pivotButton="0" quotePrefix="0" xfId="0">
      <alignment horizontal="center" vertical="center" indent="1"/>
    </xf>
    <xf numFmtId="167" fontId="32" fillId="6" borderId="2" applyAlignment="1" pivotButton="0" quotePrefix="0" xfId="0">
      <alignment horizontal="center" vertical="center" indent="1"/>
    </xf>
    <xf numFmtId="164" fontId="32" fillId="6" borderId="2" applyAlignment="1" pivotButton="0" quotePrefix="0" xfId="0">
      <alignment horizontal="center" vertical="center" indent="1"/>
    </xf>
    <xf numFmtId="0" fontId="15" fillId="7" borderId="2" applyAlignment="1" pivotButton="0" quotePrefix="0" xfId="0">
      <alignment horizontal="center" vertical="center"/>
    </xf>
    <xf numFmtId="0" fontId="0" fillId="7" borderId="2" pivotButton="0" quotePrefix="0" xfId="0"/>
    <xf numFmtId="0" fontId="13" fillId="4" borderId="2" applyAlignment="1" pivotButton="0" quotePrefix="0" xfId="0">
      <alignment horizontal="left" vertical="center" indent="1"/>
    </xf>
    <xf numFmtId="166" fontId="13" fillId="4" borderId="2" applyAlignment="1" pivotButton="0" quotePrefix="0" xfId="0">
      <alignment horizontal="left" vertical="center" indent="1"/>
    </xf>
    <xf numFmtId="0" fontId="6" fillId="0" borderId="0" applyAlignment="1" pivotButton="0" quotePrefix="0" xfId="0">
      <alignment horizontal="left" vertical="top" wrapText="1"/>
    </xf>
    <xf numFmtId="0" fontId="7" fillId="7" borderId="7" applyAlignment="1" pivotButton="0" quotePrefix="0" xfId="0">
      <alignment horizontal="center" vertical="center"/>
    </xf>
    <xf numFmtId="0" fontId="0" fillId="7" borderId="7" pivotButton="0" quotePrefix="0" xfId="0"/>
    <xf numFmtId="0" fontId="7" fillId="5" borderId="7" applyAlignment="1" pivotButton="0" quotePrefix="0" xfId="0">
      <alignment horizontal="center" vertical="center"/>
    </xf>
    <xf numFmtId="0" fontId="0" fillId="5" borderId="7" pivotButton="0" quotePrefix="0" xfId="0"/>
    <xf numFmtId="0" fontId="7" fillId="9" borderId="7" applyAlignment="1" pivotButton="0" quotePrefix="0" xfId="0">
      <alignment horizontal="center" vertical="center"/>
    </xf>
    <xf numFmtId="0" fontId="0" fillId="9" borderId="7" pivotButton="0" quotePrefix="0" xfId="0"/>
    <xf numFmtId="0" fontId="7" fillId="10" borderId="7" applyAlignment="1" pivotButton="0" quotePrefix="0" xfId="0">
      <alignment horizontal="center" vertical="center"/>
    </xf>
    <xf numFmtId="0" fontId="0" fillId="10" borderId="7" pivotButton="0" quotePrefix="0" xfId="0"/>
    <xf numFmtId="0" fontId="7" fillId="11" borderId="7" applyAlignment="1" pivotButton="0" quotePrefix="0" xfId="0">
      <alignment horizontal="center" vertical="center"/>
    </xf>
    <xf numFmtId="0" fontId="0" fillId="11" borderId="7" pivotButton="0" quotePrefix="0" xfId="0"/>
    <xf numFmtId="0" fontId="7" fillId="2" borderId="7" applyAlignment="1" pivotButton="0" quotePrefix="0" xfId="0">
      <alignment horizontal="center" vertical="center"/>
    </xf>
    <xf numFmtId="0" fontId="0" fillId="2" borderId="7" pivotButton="0" quotePrefix="0" xfId="0"/>
    <xf numFmtId="0" fontId="7" fillId="2" borderId="2" applyAlignment="1" pivotButton="0" quotePrefix="0" xfId="0">
      <alignment horizontal="center" vertical="center" wrapText="1"/>
    </xf>
    <xf numFmtId="166" fontId="13" fillId="4" borderId="2" applyAlignment="1" pivotButton="0" quotePrefix="0" xfId="0">
      <alignment horizontal="center" vertical="center"/>
    </xf>
    <xf numFmtId="0" fontId="13" fillId="4" borderId="2" applyAlignment="1" pivotButton="0" quotePrefix="0" xfId="0">
      <alignment horizontal="left" vertical="center"/>
    </xf>
    <xf numFmtId="3" fontId="13" fillId="4" borderId="2" applyAlignment="1" pivotButton="0" quotePrefix="0" xfId="0">
      <alignment horizontal="center" vertical="center"/>
    </xf>
    <xf numFmtId="165" fontId="14" fillId="8" borderId="2" applyAlignment="1" pivotButton="0" quotePrefix="0" xfId="0">
      <alignment horizontal="center" vertical="center"/>
    </xf>
    <xf numFmtId="167" fontId="13" fillId="4" borderId="2" applyAlignment="1" pivotButton="0" quotePrefix="0" xfId="0">
      <alignment horizontal="center" vertical="center"/>
    </xf>
    <xf numFmtId="3" fontId="8" fillId="12" borderId="2" applyAlignment="1" pivotButton="0" quotePrefix="0" xfId="0">
      <alignment horizontal="center" vertical="center"/>
    </xf>
    <xf numFmtId="164" fontId="8" fillId="12" borderId="2" applyAlignment="1" pivotButton="0" quotePrefix="0" xfId="0">
      <alignment horizontal="center" vertical="center"/>
    </xf>
    <xf numFmtId="0" fontId="8" fillId="12" borderId="2" applyAlignment="1" pivotButton="0" quotePrefix="0" xfId="0">
      <alignment horizontal="left" vertical="center"/>
    </xf>
    <xf numFmtId="1" fontId="8" fillId="12" borderId="2" applyAlignment="1" pivotButton="0" quotePrefix="0" xfId="0">
      <alignment horizontal="center" vertical="center"/>
    </xf>
    <xf numFmtId="168" fontId="13" fillId="4" borderId="2" applyAlignment="1" pivotButton="0" quotePrefix="0" xfId="0">
      <alignment horizontal="center" vertical="center"/>
    </xf>
    <xf numFmtId="0" fontId="15" fillId="7" borderId="2" applyAlignment="1" pivotButton="0" quotePrefix="0" xfId="0">
      <alignment horizontal="center" vertical="center" wrapText="1"/>
    </xf>
    <xf numFmtId="3" fontId="16" fillId="13" borderId="2" applyAlignment="1" pivotButton="0" quotePrefix="0" xfId="0">
      <alignment horizontal="center" vertical="center"/>
    </xf>
    <xf numFmtId="164" fontId="16" fillId="13" borderId="2" applyAlignment="1" pivotButton="0" quotePrefix="0" xfId="0">
      <alignment horizontal="center" vertical="center"/>
    </xf>
    <xf numFmtId="169" fontId="16" fillId="13" borderId="2" applyAlignment="1" pivotButton="0" quotePrefix="0" xfId="0">
      <alignment horizontal="center" vertical="center"/>
    </xf>
    <xf numFmtId="165" fontId="16" fillId="13" borderId="2" applyAlignment="1" pivotButton="0" quotePrefix="0" xfId="0">
      <alignment horizontal="center" vertical="center"/>
    </xf>
    <xf numFmtId="170" fontId="16" fillId="13" borderId="2" applyAlignment="1" pivotButton="0" quotePrefix="0" xfId="0">
      <alignment horizontal="center" vertical="center"/>
    </xf>
    <xf numFmtId="0" fontId="7" fillId="5" borderId="2" applyAlignment="1" pivotButton="0" quotePrefix="0" xfId="0">
      <alignment horizontal="center" vertical="center"/>
    </xf>
    <xf numFmtId="0" fontId="8" fillId="12" borderId="2" applyAlignment="1" pivotButton="0" quotePrefix="0" xfId="0">
      <alignment horizontal="center" vertical="center"/>
    </xf>
    <xf numFmtId="0" fontId="13" fillId="4" borderId="2" applyAlignment="1" pivotButton="0" quotePrefix="0" xfId="0">
      <alignment horizontal="left" vertical="center" wrapText="1"/>
    </xf>
    <xf numFmtId="1" fontId="13" fillId="4" borderId="2" applyAlignment="1" pivotButton="0" quotePrefix="0" xfId="0">
      <alignment horizontal="center" vertical="center"/>
    </xf>
    <xf numFmtId="9" fontId="13" fillId="4" borderId="2" applyAlignment="1" pivotButton="0" quotePrefix="0" xfId="0">
      <alignment horizontal="center" vertical="center"/>
    </xf>
    <xf numFmtId="170" fontId="13" fillId="4" borderId="2" applyAlignment="1" pivotButton="0" quotePrefix="0" xfId="0">
      <alignment horizontal="center" vertical="center"/>
    </xf>
    <xf numFmtId="3" fontId="17" fillId="13" borderId="2" applyAlignment="1" pivotButton="0" quotePrefix="0" xfId="0">
      <alignment horizontal="center" vertical="center"/>
    </xf>
    <xf numFmtId="164" fontId="17" fillId="13" borderId="2" applyAlignment="1" pivotButton="0" quotePrefix="0" xfId="0">
      <alignment horizontal="center" vertical="center"/>
    </xf>
    <xf numFmtId="2" fontId="17" fillId="13" borderId="2" applyAlignment="1" pivotButton="0" quotePrefix="0" xfId="0">
      <alignment horizontal="center" vertical="center"/>
    </xf>
    <xf numFmtId="0" fontId="15" fillId="5" borderId="2" applyAlignment="1" pivotButton="0" quotePrefix="0" xfId="0">
      <alignment horizontal="center" vertical="center" wrapText="1"/>
    </xf>
    <xf numFmtId="0" fontId="10" fillId="3" borderId="2" applyAlignment="1" pivotButton="0" quotePrefix="0" xfId="0">
      <alignment horizontal="right" vertical="center"/>
    </xf>
    <xf numFmtId="0" fontId="0" fillId="3" borderId="2" pivotButton="0" quotePrefix="0" xfId="0"/>
    <xf numFmtId="0" fontId="18" fillId="3" borderId="2" applyAlignment="1" pivotButton="0" quotePrefix="0" xfId="0">
      <alignment horizontal="center" vertical="center" wrapText="1"/>
    </xf>
    <xf numFmtId="0" fontId="9" fillId="4" borderId="2" applyAlignment="1" pivotButton="0" quotePrefix="0" xfId="0">
      <alignment horizontal="center" vertical="center"/>
    </xf>
    <xf numFmtId="3" fontId="8" fillId="12" borderId="2" applyAlignment="1" pivotButton="0" quotePrefix="0" xfId="0">
      <alignment horizontal="center" vertical="center"/>
    </xf>
    <xf numFmtId="164" fontId="8" fillId="12" borderId="2" applyAlignment="1" pivotButton="0" quotePrefix="0" xfId="0">
      <alignment horizontal="center" vertical="center"/>
    </xf>
    <xf numFmtId="3" fontId="19" fillId="12" borderId="2" applyAlignment="1" pivotButton="0" quotePrefix="0" xfId="0">
      <alignment horizontal="center" vertical="center"/>
    </xf>
    <xf numFmtId="164" fontId="19" fillId="12" borderId="2" applyAlignment="1" pivotButton="0" quotePrefix="0" xfId="0">
      <alignment horizontal="center" vertical="center"/>
    </xf>
    <xf numFmtId="0" fontId="19" fillId="12" borderId="2" applyAlignment="1" pivotButton="0" quotePrefix="0" xfId="0">
      <alignment horizontal="center" vertical="center"/>
    </xf>
    <xf numFmtId="0" fontId="19" fillId="0" borderId="0" applyAlignment="1" pivotButton="0" quotePrefix="0" xfId="0">
      <alignment horizontal="right" vertical="center"/>
    </xf>
    <xf numFmtId="0" fontId="9" fillId="4" borderId="2" applyAlignment="1" pivotButton="0" quotePrefix="0" xfId="0">
      <alignment horizontal="left" vertical="center" indent="1"/>
    </xf>
    <xf numFmtId="166" fontId="9" fillId="4" borderId="2" applyAlignment="1" pivotButton="0" quotePrefix="0" xfId="0">
      <alignment horizontal="left" vertical="center" indent="1"/>
    </xf>
    <xf numFmtId="1" fontId="8" fillId="0" borderId="2" applyAlignment="1" pivotButton="0" quotePrefix="0" xfId="0">
      <alignment horizontal="center" vertical="center"/>
    </xf>
    <xf numFmtId="1" fontId="9" fillId="4" borderId="2" applyAlignment="1" pivotButton="0" quotePrefix="0" xfId="0">
      <alignment horizontal="center" vertical="center"/>
    </xf>
    <xf numFmtId="1" fontId="8" fillId="12" borderId="2" applyAlignment="1" pivotButton="0" quotePrefix="0" xfId="0">
      <alignment horizontal="center" vertical="center"/>
    </xf>
    <xf numFmtId="172" fontId="8" fillId="12" borderId="2" applyAlignment="1" pivotButton="0" quotePrefix="0" xfId="0">
      <alignment horizontal="center" vertical="center"/>
    </xf>
    <xf numFmtId="0" fontId="13" fillId="4" borderId="2" applyAlignment="1" pivotButton="0" quotePrefix="0" xfId="0">
      <alignment horizontal="left" vertical="center" wrapText="1" indent="1"/>
    </xf>
    <xf numFmtId="166" fontId="13" fillId="4" borderId="2" applyAlignment="1" pivotButton="0" quotePrefix="0" xfId="0">
      <alignment horizontal="left" vertical="center" wrapText="1" indent="1"/>
    </xf>
    <xf numFmtId="0" fontId="20" fillId="12" borderId="2" applyAlignment="1" pivotButton="0" quotePrefix="0" xfId="0">
      <alignment horizontal="left" vertical="center" indent="1"/>
    </xf>
    <xf numFmtId="173" fontId="8" fillId="12" borderId="2" applyAlignment="1" pivotButton="0" quotePrefix="0" xfId="0">
      <alignment horizontal="center" vertical="center"/>
    </xf>
    <xf numFmtId="0" fontId="8" fillId="12" borderId="2" applyAlignment="1" pivotButton="0" quotePrefix="0" xfId="0">
      <alignment horizontal="center" vertical="center"/>
    </xf>
    <xf numFmtId="0" fontId="21" fillId="3" borderId="2" applyAlignment="1" pivotButton="0" quotePrefix="0" xfId="0">
      <alignment horizontal="left" vertical="center" indent="1"/>
    </xf>
    <xf numFmtId="1" fontId="19" fillId="3" borderId="2" applyAlignment="1" pivotButton="0" quotePrefix="0" xfId="0">
      <alignment horizontal="center" vertical="center"/>
    </xf>
    <xf numFmtId="164" fontId="19" fillId="3" borderId="2" applyAlignment="1" pivotButton="0" quotePrefix="0" xfId="0">
      <alignment horizontal="center" vertical="center"/>
    </xf>
    <xf numFmtId="173" fontId="19" fillId="3" borderId="2" applyAlignment="1" pivotButton="0" quotePrefix="0" xfId="0">
      <alignment horizontal="center" vertical="center"/>
    </xf>
    <xf numFmtId="0" fontId="19" fillId="3" borderId="2" applyAlignment="1" pivotButton="0" quotePrefix="0" xfId="0">
      <alignment horizontal="center" vertical="center"/>
    </xf>
    <xf numFmtId="166" fontId="13" fillId="4" borderId="2" applyAlignment="1" pivotButton="0" quotePrefix="0" xfId="0">
      <alignment horizontal="center" vertical="center"/>
    </xf>
    <xf numFmtId="164" fontId="13" fillId="4" borderId="2" applyAlignment="1" pivotButton="0" quotePrefix="0" xfId="0">
      <alignment horizontal="center" vertical="center"/>
    </xf>
    <xf numFmtId="0" fontId="13" fillId="4" borderId="2" applyAlignment="1" pivotButton="0" quotePrefix="0" xfId="0">
      <alignment horizontal="center" vertical="center"/>
    </xf>
    <xf numFmtId="166" fontId="22" fillId="12" borderId="2" applyAlignment="1" pivotButton="0" quotePrefix="0" xfId="0">
      <alignment horizontal="center" vertical="center"/>
    </xf>
    <xf numFmtId="0" fontId="22" fillId="12" borderId="2" applyAlignment="1" pivotButton="0" quotePrefix="0" xfId="0">
      <alignment horizontal="left" vertical="center" indent="1"/>
    </xf>
    <xf numFmtId="164" fontId="22" fillId="12" borderId="2" applyAlignment="1" pivotButton="0" quotePrefix="0" xfId="0">
      <alignment horizontal="center" vertical="center"/>
    </xf>
    <xf numFmtId="168" fontId="9" fillId="4" borderId="2" applyAlignment="1" pivotButton="0" quotePrefix="0" xfId="0">
      <alignment horizontal="left" vertical="center" indent="1"/>
    </xf>
    <xf numFmtId="0" fontId="23" fillId="0" borderId="2" applyAlignment="1" pivotButton="0" quotePrefix="0" xfId="0">
      <alignment horizontal="left" vertical="center" wrapText="1" indent="1"/>
    </xf>
    <xf numFmtId="0" fontId="8" fillId="0" borderId="2" applyAlignment="1" pivotButton="0" quotePrefix="0" xfId="0">
      <alignment horizontal="center" vertical="center"/>
    </xf>
    <xf numFmtId="0" fontId="20" fillId="3" borderId="2" applyAlignment="1" pivotButton="0" quotePrefix="0" xfId="0">
      <alignment horizontal="right" vertical="center"/>
    </xf>
    <xf numFmtId="164" fontId="24" fillId="12" borderId="2" applyAlignment="1" pivotButton="0" quotePrefix="0" xfId="0">
      <alignment horizontal="left" vertical="center" indent="1"/>
    </xf>
    <xf numFmtId="3" fontId="24" fillId="12" borderId="2" applyAlignment="1" pivotButton="0" quotePrefix="0" xfId="0">
      <alignment horizontal="left" vertical="center" indent="1"/>
    </xf>
    <xf numFmtId="0" fontId="24" fillId="12" borderId="2" applyAlignment="1" pivotButton="0" quotePrefix="0" xfId="0">
      <alignment horizontal="left" vertical="center" indent="1"/>
    </xf>
    <xf numFmtId="0" fontId="10" fillId="3" borderId="2" applyAlignment="1" pivotButton="0" quotePrefix="0" xfId="0">
      <alignment horizontal="left" vertical="center" wrapText="1" indent="1"/>
    </xf>
    <xf numFmtId="0" fontId="19" fillId="0" borderId="2" applyAlignment="1" pivotButton="0" quotePrefix="0" xfId="0">
      <alignment horizontal="center" vertical="center" wrapText="1" indent="1"/>
    </xf>
    <xf numFmtId="0" fontId="4" fillId="0" borderId="0" applyAlignment="1" pivotButton="0" quotePrefix="0" xfId="0">
      <alignment horizontal="left" vertical="center"/>
    </xf>
    <xf numFmtId="0" fontId="5" fillId="4" borderId="2" applyAlignment="1" pivotButton="0" quotePrefix="0" xfId="0">
      <alignment horizontal="left" vertical="center" indent="1"/>
    </xf>
    <xf numFmtId="0" fontId="12" fillId="7" borderId="0" applyAlignment="1" pivotButton="0" quotePrefix="0" xfId="0">
      <alignment horizontal="center" vertical="center"/>
    </xf>
    <xf numFmtId="0" fontId="0" fillId="7" borderId="0" pivotButton="0" quotePrefix="0" xfId="0"/>
    <xf numFmtId="0" fontId="13" fillId="8" borderId="2" applyAlignment="1" pivotButton="0" quotePrefix="0" xfId="0">
      <alignment horizontal="left" vertical="center" indent="1"/>
    </xf>
    <xf numFmtId="165" fontId="13" fillId="8" borderId="2" applyAlignment="1" pivotButton="0" quotePrefix="0" xfId="0">
      <alignment horizontal="center" vertical="center"/>
    </xf>
    <xf numFmtId="3" fontId="13" fillId="8" borderId="2" applyAlignment="1" pivotButton="0" quotePrefix="0" xfId="0">
      <alignment horizontal="center" vertical="center"/>
    </xf>
    <xf numFmtId="1" fontId="13" fillId="8" borderId="2" applyAlignment="1" pivotButton="0" quotePrefix="0" xfId="0">
      <alignment horizontal="center" vertical="center"/>
    </xf>
    <xf numFmtId="0" fontId="10" fillId="0" borderId="2" applyAlignment="1" pivotButton="0" quotePrefix="0" xfId="0">
      <alignment horizontal="center" vertical="center"/>
    </xf>
    <xf numFmtId="164" fontId="9" fillId="4" borderId="2" applyAlignment="1" pivotButton="0" quotePrefix="0" xfId="0">
      <alignment horizontal="center" vertical="center"/>
    </xf>
    <xf numFmtId="0" fontId="11" fillId="0" borderId="2" applyAlignment="1" pivotButton="0" quotePrefix="0" xfId="0">
      <alignment horizontal="left" vertical="center" indent="1"/>
    </xf>
    <xf numFmtId="0" fontId="10" fillId="6" borderId="2" applyAlignment="1" pivotButton="0" quotePrefix="0" xfId="0">
      <alignment horizontal="center" vertical="center"/>
    </xf>
    <xf numFmtId="0" fontId="8" fillId="6" borderId="2" applyAlignment="1" pivotButton="0" quotePrefix="0" xfId="0">
      <alignment horizontal="left" vertical="center" indent="1"/>
    </xf>
    <xf numFmtId="0" fontId="8" fillId="6" borderId="2" applyAlignment="1" pivotButton="0" quotePrefix="0" xfId="0">
      <alignment horizontal="center" vertical="center"/>
    </xf>
    <xf numFmtId="0" fontId="11" fillId="6" borderId="2" applyAlignment="1" pivotButton="0" quotePrefix="0" xfId="0">
      <alignment horizontal="left" vertical="center" indent="1"/>
    </xf>
    <xf numFmtId="3" fontId="9" fillId="4" borderId="2" applyAlignment="1" pivotButton="0" quotePrefix="0" xfId="0">
      <alignment horizontal="center" vertical="center"/>
    </xf>
    <xf numFmtId="0" fontId="10" fillId="13" borderId="2" applyAlignment="1" pivotButton="0" quotePrefix="0" xfId="0">
      <alignment horizontal="left" vertical="top" wrapText="1" indent="1"/>
    </xf>
    <xf numFmtId="0" fontId="8" fillId="13" borderId="2" applyAlignment="1" pivotButton="0" quotePrefix="0" xfId="0">
      <alignment horizontal="left" vertical="top" wrapText="1" indent="1"/>
    </xf>
    <xf numFmtId="0" fontId="10" fillId="6" borderId="2" applyAlignment="1" pivotButton="0" quotePrefix="0" xfId="0">
      <alignment horizontal="left" vertical="top" wrapText="1" indent="1"/>
    </xf>
    <xf numFmtId="0" fontId="8" fillId="6" borderId="2" applyAlignment="1" pivotButton="0" quotePrefix="0" xfId="0">
      <alignment horizontal="left" vertical="top" wrapText="1" indent="1"/>
    </xf>
    <xf numFmtId="0" fontId="8" fillId="3" borderId="2" applyAlignment="1" pivotButton="0" quotePrefix="0" xfId="0">
      <alignment horizontal="left" vertical="center" wrapText="1" indent="1"/>
    </xf>
    <xf numFmtId="0" fontId="20" fillId="0" borderId="0" applyAlignment="1" pivotButton="0" quotePrefix="0" xfId="0">
      <alignment horizontal="left" vertical="center"/>
    </xf>
    <xf numFmtId="0" fontId="8" fillId="0" borderId="0" applyAlignment="1" pivotButton="0" quotePrefix="0" xfId="0">
      <alignment horizontal="left" vertical="center"/>
    </xf>
    <xf numFmtId="1" fontId="8" fillId="0" borderId="0" applyAlignment="1" pivotButton="0" quotePrefix="0" xfId="0">
      <alignment horizontal="center" vertical="center"/>
    </xf>
    <xf numFmtId="164" fontId="8" fillId="0" borderId="0" applyAlignment="1" pivotButton="0" quotePrefix="0" xfId="0">
      <alignment horizontal="center" vertical="center"/>
    </xf>
    <xf numFmtId="0" fontId="8" fillId="0" borderId="0" applyAlignment="1" pivotButton="0" quotePrefix="0" xfId="0">
      <alignment horizontal="center" vertical="center"/>
    </xf>
    <xf numFmtId="166" fontId="8" fillId="0" borderId="0" applyAlignment="1" pivotButton="0" quotePrefix="0" xfId="0">
      <alignment horizontal="center" vertical="center"/>
    </xf>
    <xf numFmtId="3" fontId="8" fillId="0" borderId="0" applyAlignment="1" pivotButton="0" quotePrefix="0" xfId="0">
      <alignment horizontal="center" vertical="center"/>
    </xf>
    <xf numFmtId="166" fontId="8" fillId="0" borderId="2" applyAlignment="1" pivotButton="0" quotePrefix="0" xfId="0">
      <alignment horizontal="center" vertical="center"/>
    </xf>
    <xf numFmtId="3" fontId="8" fillId="0" borderId="2" applyAlignment="1" pivotButton="0" quotePrefix="0" xfId="0">
      <alignment horizontal="center" vertical="center"/>
    </xf>
    <xf numFmtId="164" fontId="8" fillId="0" borderId="2" applyAlignment="1" pivotButton="0" quotePrefix="0" xfId="0">
      <alignment horizontal="center" vertical="center"/>
    </xf>
    <xf numFmtId="0" fontId="25" fillId="0" borderId="0" applyAlignment="1" pivotButton="0" quotePrefix="0" xfId="0">
      <alignment horizontal="left" vertical="center"/>
    </xf>
    <xf numFmtId="3" fontId="8" fillId="0" borderId="2" applyAlignment="1" pivotButton="0" quotePrefix="0" xfId="0">
      <alignment horizontal="center" vertical="center" indent="1"/>
    </xf>
    <xf numFmtId="174" fontId="8" fillId="0" borderId="2" applyAlignment="1" pivotButton="0" quotePrefix="0" xfId="0">
      <alignment horizontal="center" vertical="center" indent="1"/>
    </xf>
    <xf numFmtId="1" fontId="8" fillId="0" borderId="2" applyAlignment="1" pivotButton="0" quotePrefix="0" xfId="0">
      <alignment horizontal="center" vertical="center" indent="1"/>
    </xf>
    <xf numFmtId="164" fontId="8" fillId="0" borderId="2" applyAlignment="1" pivotButton="0" quotePrefix="0" xfId="0">
      <alignment horizontal="center" vertical="center" indent="1"/>
    </xf>
    <xf numFmtId="3" fontId="19" fillId="0" borderId="2" applyAlignment="1" pivotButton="0" quotePrefix="0" xfId="0">
      <alignment horizontal="center" vertical="center" indent="1"/>
    </xf>
    <xf numFmtId="0" fontId="19" fillId="0" borderId="2" applyAlignment="1" pivotButton="0" quotePrefix="0" xfId="0">
      <alignment horizontal="center" vertical="center" indent="1"/>
    </xf>
    <xf numFmtId="0" fontId="8" fillId="0" borderId="2" applyAlignment="1" pivotButton="0" quotePrefix="0" xfId="0">
      <alignment horizontal="center" vertical="center" indent="1"/>
    </xf>
    <xf numFmtId="175" fontId="8" fillId="0" borderId="2" applyAlignment="1" pivotButton="0" quotePrefix="0" xfId="0">
      <alignment horizontal="center" vertical="center"/>
    </xf>
    <xf numFmtId="175" fontId="19" fillId="0" borderId="2" applyAlignment="1" pivotButton="0" quotePrefix="0" xfId="0">
      <alignment horizontal="center" vertical="center"/>
    </xf>
    <xf numFmtId="3" fontId="19" fillId="0" borderId="2" applyAlignment="1" pivotButton="0" quotePrefix="0" xfId="0">
      <alignment horizontal="center" vertical="center"/>
    </xf>
    <xf numFmtId="164" fontId="19" fillId="0" borderId="2" applyAlignment="1" pivotButton="0" quotePrefix="0" xfId="0">
      <alignment horizontal="center" vertical="center"/>
    </xf>
    <xf numFmtId="167" fontId="8" fillId="0" borderId="2" applyAlignment="1" pivotButton="0" quotePrefix="0" xfId="0">
      <alignment horizontal="center" vertical="center" indent="1"/>
    </xf>
  </cellXfs>
  <cellStyles count="1">
    <cellStyle name="Normal" xfId="0" builtinId="0" hidden="0"/>
  </cellStyles>
  <dxfs count="21">
    <dxf>
      <font>
        <name val="Arial"/>
        <b val="1"/>
        <color rgb="001E7B34"/>
        <sz val="20"/>
      </font>
      <fill>
        <patternFill patternType="solid">
          <fgColor rgb="00DFF3E3"/>
        </patternFill>
      </fill>
    </dxf>
    <dxf>
      <font>
        <name val="Arial"/>
        <b val="1"/>
        <color rgb="009C6500"/>
        <sz val="20"/>
      </font>
      <fill>
        <patternFill patternType="solid">
          <fgColor rgb="00FFF0C7"/>
        </patternFill>
      </fill>
    </dxf>
    <dxf>
      <font>
        <name val="Arial"/>
        <b val="1"/>
        <color rgb="00B01919"/>
        <sz val="20"/>
      </font>
      <fill>
        <patternFill patternType="solid">
          <fgColor rgb="00FBE0E0"/>
        </patternFill>
      </fill>
    </dxf>
    <dxf>
      <font>
        <name val="Arial"/>
        <b val="1"/>
        <color rgb="00FFFFFF"/>
        <sz val="8.5"/>
      </font>
      <fill>
        <patternFill patternType="solid">
          <fgColor rgb="00B01919"/>
        </patternFill>
      </fill>
    </dxf>
    <dxf>
      <font>
        <name val="Arial"/>
        <b val="1"/>
        <color rgb="00B01919"/>
        <sz val="9"/>
      </font>
      <fill>
        <patternFill patternType="solid">
          <fgColor rgb="00FBE0E0"/>
        </patternFill>
      </fill>
    </dxf>
    <dxf>
      <font>
        <name val="Arial"/>
        <b val="1"/>
        <color rgb="00B01919"/>
        <sz val="9"/>
      </font>
      <fill>
        <patternFill patternType="solid">
          <fgColor rgb="00F5B7B1"/>
        </patternFill>
      </fill>
    </dxf>
    <dxf>
      <font>
        <name val="Arial"/>
        <color rgb="009C6500"/>
        <sz val="9"/>
      </font>
      <fill>
        <patternFill patternType="solid">
          <fgColor rgb="00FFF0C7"/>
        </patternFill>
      </fill>
    </dxf>
    <dxf>
      <font>
        <name val="Arial"/>
        <color rgb="006B7A88"/>
        <sz val="9"/>
      </font>
    </dxf>
    <dxf>
      <fill>
        <patternFill patternType="solid">
          <fgColor rgb="00FBE0E0"/>
        </patternFill>
      </fill>
    </dxf>
    <dxf>
      <font>
        <name val="Arial"/>
        <b val="1"/>
        <color rgb="001E7B34"/>
        <sz val="9"/>
      </font>
      <fill>
        <patternFill patternType="solid">
          <fgColor rgb="00DFF3E3"/>
        </patternFill>
      </fill>
    </dxf>
    <dxf>
      <font>
        <name val="Arial"/>
        <b val="1"/>
        <color rgb="009C6500"/>
        <sz val="9"/>
      </font>
    </dxf>
    <dxf>
      <font>
        <name val="Arial"/>
        <b val="1"/>
        <color rgb="006B7A88"/>
        <sz val="9"/>
      </font>
      <fill>
        <patternFill patternType="solid">
          <fgColor rgb="00FFFFFF"/>
        </patternFill>
      </fill>
    </dxf>
    <dxf>
      <font>
        <name val="Arial"/>
        <b val="1"/>
        <color rgb="007A5230"/>
        <sz val="9"/>
      </font>
      <fill>
        <patternFill patternType="solid">
          <fgColor rgb="00FDE9A9"/>
        </patternFill>
      </fill>
    </dxf>
    <dxf>
      <font>
        <name val="Arial"/>
        <b val="1"/>
        <color rgb="007A5230"/>
        <sz val="9"/>
      </font>
      <fill>
        <patternFill patternType="solid">
          <fgColor rgb="00FFD8A8"/>
        </patternFill>
      </fill>
    </dxf>
    <dxf>
      <font>
        <name val="Arial"/>
        <b val="1"/>
        <color rgb="001E7B34"/>
        <sz val="9"/>
      </font>
      <fill>
        <patternFill patternType="solid">
          <fgColor rgb="00B7E4C0"/>
        </patternFill>
      </fill>
    </dxf>
    <dxf>
      <font>
        <name val="Arial"/>
        <b val="1"/>
        <color rgb="000B3D1E"/>
        <sz val="9"/>
      </font>
      <fill>
        <patternFill patternType="solid">
          <fgColor rgb="006FBF8B"/>
        </patternFill>
      </fill>
    </dxf>
    <dxf>
      <font>
        <name val="Arial"/>
        <b val="1"/>
        <color rgb="009C6500"/>
        <sz val="9"/>
      </font>
      <fill>
        <patternFill patternType="solid">
          <fgColor rgb="00FFF0C7"/>
        </patternFill>
      </fill>
    </dxf>
    <dxf>
      <font>
        <name val="Arial"/>
        <b val="1"/>
        <color rgb="00B01919"/>
        <sz val="9"/>
      </font>
    </dxf>
    <dxf>
      <font>
        <name val="Arial"/>
        <b val="1"/>
        <color rgb="00B01919"/>
        <sz val="11"/>
      </font>
      <fill>
        <patternFill patternType="solid">
          <fgColor rgb="00FBE0E0"/>
        </patternFill>
      </fill>
    </dxf>
    <dxf>
      <font>
        <name val="Arial"/>
        <b val="1"/>
        <color rgb="001E7B34"/>
        <sz val="11"/>
      </font>
      <fill>
        <patternFill patternType="solid">
          <fgColor rgb="00DFF3E3"/>
        </patternFill>
      </fill>
    </dxf>
    <dxf>
      <font>
        <name val="Arial"/>
        <b val="1"/>
        <color rgb="006B7A88"/>
        <sz val="11"/>
      </font>
      <fill>
        <patternFill patternType="solid">
          <fgColor rgb="00EDF2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style val="2"/>
  <chart>
    <title>
      <tx>
        <rich>
          <a:bodyPr/>
          <a:p>
            <a:pPr>
              <a:defRPr/>
            </a:pPr>
            <a:r>
              <a:t>Suivi journalier du TRS — moyenne mobile 7 jours et limites de contrôle</a:t>
            </a:r>
          </a:p>
        </rich>
      </tx>
    </title>
    <plotArea>
      <lineChart>
        <grouping val="standard"/>
        <ser>
          <idx val="0"/>
          <order val="0"/>
          <tx>
            <v>TRS journalier</v>
          </tx>
          <spPr>
            <a:ln w="22000">
              <a:solidFill>
                <a:srgbClr val="1F6FB2"/>
              </a:solidFill>
              <a:prstDash val="solid"/>
            </a:ln>
          </spPr>
          <marker>
            <symbol val="none"/>
            <spPr>
              <a:ln>
                <a:prstDash val="solid"/>
              </a:ln>
            </spPr>
          </marker>
          <cat>
            <numRef>
              <f>'CALC'!$A$12:$A$42</f>
            </numRef>
          </cat>
          <val>
            <numRef>
              <f>'CALC'!$R$12:$R$42</f>
            </numRef>
          </val>
          <smooth val="0"/>
        </ser>
        <ser>
          <idx val="1"/>
          <order val="1"/>
          <tx>
            <v>Moyenne mobile 7 jours</v>
          </tx>
          <spPr>
            <a:ln w="22000">
              <a:solidFill>
                <a:srgbClr val="B5651D"/>
              </a:solidFill>
              <a:prstDash val="solid"/>
            </a:ln>
          </spPr>
          <marker>
            <symbol val="none"/>
            <spPr>
              <a:ln>
                <a:prstDash val="solid"/>
              </a:ln>
            </spPr>
          </marker>
          <cat>
            <numRef>
              <f>'CALC'!$A$12:$A$42</f>
            </numRef>
          </cat>
          <val>
            <numRef>
              <f>'CALC'!$S$12:$S$42</f>
            </numRef>
          </val>
          <smooth val="0"/>
        </ser>
        <ser>
          <idx val="2"/>
          <order val="2"/>
          <tx>
            <v>Cible</v>
          </tx>
          <spPr>
            <a:ln w="15000">
              <a:solidFill>
                <a:srgbClr val="1E7B34"/>
              </a:solidFill>
              <a:prstDash val="dash"/>
            </a:ln>
          </spPr>
          <marker>
            <symbol val="none"/>
            <spPr>
              <a:ln>
                <a:prstDash val="solid"/>
              </a:ln>
            </spPr>
          </marker>
          <cat>
            <numRef>
              <f>'CALC'!$A$12:$A$42</f>
            </numRef>
          </cat>
          <val>
            <numRef>
              <f>'CALC'!$N$12:$N$42</f>
            </numRef>
          </val>
          <smooth val="0"/>
        </ser>
        <ser>
          <idx val="3"/>
          <order val="3"/>
          <tx>
            <v>Limite de contrôle supérieure</v>
          </tx>
          <spPr>
            <a:ln w="10000">
              <a:solidFill>
                <a:srgbClr val="9AA7B2"/>
              </a:solidFill>
              <a:prstDash val="sysDot"/>
            </a:ln>
          </spPr>
          <marker>
            <symbol val="none"/>
            <spPr>
              <a:ln>
                <a:prstDash val="solid"/>
              </a:ln>
            </spPr>
          </marker>
          <cat>
            <numRef>
              <f>'CALC'!$A$12:$A$42</f>
            </numRef>
          </cat>
          <val>
            <numRef>
              <f>'CALC'!$P$12:$P$42</f>
            </numRef>
          </val>
          <smooth val="0"/>
        </ser>
        <ser>
          <idx val="4"/>
          <order val="4"/>
          <tx>
            <v>Limite de contrôle inférieure</v>
          </tx>
          <spPr>
            <a:ln w="10000">
              <a:solidFill>
                <a:srgbClr val="9AA7B2"/>
              </a:solidFill>
              <a:prstDash val="sysDot"/>
            </a:ln>
          </spPr>
          <marker>
            <symbol val="none"/>
            <spPr>
              <a:ln>
                <a:prstDash val="solid"/>
              </a:ln>
            </spPr>
          </marker>
          <cat>
            <numRef>
              <f>'CALC'!$A$12:$A$42</f>
            </numRef>
          </cat>
          <val>
            <numRef>
              <f>'CALC'!$Q$12:$Q$42</f>
            </numRef>
          </val>
          <smooth val="0"/>
        </ser>
        <axId val="10"/>
        <axId val="100"/>
      </lineChart>
      <catAx>
        <axId val="10"/>
        <scaling>
          <orientation val="minMax"/>
        </scaling>
        <axPos val="l"/>
        <title>
          <tx>
            <rich>
              <a:bodyPr/>
              <a:p>
                <a:pPr>
                  <a:defRPr/>
                </a:pPr>
                <a:r>
                  <a:t>Jour du mois</a:t>
                </a:r>
              </a:p>
            </rich>
          </tx>
        </title>
        <majorTickMark val="none"/>
        <minorTickMark val="none"/>
        <crossAx val="100"/>
        <lblOffset val="100"/>
      </catAx>
      <valAx>
        <axId val="100"/>
        <scaling>
          <orientation val="minMax"/>
        </scaling>
        <axPos val="l"/>
        <title>
          <tx>
            <rich>
              <a:bodyPr/>
              <a:p>
                <a:pPr>
                  <a:defRPr/>
                </a:pPr>
                <a:r>
                  <a:t>TRS</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Pareto des pertes de temps subies (minutes)</a:t>
            </a:r>
          </a:p>
        </rich>
      </tx>
    </title>
    <plotArea>
      <barChart>
        <barDir val="col"/>
        <grouping val="clustered"/>
        <ser>
          <idx val="0"/>
          <order val="0"/>
          <tx>
            <v>Minutes perdues</v>
          </tx>
          <spPr>
            <a:solidFill>
              <a:srgbClr val="1F6FB2"/>
            </a:solidFill>
            <a:ln>
              <a:prstDash val="solid"/>
            </a:ln>
          </spPr>
          <cat>
            <strRef>
              <f>'CALC'!$F$46:$F$53</f>
            </strRef>
          </cat>
          <val>
            <numRef>
              <f>'CALC'!$G$46:$G$53</f>
            </numRef>
          </val>
        </ser>
        <gapWidth val="45"/>
        <axId val="10"/>
        <axId val="100"/>
      </barChart>
      <lineChart>
        <grouping val="standard"/>
        <ser>
          <idx val="1"/>
          <order val="1"/>
          <tx>
            <v>Part cumulée</v>
          </tx>
          <spPr>
            <a:ln w="22000">
              <a:solidFill>
                <a:srgbClr val="B01919"/>
              </a:solidFill>
              <a:prstDash val="solid"/>
            </a:ln>
          </spPr>
          <marker>
            <symbol val="circle"/>
            <size val="5"/>
            <spPr>
              <a:ln>
                <a:prstDash val="solid"/>
              </a:ln>
            </spPr>
          </marker>
          <cat>
            <strRef>
              <f>'CALC'!$F$46:$F$53</f>
            </strRef>
          </cat>
          <val>
            <numRef>
              <f>'CALC'!$I$46:$I$53</f>
            </numRef>
          </val>
          <smooth val="0"/>
        </ser>
        <axId val="10"/>
        <axId val="300"/>
      </lineChart>
      <catAx>
        <axId val="10"/>
        <scaling>
          <orientation val="minMax"/>
        </scaling>
        <axPos val="l"/>
        <majorTickMark val="none"/>
        <minorTickMark val="none"/>
        <crossAx val="100"/>
        <lblOffset val="100"/>
      </catAx>
      <valAx>
        <axId val="100"/>
        <scaling>
          <orientation val="minMax"/>
        </scaling>
        <axPos val="l"/>
        <title>
          <tx>
            <rich>
              <a:bodyPr/>
              <a:p>
                <a:pPr>
                  <a:defRPr/>
                </a:pPr>
                <a:r>
                  <a:t>Minutes</a:t>
                </a:r>
              </a:p>
            </rich>
          </tx>
        </title>
        <majorTickMark val="none"/>
        <minorTickMark val="none"/>
        <crossAx val="10"/>
        <crosses val="autoZero"/>
      </valAx>
      <valAx>
        <axId val="300"/>
        <scaling>
          <orientation val="minMax"/>
          <max val="1"/>
        </scaling>
        <axPos val="l"/>
        <title>
          <tx>
            <rich>
              <a:bodyPr/>
              <a:p>
                <a:pPr>
                  <a:defRPr/>
                </a:pPr>
                <a:r>
                  <a:t>Cumul</a:t>
                </a:r>
              </a:p>
            </rich>
          </tx>
        </title>
        <numFmt formatCode="0%" sourceLinked="0"/>
        <majorTickMark val="none"/>
        <minorTickMark val="none"/>
        <crossAx val="10"/>
        <crosses val="max"/>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Cascade des pertes : du temps d'ouverture au temps utile (minutes)</a:t>
            </a:r>
          </a:p>
        </rich>
      </tx>
    </title>
    <plotArea>
      <barChart>
        <barDir val="col"/>
        <grouping val="stacked"/>
        <ser>
          <idx val="0"/>
          <order val="0"/>
          <tx>
            <v>Socle</v>
          </tx>
          <spPr>
            <a:noFill/>
            <a:ln>
              <a:noFill/>
              <a:prstDash val="solid"/>
            </a:ln>
          </spPr>
          <cat>
            <strRef>
              <f>'CALC'!$A$57:$A$69</f>
            </strRef>
          </cat>
          <val>
            <numRef>
              <f>'CALC'!$B$57:$B$69</f>
            </numRef>
          </val>
        </ser>
        <ser>
          <idx val="1"/>
          <order val="1"/>
          <tx>
            <v>Minutes</v>
          </tx>
          <spPr>
            <a:solidFill>
              <a:srgbClr val="35566F"/>
            </a:solidFill>
            <a:ln>
              <a:prstDash val="solid"/>
            </a:ln>
          </spPr>
          <cat>
            <strRef>
              <f>'CALC'!$A$57:$A$69</f>
            </strRef>
          </cat>
          <val>
            <numRef>
              <f>'CALC'!$C$57:$C$69</f>
            </numRef>
          </val>
        </ser>
        <gapWidth val="40"/>
        <overlap val="10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Minutes</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Tendance du TRS sur 13 mois glissants</a:t>
            </a:r>
          </a:p>
        </rich>
      </tx>
    </title>
    <plotArea>
      <lineChart>
        <grouping val="standard"/>
        <ser>
          <idx val="0"/>
          <order val="0"/>
          <tx>
            <v>TRS mensuel</v>
          </tx>
          <spPr>
            <a:ln w="24000">
              <a:solidFill>
                <a:srgbClr val="1F6FB2"/>
              </a:solidFill>
              <a:prstDash val="solid"/>
            </a:ln>
          </spPr>
          <marker>
            <symbol val="circle"/>
            <size val="5"/>
            <spPr>
              <a:ln>
                <a:prstDash val="solid"/>
              </a:ln>
            </spPr>
          </marker>
          <cat>
            <strRef>
              <f>'CALC'!$A$88:$A$100</f>
            </strRef>
          </cat>
          <val>
            <numRef>
              <f>'CALC'!$R$88:$R$100</f>
            </numRef>
          </val>
          <smooth val="0"/>
        </ser>
        <ser>
          <idx val="1"/>
          <order val="1"/>
          <tx>
            <v>Cible</v>
          </tx>
          <spPr>
            <a:ln w="15000">
              <a:solidFill>
                <a:srgbClr val="1E7B34"/>
              </a:solidFill>
              <a:prstDash val="dash"/>
            </a:ln>
          </spPr>
          <marker>
            <symbol val="none"/>
            <spPr>
              <a:ln>
                <a:prstDash val="solid"/>
              </a:ln>
            </spPr>
          </marker>
          <cat>
            <strRef>
              <f>'CALC'!$A$88:$A$100</f>
            </strRef>
          </cat>
          <val>
            <numRef>
              <f>'CALC'!$S$88:$S$100</f>
            </numRef>
          </val>
          <smooth val="0"/>
        </ser>
        <axId val="10"/>
        <axId val="100"/>
      </line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TRS par ligne de production — mois sélectionné</a:t>
            </a:r>
          </a:p>
        </rich>
      </tx>
    </title>
    <plotArea>
      <barChart>
        <barDir val="bar"/>
        <grouping val="clustered"/>
        <ser>
          <idx val="0"/>
          <order val="0"/>
          <tx>
            <v>TRS</v>
          </tx>
          <spPr>
            <a:solidFill>
              <a:srgbClr val="1F6FB2"/>
            </a:solidFill>
            <a:ln>
              <a:prstDash val="solid"/>
            </a:ln>
          </spPr>
          <cat>
            <strRef>
              <f>'CALC'!$A$72:$A$76</f>
            </strRef>
          </cat>
          <val>
            <numRef>
              <f>'CALC'!$E$72:$E$76</f>
            </numRef>
          </val>
        </ser>
        <dLbls>
          <numFmt formatCode="0.0%"/>
          <showVal val="1"/>
        </dLbls>
        <gapWidth val="55"/>
        <axId val="10"/>
        <axId val="100"/>
      </barChart>
      <catAx>
        <axId val="10"/>
        <scaling>
          <orientation val="minMax"/>
        </scaling>
        <axPos val="l"/>
        <numFmt formatCode="0%"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TRS par équipe — mois sélectionné</a:t>
            </a:r>
          </a:p>
        </rich>
      </tx>
    </title>
    <plotArea>
      <barChart>
        <barDir val="bar"/>
        <grouping val="clustered"/>
        <ser>
          <idx val="0"/>
          <order val="0"/>
          <tx>
            <v>TRS</v>
          </tx>
          <spPr>
            <a:solidFill>
              <a:srgbClr val="35566F"/>
            </a:solidFill>
            <a:ln>
              <a:prstDash val="solid"/>
            </a:ln>
          </spPr>
          <cat>
            <strRef>
              <f>'CALC'!$A$79:$A$83</f>
            </strRef>
          </cat>
          <val>
            <numRef>
              <f>'CALC'!$E$79:$E$83</f>
            </numRef>
          </val>
        </ser>
        <dLbls>
          <numFmt formatCode="0.0%"/>
          <showVal val="1"/>
        </dLbls>
        <gapWidth val="55"/>
        <axId val="10"/>
        <axId val="100"/>
      </barChart>
      <catAx>
        <axId val="10"/>
        <scaling>
          <orientation val="minMax"/>
        </scaling>
        <axPos val="l"/>
        <numFmt formatCode="0%"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Avancement du plan d'actions</a:t>
            </a:r>
          </a:p>
        </rich>
      </tx>
    </title>
    <plotArea>
      <doughnutChart>
        <varyColors val="1"/>
        <ser>
          <idx val="0"/>
          <order val="0"/>
          <tx>
            <v>Actions</v>
          </tx>
          <spPr>
            <a:ln>
              <a:prstDash val="solid"/>
            </a:ln>
          </spPr>
          <cat>
            <strRef>
              <f>'CALC'!$A$103:$A$107</f>
            </strRef>
          </cat>
          <val>
            <numRef>
              <f>'CALC'!$B$103:$B$107</f>
            </numRef>
          </val>
        </ser>
        <dLbls>
          <showVal val="1"/>
        </dLbls>
        <firstSliceAng val="0"/>
        <holeSize val="52"/>
      </doughnutChart>
    </plotArea>
    <legend>
      <legendPos val="r"/>
    </legend>
    <plotVisOnly val="1"/>
    <dispBlanksAs val="gap"/>
  </chart>
</chartSpace>
</file>

<file path=xl/charts/chart8.xml><?xml version="1.0" encoding="utf-8"?>
<chartSpace xmlns:a="http://schemas.openxmlformats.org/drawingml/2006/main" xmlns="http://schemas.openxmlformats.org/drawingml/2006/chart">
  <style val="2"/>
  <chart>
    <title>
      <tx>
        <rich>
          <a:bodyPr/>
          <a:p>
            <a:pPr>
              <a:defRPr/>
            </a:pPr>
            <a:r>
              <a:t>Effectif autonome par poste (niveau ≥ 3) et cible</a:t>
            </a:r>
          </a:p>
        </rich>
      </tx>
    </title>
    <plotArea>
      <barChart>
        <barDir val="col"/>
        <grouping val="clustered"/>
        <ser>
          <idx val="0"/>
          <order val="0"/>
          <tx>
            <v>Effectif autonome (≥ 3)</v>
          </tx>
          <spPr>
            <a:solidFill>
              <a:srgbClr val="1F6FB2"/>
            </a:solidFill>
            <a:ln>
              <a:prstDash val="solid"/>
            </a:ln>
          </spPr>
          <cat>
            <strRef>
              <f>'POLYVALENCE'!$E$9:$P$9</f>
            </strRef>
          </cat>
          <val>
            <numRef>
              <f>'POLYVALENCE'!$E$53:$P$53</f>
            </numRef>
          </val>
        </ser>
        <ser>
          <idx val="1"/>
          <order val="1"/>
          <tx>
            <v>Cible</v>
          </tx>
          <spPr>
            <a:solidFill>
              <a:srgbClr val="C9D6E2"/>
            </a:solidFill>
            <a:ln>
              <a:prstDash val="solid"/>
            </a:ln>
          </spPr>
          <cat>
            <strRef>
              <f>'POLYVALENCE'!$E$9:$P$9</f>
            </strRef>
          </cat>
          <val>
            <numRef>
              <f>'POLYVALENCE'!$E$55:$P$55</f>
            </numRef>
          </val>
        </ser>
        <gapWidth val="60"/>
        <overlap val="-2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Nombre de personnes</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style val="26"/>
  <chart>
    <title>
      <tx>
        <rich>
          <a:bodyPr/>
          <a:p>
            <a:pPr>
              <a:defRPr/>
            </a:pPr>
            <a:r>
              <a:t>Profil 5S de la zone — score par domaine</a:t>
            </a:r>
          </a:p>
        </rich>
      </tx>
    </title>
    <plotArea>
      <radarChart>
        <radarStyle val="marker"/>
        <ser>
          <idx val="0"/>
          <order val="0"/>
          <tx>
            <v>Score de l'audit</v>
          </tx>
          <spPr>
            <a:ln>
              <a:prstDash val="solid"/>
            </a:ln>
          </spPr>
          <marker>
            <symbol val="none"/>
            <spPr>
              <a:ln>
                <a:prstDash val="solid"/>
              </a:ln>
            </spPr>
          </marker>
          <cat>
            <strRef>
              <f>'AUDIT_5S'!$A$35:$A$39</f>
            </strRef>
          </cat>
          <val>
            <numRef>
              <f>'AUDIT_5S'!$D$35:$D$39</f>
            </numRef>
          </val>
        </ser>
        <ser>
          <idx val="1"/>
          <order val="1"/>
          <tx>
            <v>Cible</v>
          </tx>
          <spPr>
            <a:ln>
              <a:prstDash val="solid"/>
            </a:ln>
          </spPr>
          <marker>
            <symbol val="none"/>
            <spPr>
              <a:ln>
                <a:prstDash val="solid"/>
              </a:ln>
            </spPr>
          </marker>
          <cat>
            <strRef>
              <f>'AUDIT_5S'!$A$35:$A$39</f>
            </strRef>
          </cat>
          <val>
            <numRef>
              <f>'AUDIT_5S'!$E$35:$E$39</f>
            </numRef>
          </val>
        </ser>
        <axId val="10"/>
        <axId val="100"/>
      </radarChart>
      <catAx>
        <axId val="10"/>
        <scaling>
          <orientation val="minMax"/>
        </scaling>
        <axPos val="l"/>
        <majorTickMark val="none"/>
        <minorTickMark val="none"/>
        <crossAx val="100"/>
        <lblOffset val="100"/>
      </catAx>
      <valAx>
        <axId val="100"/>
        <scaling>
          <orientation val="minMax"/>
          <max val="1"/>
          <min val="0"/>
        </scaling>
        <axPos val="l"/>
        <majorGridlines/>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style val="2"/>
  <chart>
    <title>
      <tx>
        <rich>
          <a:bodyPr/>
          <a:p>
            <a:pPr>
              <a:defRPr/>
            </a:pPr>
            <a:r>
              <a:t>Évolution du score 5S de la zone</a:t>
            </a:r>
          </a:p>
        </rich>
      </tx>
    </title>
    <plotArea>
      <lineChart>
        <grouping val="standard"/>
        <ser>
          <idx val="0"/>
          <order val="0"/>
          <tx>
            <v>Score global</v>
          </tx>
          <spPr>
            <a:ln>
              <a:prstDash val="solid"/>
            </a:ln>
          </spPr>
          <marker>
            <symbol val="none"/>
            <spPr>
              <a:ln>
                <a:prstDash val="solid"/>
              </a:ln>
            </spPr>
          </marker>
          <cat>
            <numRef>
              <f>'AUDIT_5S'!$A$45:$A$56</f>
            </numRef>
          </cat>
          <val>
            <numRef>
              <f>'AUDIT_5S'!$C$45:$C$56</f>
            </numRef>
          </val>
        </ser>
        <axId val="10"/>
        <axId val="100"/>
      </line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_rels/drawing2.xml.rels><Relationships xmlns="http://schemas.openxmlformats.org/package/2006/relationships"><Relationship Type="http://schemas.openxmlformats.org/officeDocument/2006/relationships/chart" Target="/xl/charts/chart8.xml" Id="rId1" /></Relationships>
</file>

<file path=xl/drawings/_rels/drawing3.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5976000" cy="3671999"/>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18</row>
      <rowOff>0</rowOff>
    </from>
    <ext cx="5976000" cy="3671999"/>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38</row>
      <rowOff>0</rowOff>
    </from>
    <ext cx="5976000" cy="3671999"/>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38</row>
      <rowOff>0</rowOff>
    </from>
    <ext cx="5976000" cy="3671999"/>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57</row>
      <rowOff>0</rowOff>
    </from>
    <ext cx="3816000" cy="3240000"/>
    <graphicFrame>
      <nvGraphicFramePr>
        <cNvPr id="5" name="Chart 5"/>
        <cNvGraphicFramePr/>
      </nvGraphicFramePr>
      <xfrm/>
      <a:graphic>
        <a:graphicData uri="http://schemas.openxmlformats.org/drawingml/2006/chart">
          <c:chart r:id="rId5"/>
        </a:graphicData>
      </a:graphic>
    </graphicFrame>
    <clientData/>
  </oneCellAnchor>
  <oneCellAnchor>
    <from>
      <col>6</col>
      <colOff>0</colOff>
      <row>57</row>
      <rowOff>0</rowOff>
    </from>
    <ext cx="3816000" cy="3240000"/>
    <graphicFrame>
      <nvGraphicFramePr>
        <cNvPr id="6" name="Chart 6"/>
        <cNvGraphicFramePr/>
      </nvGraphicFramePr>
      <xfrm/>
      <a:graphic>
        <a:graphicData uri="http://schemas.openxmlformats.org/drawingml/2006/chart">
          <c:chart r:id="rId6"/>
        </a:graphicData>
      </a:graphic>
    </graphicFrame>
    <clientData/>
  </oneCellAnchor>
  <oneCellAnchor>
    <from>
      <col>12</col>
      <colOff>0</colOff>
      <row>57</row>
      <rowOff>0</rowOff>
    </from>
    <ext cx="3816000" cy="324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61</row>
      <rowOff>0</rowOff>
    </from>
    <ext cx="936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58</row>
      <rowOff>0</rowOff>
    </from>
    <ext cx="4320000" cy="342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58</row>
      <rowOff>0</rowOff>
    </from>
    <ext cx="5040000" cy="34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0F2A44"/>
    <outlinePr summaryBelow="1" summaryRight="1"/>
    <pageSetUpPr fitToPage="1"/>
  </sheetPr>
  <dimension ref="A1:L45"/>
  <sheetViews>
    <sheetView showGridLines="0" workbookViewId="0">
      <selection activeCell="A1" sqref="A1"/>
    </sheetView>
  </sheetViews>
  <sheetFormatPr baseColWidth="8" defaultRowHeight="15"/>
  <cols>
    <col width="16"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3" customWidth="1" min="12" max="12"/>
  </cols>
  <sheetData>
    <row r="1" ht="30" customHeight="1">
      <c r="A1" s="1" t="inlineStr">
        <is>
          <t>PILOTAGE DE LA PRODUCTION  —  MODE D'EMPLOI</t>
        </is>
      </c>
      <c r="B1" s="2" t="n"/>
      <c r="C1" s="2" t="n"/>
      <c r="D1" s="2" t="n"/>
      <c r="E1" s="2" t="n"/>
      <c r="F1" s="2" t="n"/>
      <c r="G1" s="2" t="n"/>
      <c r="H1" s="2" t="n"/>
      <c r="I1" s="2" t="n"/>
      <c r="J1" s="2" t="n"/>
      <c r="K1" s="2" t="n"/>
      <c r="L1" s="2" t="n"/>
    </row>
    <row r="2" ht="18" customHeight="1">
      <c r="A2" s="3" t="inlineStr">
        <is>
          <t>Classeur de pilotage opérationnel destiné au superviseur de production : saisie quotidienne, calcul normalisé du TRS, analyse des pertes et animation du plan d'actions.</t>
        </is>
      </c>
    </row>
    <row r="4" ht="20" customHeight="1">
      <c r="A4" s="4" t="inlineStr">
        <is>
          <t>1.  ARCHITECTURE DU CLASSEUR</t>
        </is>
      </c>
      <c r="B4" s="5" t="n"/>
      <c r="C4" s="5" t="n"/>
      <c r="D4" s="5" t="n"/>
      <c r="E4" s="5" t="n"/>
      <c r="F4" s="5" t="n"/>
      <c r="G4" s="5" t="n"/>
      <c r="H4" s="5" t="n"/>
      <c r="I4" s="5" t="n"/>
      <c r="J4" s="5" t="n"/>
      <c r="K4" s="5" t="n"/>
      <c r="L4" s="5" t="n"/>
    </row>
    <row r="5" ht="26" customHeight="1">
      <c r="A5" s="6" t="inlineStr">
        <is>
          <t>Onglet</t>
        </is>
      </c>
      <c r="B5" s="6" t="inlineStr">
        <is>
          <t>Rôle</t>
        </is>
      </c>
      <c r="C5" s="7" t="n"/>
      <c r="D5" s="7" t="n"/>
      <c r="E5" s="7" t="n"/>
      <c r="F5" s="8" t="n"/>
      <c r="G5" s="6" t="inlineStr"/>
      <c r="H5" s="8" t="n"/>
      <c r="I5" s="6" t="inlineStr"/>
      <c r="J5" s="8" t="n"/>
      <c r="K5" s="6" t="inlineStr"/>
      <c r="L5" s="8" t="n"/>
    </row>
    <row r="6" ht="26" customHeight="1">
      <c r="A6" s="9" t="inlineStr">
        <is>
          <t>COCKPIT</t>
        </is>
      </c>
      <c r="B6" s="10" t="inlineStr">
        <is>
          <t>Tableau de bord de la revue de performance : 12 indicateurs, 7 graphiques, top 5 des causes.</t>
        </is>
      </c>
      <c r="C6" s="11" t="n"/>
      <c r="D6" s="11" t="n"/>
      <c r="E6" s="11" t="n"/>
      <c r="F6" s="11" t="n"/>
      <c r="G6" s="10" t="inlineStr">
        <is>
          <t>Quotidienne (lecture)</t>
        </is>
      </c>
      <c r="H6" s="11" t="n"/>
      <c r="I6" s="10" t="inlineStr">
        <is>
          <t>Superviseur</t>
        </is>
      </c>
      <c r="J6" s="11" t="n"/>
      <c r="K6" s="10" t="inlineStr">
        <is>
          <t>Aucune saisie sauf les filtres et le bloc de décisions</t>
        </is>
      </c>
      <c r="L6" s="11" t="n"/>
    </row>
    <row r="7" ht="26" customHeight="1">
      <c r="A7" s="12" t="inlineStr">
        <is>
          <t>SAISIE_PROD</t>
        </is>
      </c>
      <c r="B7" s="13" t="inlineStr">
        <is>
          <t>Journal de production : une ligne par jour, par équipe et par ligne. Calcule le TRS et ses composantes.</t>
        </is>
      </c>
      <c r="C7" s="14" t="n"/>
      <c r="D7" s="14" t="n"/>
      <c r="E7" s="14" t="n"/>
      <c r="F7" s="14" t="n"/>
      <c r="G7" s="13" t="inlineStr">
        <is>
          <t>Quotidienne (5 min)</t>
        </is>
      </c>
      <c r="H7" s="14" t="n"/>
      <c r="I7" s="13" t="inlineStr">
        <is>
          <t>Superviseur de poste</t>
        </is>
      </c>
      <c r="J7" s="14" t="n"/>
      <c r="K7" s="13" t="inlineStr">
        <is>
          <t>Colonnes jaunes uniquement</t>
        </is>
      </c>
      <c r="L7" s="14" t="n"/>
    </row>
    <row r="8" ht="26" customHeight="1">
      <c r="A8" s="9" t="inlineStr">
        <is>
          <t>ARRETS</t>
        </is>
      </c>
      <c r="B8" s="10" t="inlineStr">
        <is>
          <t>Journal événementiel des arrêts : horaire, durée, code cause, famille 5M. Base de l'analyse de Pareto.</t>
        </is>
      </c>
      <c r="C8" s="11" t="n"/>
      <c r="D8" s="11" t="n"/>
      <c r="E8" s="11" t="n"/>
      <c r="F8" s="11" t="n"/>
      <c r="G8" s="10" t="inlineStr">
        <is>
          <t>À chaque arrêt</t>
        </is>
      </c>
      <c r="H8" s="11" t="n"/>
      <c r="I8" s="10" t="inlineStr">
        <is>
          <t>Chef d'équipe</t>
        </is>
      </c>
      <c r="J8" s="11" t="n"/>
      <c r="K8" s="10" t="inlineStr">
        <is>
          <t>Colonnes jaunes uniquement</t>
        </is>
      </c>
      <c r="L8" s="11" t="n"/>
    </row>
    <row r="9" ht="26" customHeight="1">
      <c r="A9" s="12" t="inlineStr">
        <is>
          <t>PLAN_ACTIONS</t>
        </is>
      </c>
      <c r="B9" s="13" t="inlineStr">
        <is>
          <t>Plan d'actions structuré : fait mesuré, cotation de criticité, cause racine, pilote, vérification d'efficacité.</t>
        </is>
      </c>
      <c r="C9" s="14" t="n"/>
      <c r="D9" s="14" t="n"/>
      <c r="E9" s="14" t="n"/>
      <c r="F9" s="14" t="n"/>
      <c r="G9" s="13" t="inlineStr">
        <is>
          <t>À chaque écart</t>
        </is>
      </c>
      <c r="H9" s="14" t="n"/>
      <c r="I9" s="13" t="inlineStr">
        <is>
          <t>Superviseur / pilotes</t>
        </is>
      </c>
      <c r="J9" s="14" t="n"/>
      <c r="K9" s="13" t="inlineStr">
        <is>
          <t>Colonnes jaunes uniquement</t>
        </is>
      </c>
      <c r="L9" s="14" t="n"/>
    </row>
    <row r="10" ht="26" customHeight="1">
      <c r="A10" s="9" t="inlineStr">
        <is>
          <t>POLYVALENCE</t>
        </is>
      </c>
      <c r="B10" s="10" t="inlineStr">
        <is>
          <t>Matrice de compétences ILUO et couverture des postes : risque de mono-compétence, plan de formation.</t>
        </is>
      </c>
      <c r="C10" s="11" t="n"/>
      <c r="D10" s="11" t="n"/>
      <c r="E10" s="11" t="n"/>
      <c r="F10" s="11" t="n"/>
      <c r="G10" s="10" t="inlineStr">
        <is>
          <t>Mensuelle</t>
        </is>
      </c>
      <c r="H10" s="11" t="n"/>
      <c r="I10" s="10" t="inlineStr">
        <is>
          <t>Responsable de production</t>
        </is>
      </c>
      <c r="J10" s="11" t="n"/>
      <c r="K10" s="10" t="inlineStr">
        <is>
          <t>Niveaux 0 à 4 et informations collaborateur</t>
        </is>
      </c>
      <c r="L10" s="11" t="n"/>
    </row>
    <row r="11" ht="26" customHeight="1">
      <c r="A11" s="12" t="inlineStr">
        <is>
          <t>AUDIT_5S</t>
        </is>
      </c>
      <c r="B11" s="13" t="inlineStr">
        <is>
          <t>Grille d'audit 5S pondérée : 25 critères, score par domaine, comparaison à l'audit précédent, historique.</t>
        </is>
      </c>
      <c r="C11" s="14" t="n"/>
      <c r="D11" s="14" t="n"/>
      <c r="E11" s="14" t="n"/>
      <c r="F11" s="14" t="n"/>
      <c r="G11" s="13" t="inlineStr">
        <is>
          <t>Mensuelle</t>
        </is>
      </c>
      <c r="H11" s="14" t="n"/>
      <c r="I11" s="13" t="inlineStr">
        <is>
          <t>Auditeur désigné</t>
        </is>
      </c>
      <c r="J11" s="14" t="n"/>
      <c r="K11" s="13" t="inlineStr">
        <is>
          <t>Pondérations, notes, constats et actions</t>
        </is>
      </c>
      <c r="L11" s="14" t="n"/>
    </row>
    <row r="12" ht="26" customHeight="1">
      <c r="A12" s="9" t="inlineStr">
        <is>
          <t>PRISE_DE_POSTE</t>
        </is>
      </c>
      <c r="B12" s="10" t="inlineStr">
        <is>
          <t>Standard de prise de poste et de passation SQCDP, matrice d'escalade et visa.</t>
        </is>
      </c>
      <c r="C12" s="11" t="n"/>
      <c r="D12" s="11" t="n"/>
      <c r="E12" s="11" t="n"/>
      <c r="F12" s="11" t="n"/>
      <c r="G12" s="10" t="inlineStr">
        <is>
          <t>À chaque relève</t>
        </is>
      </c>
      <c r="H12" s="11" t="n"/>
      <c r="I12" s="10" t="inlineStr">
        <is>
          <t>Superviseur entrant / sortant</t>
        </is>
      </c>
      <c r="J12" s="11" t="n"/>
      <c r="K12" s="10" t="inlineStr">
        <is>
          <t>Statuts, constats, actions et passation</t>
        </is>
      </c>
      <c r="L12" s="11" t="n"/>
    </row>
    <row r="13" ht="26" customHeight="1">
      <c r="A13" s="12" t="inlineStr">
        <is>
          <t>PARAMETRES</t>
        </is>
      </c>
      <c r="B13" s="13" t="inlineStr">
        <is>
          <t>Référentiels du site : objectifs et seuils, lignes, équipes, produits, causes d'arrêt, postes, listes de choix.</t>
        </is>
      </c>
      <c r="C13" s="14" t="n"/>
      <c r="D13" s="14" t="n"/>
      <c r="E13" s="14" t="n"/>
      <c r="F13" s="14" t="n"/>
      <c r="G13" s="13" t="inlineStr">
        <is>
          <t>À la mise en service, puis à chaque évolution</t>
        </is>
      </c>
      <c r="H13" s="14" t="n"/>
      <c r="I13" s="13" t="inlineStr">
        <is>
          <t>Responsable de production</t>
        </is>
      </c>
      <c r="J13" s="14" t="n"/>
      <c r="K13" s="13" t="inlineStr">
        <is>
          <t>Toutes les cellules bleues</t>
        </is>
      </c>
      <c r="L13" s="14" t="n"/>
    </row>
    <row r="14" ht="26" customHeight="1">
      <c r="A14" s="9" t="inlineStr">
        <is>
          <t>GLOSSAIRE</t>
        </is>
      </c>
      <c r="B14" s="10" t="inlineStr">
        <is>
          <t>Définition, formule et interprétation de chaque indicateur ; règles de gestion du classeur.</t>
        </is>
      </c>
      <c r="C14" s="11" t="n"/>
      <c r="D14" s="11" t="n"/>
      <c r="E14" s="11" t="n"/>
      <c r="F14" s="11" t="n"/>
      <c r="G14" s="10" t="inlineStr">
        <is>
          <t>Référence</t>
        </is>
      </c>
      <c r="H14" s="11" t="n"/>
      <c r="I14" s="10" t="inlineStr">
        <is>
          <t>—</t>
        </is>
      </c>
      <c r="J14" s="11" t="n"/>
      <c r="K14" s="10" t="inlineStr">
        <is>
          <t>Aucune</t>
        </is>
      </c>
      <c r="L14" s="11" t="n"/>
    </row>
    <row r="15" ht="26" customHeight="1">
      <c r="A15" s="12" t="inlineStr">
        <is>
          <t>CALC</t>
        </is>
      </c>
      <c r="B15" s="13" t="inlineStr">
        <is>
          <t>Moteur de calcul : agrégations filtrées, séries journalières, Pareto, cascade, historique 13 mois.</t>
        </is>
      </c>
      <c r="C15" s="14" t="n"/>
      <c r="D15" s="14" t="n"/>
      <c r="E15" s="14" t="n"/>
      <c r="F15" s="14" t="n"/>
      <c r="G15" s="13" t="inlineStr">
        <is>
          <t>Automatique</t>
        </is>
      </c>
      <c r="H15" s="14" t="n"/>
      <c r="I15" s="13" t="inlineStr">
        <is>
          <t>—</t>
        </is>
      </c>
      <c r="J15" s="14" t="n"/>
      <c r="K15" s="13" t="inlineStr">
        <is>
          <t>Aucune — ne pas modifier</t>
        </is>
      </c>
      <c r="L15" s="14" t="n"/>
    </row>
    <row r="17" ht="20" customHeight="1">
      <c r="A17" s="4" t="inlineStr">
        <is>
          <t>2.  LÉGENDE DES COULEURS</t>
        </is>
      </c>
      <c r="B17" s="5" t="n"/>
      <c r="C17" s="5" t="n"/>
      <c r="D17" s="5" t="n"/>
      <c r="E17" s="5" t="n"/>
      <c r="F17" s="5" t="n"/>
      <c r="G17" s="5" t="n"/>
      <c r="H17" s="5" t="n"/>
      <c r="I17" s="5" t="n"/>
      <c r="J17" s="5" t="n"/>
      <c r="K17" s="5" t="n"/>
      <c r="L17" s="5" t="n"/>
    </row>
    <row r="18" ht="18" customHeight="1">
      <c r="A18" s="15" t="inlineStr">
        <is>
          <t>  </t>
        </is>
      </c>
      <c r="B18" s="16" t="inlineStr">
        <is>
          <t>Cellule à saisir</t>
        </is>
      </c>
      <c r="C18" s="17" t="n"/>
      <c r="D18" s="17" t="n"/>
      <c r="E18" s="18" t="inlineStr">
        <is>
          <t>Fond jaune, texte bleu : donnée saisie par l'utilisateur.</t>
        </is>
      </c>
      <c r="F18" s="17" t="n"/>
      <c r="G18" s="17" t="n"/>
      <c r="H18" s="17" t="n"/>
      <c r="I18" s="17" t="n"/>
      <c r="J18" s="17" t="n"/>
      <c r="K18" s="17" t="n"/>
      <c r="L18" s="17" t="n"/>
    </row>
    <row r="19" ht="18" customHeight="1">
      <c r="A19" s="19" t="inlineStr">
        <is>
          <t>  </t>
        </is>
      </c>
      <c r="B19" s="20" t="inlineStr">
        <is>
          <t>Cellule calculée</t>
        </is>
      </c>
      <c r="C19" s="17" t="n"/>
      <c r="D19" s="17" t="n"/>
      <c r="E19" s="18" t="inlineStr">
        <is>
          <t>Fond bleu clair, texte noir : formule, ne pas écraser.</t>
        </is>
      </c>
      <c r="F19" s="17" t="n"/>
      <c r="G19" s="17" t="n"/>
      <c r="H19" s="17" t="n"/>
      <c r="I19" s="17" t="n"/>
      <c r="J19" s="17" t="n"/>
      <c r="K19" s="17" t="n"/>
      <c r="L19" s="17" t="n"/>
    </row>
    <row r="20" ht="18" customHeight="1">
      <c r="A20" s="21" t="inlineStr">
        <is>
          <t>  </t>
        </is>
      </c>
      <c r="B20" s="22" t="inlineStr">
        <is>
          <t>Lien vers un référentiel</t>
        </is>
      </c>
      <c r="C20" s="17" t="n"/>
      <c r="D20" s="17" t="n"/>
      <c r="E20" s="18" t="inlineStr">
        <is>
          <t>Fond vert clair, texte vert : valeur reprise de l'onglet PARAMETRES.</t>
        </is>
      </c>
      <c r="F20" s="17" t="n"/>
      <c r="G20" s="17" t="n"/>
      <c r="H20" s="17" t="n"/>
      <c r="I20" s="17" t="n"/>
      <c r="J20" s="17" t="n"/>
      <c r="K20" s="17" t="n"/>
      <c r="L20" s="17" t="n"/>
    </row>
    <row r="21" ht="18" customHeight="1">
      <c r="A21" s="23" t="inlineStr">
        <is>
          <t>  </t>
        </is>
      </c>
      <c r="B21" s="22" t="inlineStr">
        <is>
          <t>Objectif atteint</t>
        </is>
      </c>
      <c r="C21" s="17" t="n"/>
      <c r="D21" s="17" t="n"/>
      <c r="E21" s="18" t="inlineStr">
        <is>
          <t>La valeur est au niveau de la cible ou au-delà.</t>
        </is>
      </c>
      <c r="F21" s="17" t="n"/>
      <c r="G21" s="17" t="n"/>
      <c r="H21" s="17" t="n"/>
      <c r="I21" s="17" t="n"/>
      <c r="J21" s="17" t="n"/>
      <c r="K21" s="17" t="n"/>
      <c r="L21" s="17" t="n"/>
    </row>
    <row r="22" ht="18" customHeight="1">
      <c r="A22" s="24" t="inlineStr">
        <is>
          <t>  </t>
        </is>
      </c>
      <c r="B22" s="25" t="inlineStr">
        <is>
          <t>Vigilance</t>
        </is>
      </c>
      <c r="C22" s="17" t="n"/>
      <c r="D22" s="17" t="n"/>
      <c r="E22" s="18" t="inlineStr">
        <is>
          <t>La valeur est entre la cible et le seuil d'alerte.</t>
        </is>
      </c>
      <c r="F22" s="17" t="n"/>
      <c r="G22" s="17" t="n"/>
      <c r="H22" s="17" t="n"/>
      <c r="I22" s="17" t="n"/>
      <c r="J22" s="17" t="n"/>
      <c r="K22" s="17" t="n"/>
      <c r="L22" s="17" t="n"/>
    </row>
    <row r="23" ht="18" customHeight="1">
      <c r="A23" s="26" t="inlineStr">
        <is>
          <t>  </t>
        </is>
      </c>
      <c r="B23" s="27" t="inlineStr">
        <is>
          <t>Alerte</t>
        </is>
      </c>
      <c r="C23" s="17" t="n"/>
      <c r="D23" s="17" t="n"/>
      <c r="E23" s="18" t="inlineStr">
        <is>
          <t>La valeur a franchi le seuil d'alerte : action requise le jour même.</t>
        </is>
      </c>
      <c r="F23" s="17" t="n"/>
      <c r="G23" s="17" t="n"/>
      <c r="H23" s="17" t="n"/>
      <c r="I23" s="17" t="n"/>
      <c r="J23" s="17" t="n"/>
      <c r="K23" s="17" t="n"/>
      <c r="L23" s="17" t="n"/>
    </row>
    <row r="25" ht="20" customHeight="1">
      <c r="A25" s="4" t="inlineStr">
        <is>
          <t>3.  RITUEL DE MANAGEMENT</t>
        </is>
      </c>
      <c r="B25" s="5" t="n"/>
      <c r="C25" s="5" t="n"/>
      <c r="D25" s="5" t="n"/>
      <c r="E25" s="5" t="n"/>
      <c r="F25" s="5" t="n"/>
      <c r="G25" s="5" t="n"/>
      <c r="H25" s="5" t="n"/>
      <c r="I25" s="5" t="n"/>
      <c r="J25" s="5" t="n"/>
      <c r="K25" s="5" t="n"/>
      <c r="L25" s="5" t="n"/>
    </row>
    <row r="26" ht="22" customHeight="1">
      <c r="A26" s="6" t="inlineStr">
        <is>
          <t>Échéance</t>
        </is>
      </c>
      <c r="B26" s="8" t="n"/>
      <c r="C26" s="6" t="inlineStr">
        <is>
          <t>Contenu</t>
        </is>
      </c>
      <c r="D26" s="6" t="inlineStr"/>
      <c r="E26" s="7" t="n"/>
      <c r="F26" s="7" t="n"/>
      <c r="G26" s="7" t="n"/>
      <c r="H26" s="7" t="n"/>
      <c r="I26" s="7" t="n"/>
      <c r="J26" s="7" t="n"/>
      <c r="K26" s="7" t="n"/>
      <c r="L26" s="8" t="n"/>
    </row>
    <row r="27" ht="24" customHeight="1">
      <c r="A27" s="28" t="inlineStr">
        <is>
          <t>Chaque fin de poste</t>
        </is>
      </c>
      <c r="B27" s="17" t="n"/>
      <c r="C27" s="29" t="inlineStr">
        <is>
          <t>5 min</t>
        </is>
      </c>
      <c r="D27" s="29" t="inlineStr">
        <is>
          <t>Saisir la ligne du jour dans SAISIE_PROD et les arrêts dans ARRETS ; vérifier la colonne de contrôle de cohérence.</t>
        </is>
      </c>
      <c r="E27" s="17" t="n"/>
      <c r="F27" s="17" t="n"/>
      <c r="G27" s="17" t="n"/>
      <c r="H27" s="17" t="n"/>
      <c r="I27" s="17" t="n"/>
      <c r="J27" s="17" t="n"/>
      <c r="K27" s="17" t="n"/>
      <c r="L27" s="17" t="n"/>
    </row>
    <row r="28" ht="24" customHeight="1">
      <c r="A28" s="28" t="inlineStr">
        <is>
          <t>Chaque matin</t>
        </is>
      </c>
      <c r="B28" s="17" t="n"/>
      <c r="C28" s="29" t="inlineStr">
        <is>
          <t>5 min</t>
        </is>
      </c>
      <c r="D28" s="29" t="inlineStr">
        <is>
          <t>Lire le COCKPIT devant l'équipe : une carte rouge = une action ouverte le jour même dans PLAN_ACTIONS.</t>
        </is>
      </c>
      <c r="E28" s="17" t="n"/>
      <c r="F28" s="17" t="n"/>
      <c r="G28" s="17" t="n"/>
      <c r="H28" s="17" t="n"/>
      <c r="I28" s="17" t="n"/>
      <c r="J28" s="17" t="n"/>
      <c r="K28" s="17" t="n"/>
      <c r="L28" s="17" t="n"/>
    </row>
    <row r="29" ht="24" customHeight="1">
      <c r="A29" s="28" t="inlineStr">
        <is>
          <t>Chaque semaine</t>
        </is>
      </c>
      <c r="B29" s="17" t="n"/>
      <c r="C29" s="29" t="inlineStr">
        <is>
          <t>30 min</t>
        </is>
      </c>
      <c r="D29" s="29" t="inlineStr">
        <is>
          <t>Revue du Pareto et de la cascade des pertes : choisir le chantier prioritaire, vérifier l'avancement des actions.</t>
        </is>
      </c>
      <c r="E29" s="17" t="n"/>
      <c r="F29" s="17" t="n"/>
      <c r="G29" s="17" t="n"/>
      <c r="H29" s="17" t="n"/>
      <c r="I29" s="17" t="n"/>
      <c r="J29" s="17" t="n"/>
      <c r="K29" s="17" t="n"/>
      <c r="L29" s="17" t="n"/>
    </row>
    <row r="30" ht="24" customHeight="1">
      <c r="A30" s="28" t="inlineStr">
        <is>
          <t>Chaque mois</t>
        </is>
      </c>
      <c r="B30" s="17" t="n"/>
      <c r="C30" s="29" t="inlineStr">
        <is>
          <t>60 min</t>
        </is>
      </c>
      <c r="D30" s="29" t="inlineStr">
        <is>
          <t>Revue de performance : tendance 13 mois, audit 5S, matrice de polyvalence, efficacité des actions soldées.</t>
        </is>
      </c>
      <c r="E30" s="17" t="n"/>
      <c r="F30" s="17" t="n"/>
      <c r="G30" s="17" t="n"/>
      <c r="H30" s="17" t="n"/>
      <c r="I30" s="17" t="n"/>
      <c r="J30" s="17" t="n"/>
      <c r="K30" s="17" t="n"/>
      <c r="L30" s="17" t="n"/>
    </row>
    <row r="31" ht="24" customHeight="1">
      <c r="A31" s="28" t="inlineStr">
        <is>
          <t>Chaque trimestre</t>
        </is>
      </c>
      <c r="B31" s="17" t="n"/>
      <c r="C31" s="29" t="inlineStr">
        <is>
          <t>—</t>
        </is>
      </c>
      <c r="D31" s="29" t="inlineStr">
        <is>
          <t>Révision des objectifs et des seuils d'alerte dans PARAMETRES au regard des résultats obtenus.</t>
        </is>
      </c>
      <c r="E31" s="17" t="n"/>
      <c r="F31" s="17" t="n"/>
      <c r="G31" s="17" t="n"/>
      <c r="H31" s="17" t="n"/>
      <c r="I31" s="17" t="n"/>
      <c r="J31" s="17" t="n"/>
      <c r="K31" s="17" t="n"/>
      <c r="L31" s="17" t="n"/>
    </row>
    <row r="33" ht="20" customHeight="1">
      <c r="A33" s="4" t="inlineStr">
        <is>
          <t>4.  MISE EN SERVICE  —  à réaliser avant la première saisie</t>
        </is>
      </c>
      <c r="B33" s="5" t="n"/>
      <c r="C33" s="5" t="n"/>
      <c r="D33" s="5" t="n"/>
      <c r="E33" s="5" t="n"/>
      <c r="F33" s="5" t="n"/>
      <c r="G33" s="5" t="n"/>
      <c r="H33" s="5" t="n"/>
      <c r="I33" s="5" t="n"/>
      <c r="J33" s="5" t="n"/>
      <c r="K33" s="5" t="n"/>
      <c r="L33" s="5" t="n"/>
    </row>
    <row r="34" ht="18" customHeight="1">
      <c r="A34" s="30" t="inlineStr">
        <is>
          <t>1.  Ouvrir l'onglet PARAMETRES et renseigner l'identification du site (cellules bleues).</t>
        </is>
      </c>
    </row>
    <row r="35" ht="18" customHeight="1">
      <c r="A35" s="30" t="inlineStr">
        <is>
          <t>2.  Ajuster les objectifs et les seuils d'alerte au contrat de performance de l'entité.</t>
        </is>
      </c>
    </row>
    <row r="36" ht="18" customHeight="1">
      <c r="A36" s="30" t="inlineStr">
        <is>
          <t>3.  Saisir les lignes de production, les équipes, les pilotes et les postes de travail.</t>
        </is>
      </c>
    </row>
    <row r="37" ht="30" customHeight="1">
      <c r="A37" s="30" t="inlineStr">
        <is>
          <t>4.  Compléter le référentiel produits : chaque référence doit porter sa cadence nominale en pièces/minute, sans laquelle le taux de performance ne peut pas être calculé.</t>
        </is>
      </c>
    </row>
    <row r="38" ht="30" customHeight="1">
      <c r="A38" s="30" t="inlineStr">
        <is>
          <t>5.  Adapter si besoin le référentiel des causes d'arrêt : conserver la colonne « Rubrique de saisie », qui relie chaque code à la colonne correspondante de SAISIE_PROD.</t>
        </is>
      </c>
    </row>
    <row r="39" ht="30" customHeight="1">
      <c r="A39" s="30" t="inlineStr">
        <is>
          <t>6.  Supprimer le jeu de démonstration : sélectionner les lignes 5 à 46 de SAISIE_PROD, les lignes 5 à 203 de ARRETS et les lignes 9 à 16 de PLAN_ACTIONS, puis effacer uniquement le contenu des colonnes jaunes (touche Suppr). Ne jamais supprimer les lignes elles-mêmes : les formules des colonnes calculées seraient perdues.</t>
        </is>
      </c>
    </row>
    <row r="40" ht="18" customHeight="1">
      <c r="A40" s="30" t="inlineStr">
        <is>
          <t>7.  Dans le COCKPIT, positionner l'année et le mois de travail, puis démarrer la saisie quotidienne.</t>
        </is>
      </c>
    </row>
    <row r="42" ht="20" customHeight="1">
      <c r="A42" s="31" t="inlineStr">
        <is>
          <t>5.  JEU DE DÉMONSTRATION LIVRÉ AVEC LE CLASSEUR</t>
        </is>
      </c>
      <c r="B42" s="32" t="n"/>
      <c r="C42" s="32" t="n"/>
      <c r="D42" s="32" t="n"/>
      <c r="E42" s="32" t="n"/>
      <c r="F42" s="32" t="n"/>
      <c r="G42" s="32" t="n"/>
      <c r="H42" s="32" t="n"/>
      <c r="I42" s="32" t="n"/>
      <c r="J42" s="32" t="n"/>
      <c r="K42" s="32" t="n"/>
      <c r="L42" s="32" t="n"/>
    </row>
    <row r="43">
      <c r="A43" s="33" t="inlineStr">
        <is>
          <t>Le classeur est livré avec un mois complet de données fictives (janvier 2026, deux lignes de production, 42 journées de production, 199 arrêts horodatés, 8 actions correctives, 12 collaborateurs et un audit 5S). Ces données sont cohérentes entre elles — les arrêts du journal alimentent exactement les rubriques de perte de la saisie — afin que le cockpit soit immédiatement lisible et que chaque calcul puisse être vérifié. Elles n'ont aucune valeur métier et doivent être effacées avant la mise en service réelle (voir étape 6 ci-dessus). Le compteur « actions en retard » se calcule par rapport à la date du jour : les actions de démonstration, datées de janvier 2026, apparaissent donc en retard dès que le fichier est ouvert plus tard dans l'année.</t>
        </is>
      </c>
      <c r="B43" s="34" t="n"/>
      <c r="C43" s="34" t="n"/>
      <c r="D43" s="34" t="n"/>
      <c r="E43" s="34" t="n"/>
      <c r="F43" s="34" t="n"/>
      <c r="G43" s="34" t="n"/>
      <c r="H43" s="34" t="n"/>
      <c r="I43" s="34" t="n"/>
      <c r="J43" s="34" t="n"/>
      <c r="K43" s="34" t="n"/>
      <c r="L43" s="34" t="n"/>
    </row>
    <row r="44">
      <c r="A44" s="34" t="n"/>
      <c r="B44" s="34" t="n"/>
      <c r="C44" s="34" t="n"/>
      <c r="D44" s="34" t="n"/>
      <c r="E44" s="34" t="n"/>
      <c r="F44" s="34" t="n"/>
      <c r="G44" s="34" t="n"/>
      <c r="H44" s="34" t="n"/>
      <c r="I44" s="34" t="n"/>
      <c r="J44" s="34" t="n"/>
      <c r="K44" s="34" t="n"/>
      <c r="L44" s="34" t="n"/>
    </row>
    <row r="45">
      <c r="A45" s="34" t="n"/>
      <c r="B45" s="34" t="n"/>
      <c r="C45" s="34" t="n"/>
      <c r="D45" s="34" t="n"/>
      <c r="E45" s="34" t="n"/>
      <c r="F45" s="34" t="n"/>
      <c r="G45" s="34" t="n"/>
      <c r="H45" s="34" t="n"/>
      <c r="I45" s="34" t="n"/>
      <c r="J45" s="34" t="n"/>
      <c r="K45" s="34" t="n"/>
      <c r="L45" s="34" t="n"/>
    </row>
  </sheetData>
  <mergeCells count="106">
    <mergeCell ref="E18:L18"/>
    <mergeCell ref="B7:F7"/>
    <mergeCell ref="A37:L37"/>
    <mergeCell ref="B11:F11"/>
    <mergeCell ref="A27:B27"/>
    <mergeCell ref="B20:D20"/>
    <mergeCell ref="A6"/>
    <mergeCell ref="D26:L26"/>
    <mergeCell ref="A34:L34"/>
    <mergeCell ref="B6:F6"/>
    <mergeCell ref="B15:F15"/>
    <mergeCell ref="A28:B28"/>
    <mergeCell ref="A36:L36"/>
    <mergeCell ref="I13:J13"/>
    <mergeCell ref="K13:L13"/>
    <mergeCell ref="A5"/>
    <mergeCell ref="A31:B31"/>
    <mergeCell ref="A30:B30"/>
    <mergeCell ref="G12:H12"/>
    <mergeCell ref="I6:J6"/>
    <mergeCell ref="I15:J15"/>
    <mergeCell ref="K15:L15"/>
    <mergeCell ref="A13"/>
    <mergeCell ref="B19:D19"/>
    <mergeCell ref="G7:H7"/>
    <mergeCell ref="I7:J7"/>
    <mergeCell ref="A15"/>
    <mergeCell ref="E19:L19"/>
    <mergeCell ref="B8:F8"/>
    <mergeCell ref="A4:L4"/>
    <mergeCell ref="A38:L38"/>
    <mergeCell ref="A26:B26"/>
    <mergeCell ref="D29:L29"/>
    <mergeCell ref="C26"/>
    <mergeCell ref="B10:F10"/>
    <mergeCell ref="A7"/>
    <mergeCell ref="A40:L40"/>
    <mergeCell ref="I8:J8"/>
    <mergeCell ref="B9:F9"/>
    <mergeCell ref="A43:L45"/>
    <mergeCell ref="A18"/>
    <mergeCell ref="I10:J10"/>
    <mergeCell ref="K10:L10"/>
    <mergeCell ref="B5:F5"/>
    <mergeCell ref="B21:D21"/>
    <mergeCell ref="E22:L22"/>
    <mergeCell ref="K6:L6"/>
    <mergeCell ref="G9:H9"/>
    <mergeCell ref="I9:J9"/>
    <mergeCell ref="A22"/>
    <mergeCell ref="E21:L21"/>
    <mergeCell ref="A25:L25"/>
    <mergeCell ref="D27:L27"/>
    <mergeCell ref="B23:D23"/>
    <mergeCell ref="G11:H11"/>
    <mergeCell ref="K9:L9"/>
    <mergeCell ref="I11:J11"/>
    <mergeCell ref="K5:L5"/>
    <mergeCell ref="A20"/>
    <mergeCell ref="C28"/>
    <mergeCell ref="E23:L23"/>
    <mergeCell ref="A2:L2"/>
    <mergeCell ref="K11:L11"/>
    <mergeCell ref="A42:L42"/>
    <mergeCell ref="D28:L28"/>
    <mergeCell ref="C30"/>
    <mergeCell ref="G13:H13"/>
    <mergeCell ref="B13:F13"/>
    <mergeCell ref="D30:L30"/>
    <mergeCell ref="K8:L8"/>
    <mergeCell ref="G15:H15"/>
    <mergeCell ref="K7:L7"/>
    <mergeCell ref="B22:D22"/>
    <mergeCell ref="C27"/>
    <mergeCell ref="A8"/>
    <mergeCell ref="A10"/>
    <mergeCell ref="G8:H8"/>
    <mergeCell ref="A19"/>
    <mergeCell ref="B12:F12"/>
    <mergeCell ref="E20:L20"/>
    <mergeCell ref="A9"/>
    <mergeCell ref="A33:L33"/>
    <mergeCell ref="G10:H10"/>
    <mergeCell ref="A17:L17"/>
    <mergeCell ref="G6:H6"/>
    <mergeCell ref="B14:F14"/>
    <mergeCell ref="A11"/>
    <mergeCell ref="A35:L35"/>
    <mergeCell ref="I12:J12"/>
    <mergeCell ref="K12:L12"/>
    <mergeCell ref="C29"/>
    <mergeCell ref="G5:H5"/>
    <mergeCell ref="I5:J5"/>
    <mergeCell ref="G14:H14"/>
    <mergeCell ref="I14:J14"/>
    <mergeCell ref="K14:L14"/>
    <mergeCell ref="A39:L39"/>
    <mergeCell ref="C31"/>
    <mergeCell ref="A12"/>
    <mergeCell ref="A29:B29"/>
    <mergeCell ref="A21"/>
    <mergeCell ref="A1:L1"/>
    <mergeCell ref="B18:D18"/>
    <mergeCell ref="D31:L31"/>
    <mergeCell ref="A14"/>
    <mergeCell ref="A23"/>
  </mergeCells>
  <printOptions horizontalCentered="1"/>
  <pageMargins left="0.4" right="0.4" top="0.5" bottom="0.5" header="0.5" footer="0.5"/>
  <pageSetup orientation="portrait" paperSize="9" fitToHeight="0" fitToWidth="1"/>
  <headerFooter>
    <oddHeader/>
    <oddFooter>&amp;L&amp;8 &amp;F  —  &amp;A&amp;R&amp;8 Page &amp;P / &amp;N</oddFooter>
    <evenHeader/>
    <evenFooter/>
    <firstHeader/>
    <firstFooter/>
  </headerFooter>
</worksheet>
</file>

<file path=xl/worksheets/sheet2.xml><?xml version="1.0" encoding="utf-8"?>
<worksheet xmlns="http://schemas.openxmlformats.org/spreadsheetml/2006/main">
  <sheetPr>
    <tabColor rgb="000F2A44"/>
    <outlinePr summaryBelow="1" summaryRight="1"/>
    <pageSetUpPr fitToPage="1"/>
  </sheetPr>
  <dimension ref="A1:Y97"/>
  <sheetViews>
    <sheetView showGridLines="0" zoomScale="80" workbookViewId="0">
      <pane ySplit="4" topLeftCell="A5" activePane="bottomLeft" state="frozen"/>
      <selection pane="bottomLeft" activeCell="A1" sqref="A1"/>
    </sheetView>
  </sheetViews>
  <sheetFormatPr baseColWidth="8" defaultRowHeight="15"/>
  <cols>
    <col width="9.6" customWidth="1" min="1" max="1"/>
    <col width="9.6" customWidth="1" min="2" max="2"/>
    <col width="9.6" customWidth="1" min="3" max="3"/>
    <col width="9.6" customWidth="1" min="4" max="4"/>
    <col width="9.6" customWidth="1" min="5" max="5"/>
    <col width="9.6" customWidth="1" min="6" max="6"/>
    <col width="9.6" customWidth="1" min="7" max="7"/>
    <col width="9.6" customWidth="1" min="8" max="8"/>
    <col width="9.6" customWidth="1" min="9" max="9"/>
    <col width="9.6" customWidth="1" min="10" max="10"/>
    <col width="9.6" customWidth="1" min="11" max="11"/>
    <col width="9.6" customWidth="1" min="12" max="12"/>
    <col width="9.6" customWidth="1" min="13" max="13"/>
    <col width="9.6" customWidth="1" min="14" max="14"/>
    <col width="9.6" customWidth="1" min="15" max="15"/>
    <col width="9.6" customWidth="1" min="16" max="16"/>
    <col width="9.6" customWidth="1" min="17" max="17"/>
    <col width="9.6" customWidth="1" min="18" max="18"/>
    <col hidden="1" width="13" customWidth="1" min="20" max="20"/>
    <col hidden="1" width="13" customWidth="1" min="21" max="21"/>
    <col hidden="1" width="13" customWidth="1" min="22" max="22"/>
    <col hidden="1" width="13" customWidth="1" min="23" max="23"/>
    <col hidden="1" width="13" customWidth="1" min="24" max="24"/>
    <col hidden="1" width="13" customWidth="1" min="25" max="25"/>
  </cols>
  <sheetData>
    <row r="1" ht="30" customHeight="1">
      <c r="A1" s="1" t="inlineStr">
        <is>
          <t>COCKPIT DE PILOTAGE DE LA PRODUCTION</t>
        </is>
      </c>
      <c r="B1" s="2" t="n"/>
      <c r="C1" s="2" t="n"/>
      <c r="D1" s="2" t="n"/>
      <c r="E1" s="2" t="n"/>
      <c r="F1" s="2" t="n"/>
      <c r="G1" s="2" t="n"/>
      <c r="H1" s="2" t="n"/>
      <c r="I1" s="2" t="n"/>
      <c r="J1" s="2" t="n"/>
      <c r="K1" s="2" t="n"/>
      <c r="L1" s="2" t="n"/>
      <c r="M1" s="2" t="n"/>
      <c r="N1" s="2" t="n"/>
      <c r="O1" s="2" t="n"/>
      <c r="P1" s="2" t="n"/>
      <c r="Q1" s="2" t="n"/>
      <c r="R1" s="2" t="n"/>
    </row>
    <row r="2" ht="18" customHeight="1">
      <c r="A2" s="3">
        <f>PARAMETRES!$C$5&amp;"  —  "&amp;PARAMETRES!$C$6&amp;"   |   Revue quotidienne de performance   |   Édition du "&amp;TEXT(TODAY(),"dd/mm/yyyy")</f>
        <v/>
      </c>
    </row>
    <row r="4" ht="22" customHeight="1">
      <c r="A4" s="35" t="inlineStr">
        <is>
          <t>Année :</t>
        </is>
      </c>
      <c r="B4" s="36" t="n">
        <v>2026</v>
      </c>
      <c r="C4" s="35" t="inlineStr">
        <is>
          <t>Mois :</t>
        </is>
      </c>
      <c r="D4" s="36" t="n">
        <v>1</v>
      </c>
      <c r="E4" s="37">
        <f>INDEX(PARAMETRES!$AM$7:$AM$18,$D$4)&amp;" "&amp;TEXT($B$4,"0000")</f>
        <v/>
      </c>
      <c r="F4" s="38" t="n"/>
      <c r="G4" s="35" t="inlineStr">
        <is>
          <t>Ligne :</t>
        </is>
      </c>
      <c r="H4" s="39" t="inlineStr">
        <is>
          <t>Toutes</t>
        </is>
      </c>
      <c r="I4" s="15" t="n"/>
      <c r="J4" s="35" t="inlineStr">
        <is>
          <t>Équipe :</t>
        </is>
      </c>
      <c r="K4" s="39" t="inlineStr">
        <is>
          <t>Toutes</t>
        </is>
      </c>
      <c r="L4" s="15" t="n"/>
      <c r="M4" s="5" t="n"/>
      <c r="N4" s="40">
        <f>"Jours de production saisis : "&amp;CALC!$B$9&amp;"   |   Lignes suivies : "&amp;COUNTIF(CALC!$D$72:$D$76,"&gt;0")</f>
        <v/>
      </c>
      <c r="O4" s="38" t="n"/>
      <c r="P4" s="38" t="n"/>
      <c r="Q4" s="38" t="n"/>
      <c r="R4" s="38" t="n"/>
    </row>
    <row r="5">
      <c r="T5" s="41" t="inlineStr">
        <is>
          <t>Bloc technique — pilotage des couleurs (ne pas modifier)</t>
        </is>
      </c>
    </row>
    <row r="6" ht="24" customHeight="1">
      <c r="A6" s="42" t="inlineStr">
        <is>
          <t>TRS DU MOIS
(rendement synthétique)</t>
        </is>
      </c>
      <c r="B6" s="43" t="n"/>
      <c r="C6" s="44" t="n"/>
      <c r="D6" s="42" t="inlineStr">
        <is>
          <t>DISPONIBILITÉ</t>
        </is>
      </c>
      <c r="E6" s="43" t="n"/>
      <c r="F6" s="44" t="n"/>
      <c r="G6" s="42" t="inlineStr">
        <is>
          <t>PERFORMANCE
(tenue de cadence)</t>
        </is>
      </c>
      <c r="H6" s="43" t="n"/>
      <c r="I6" s="44" t="n"/>
      <c r="J6" s="42" t="inlineStr">
        <is>
          <t>QUALITÉ AU PREMIER PASSAGE</t>
        </is>
      </c>
      <c r="K6" s="43" t="n"/>
      <c r="L6" s="44" t="n"/>
      <c r="M6" s="42" t="inlineStr">
        <is>
          <t>TRG
(sur temps d'ouverture)</t>
        </is>
      </c>
      <c r="N6" s="43" t="n"/>
      <c r="O6" s="44" t="n"/>
      <c r="P6" s="42" t="inlineStr">
        <is>
          <t>TAUX DE SERVICE</t>
        </is>
      </c>
      <c r="Q6" s="43" t="n"/>
      <c r="R6" s="44" t="n"/>
      <c r="T6" s="45" t="inlineStr">
        <is>
          <t>TRS</t>
        </is>
      </c>
      <c r="U6" s="45">
        <f>A7</f>
        <v/>
      </c>
      <c r="V6" s="45">
        <f>INDEX(PARAMETRES!$D$16:$D$29,MATCH("TRS",PARAMETRES!$A$16:$A$29,0))</f>
        <v/>
      </c>
      <c r="W6" s="45">
        <f>INDEX(PARAMETRES!$E$16:$E$29,MATCH("TRS",PARAMETRES!$A$16:$A$29,0))</f>
        <v/>
      </c>
      <c r="X6" s="45">
        <f>INDEX(PARAMETRES!$F$16:$F$29,MATCH("TRS",PARAMETRES!$A$16:$A$29,0))</f>
        <v/>
      </c>
      <c r="Y6" s="45">
        <f>IF($U6="","",IF($X6=1,IF($U6&gt;=$V6,1,IF($U6&lt;$W6,3,2)),IF($U6&lt;=$V6,1,IF($U6&gt;$W6,3,2))))</f>
        <v/>
      </c>
    </row>
    <row r="7" ht="20" customHeight="1">
      <c r="A7" s="46">
        <f>IFERROR(CALC!$V$20/CALC!$V$18,"")</f>
        <v/>
      </c>
      <c r="B7" s="47" t="n"/>
      <c r="C7" s="48" t="n"/>
      <c r="D7" s="46">
        <f>IFERROR(CALC!$V$19/CALC!$V$18,"")</f>
        <v/>
      </c>
      <c r="E7" s="47" t="n"/>
      <c r="F7" s="48" t="n"/>
      <c r="G7" s="46">
        <f>IFERROR((CALC!$V$19-CALC!$V$16)/CALC!$V$19,"")</f>
        <v/>
      </c>
      <c r="H7" s="47" t="n"/>
      <c r="I7" s="48" t="n"/>
      <c r="J7" s="46">
        <f>IFERROR(CALC!$V$23/CALC!$V$22,"")</f>
        <v/>
      </c>
      <c r="K7" s="47" t="n"/>
      <c r="L7" s="48" t="n"/>
      <c r="M7" s="46">
        <f>IFERROR(CALC!$V$20/CALC!$V$8,"")</f>
        <v/>
      </c>
      <c r="N7" s="47" t="n"/>
      <c r="O7" s="48" t="n"/>
      <c r="P7" s="46">
        <f>IFERROR((CALC!$V$23+CALC!$V$24)/CALC!$V$25,"")</f>
        <v/>
      </c>
      <c r="Q7" s="47" t="n"/>
      <c r="R7" s="48" t="n"/>
      <c r="T7" s="45" t="inlineStr">
        <is>
          <t>DISPO</t>
        </is>
      </c>
      <c r="U7" s="45">
        <f>D7</f>
        <v/>
      </c>
      <c r="V7" s="45">
        <f>INDEX(PARAMETRES!$D$16:$D$29,MATCH("DISPO",PARAMETRES!$A$16:$A$29,0))</f>
        <v/>
      </c>
      <c r="W7" s="45">
        <f>INDEX(PARAMETRES!$E$16:$E$29,MATCH("DISPO",PARAMETRES!$A$16:$A$29,0))</f>
        <v/>
      </c>
      <c r="X7" s="45">
        <f>INDEX(PARAMETRES!$F$16:$F$29,MATCH("DISPO",PARAMETRES!$A$16:$A$29,0))</f>
        <v/>
      </c>
      <c r="Y7" s="45">
        <f>IF($U7="","",IF($X7=1,IF($U7&gt;=$V7,1,IF($U7&lt;$W7,3,2)),IF($U7&lt;=$V7,1,IF($U7&gt;$W7,3,2))))</f>
        <v/>
      </c>
    </row>
    <row r="8" ht="16" customHeight="1">
      <c r="A8" s="49" t="n"/>
      <c r="B8" s="47" t="n"/>
      <c r="C8" s="48" t="n"/>
      <c r="D8" s="49" t="n"/>
      <c r="E8" s="47" t="n"/>
      <c r="F8" s="48" t="n"/>
      <c r="G8" s="49" t="n"/>
      <c r="H8" s="47" t="n"/>
      <c r="I8" s="48" t="n"/>
      <c r="J8" s="49" t="n"/>
      <c r="K8" s="47" t="n"/>
      <c r="L8" s="48" t="n"/>
      <c r="M8" s="49" t="n"/>
      <c r="N8" s="47" t="n"/>
      <c r="O8" s="48" t="n"/>
      <c r="P8" s="49" t="n"/>
      <c r="Q8" s="47" t="n"/>
      <c r="R8" s="48" t="n"/>
      <c r="T8" s="45" t="inlineStr">
        <is>
          <t>PERF</t>
        </is>
      </c>
      <c r="U8" s="45">
        <f>G7</f>
        <v/>
      </c>
      <c r="V8" s="45">
        <f>INDEX(PARAMETRES!$D$16:$D$29,MATCH("PERF",PARAMETRES!$A$16:$A$29,0))</f>
        <v/>
      </c>
      <c r="W8" s="45">
        <f>INDEX(PARAMETRES!$E$16:$E$29,MATCH("PERF",PARAMETRES!$A$16:$A$29,0))</f>
        <v/>
      </c>
      <c r="X8" s="45">
        <f>INDEX(PARAMETRES!$F$16:$F$29,MATCH("PERF",PARAMETRES!$A$16:$A$29,0))</f>
        <v/>
      </c>
      <c r="Y8" s="45">
        <f>IF($U8="","",IF($X8=1,IF($U8&gt;=$V8,1,IF($U8&lt;$W8,3,2)),IF($U8&lt;=$V8,1,IF($U8&gt;$W8,3,2))))</f>
        <v/>
      </c>
    </row>
    <row r="9" ht="14" customHeight="1">
      <c r="A9" s="50">
        <f>"Cible : "&amp;TEXT($V$6,"0.0%")</f>
        <v/>
      </c>
      <c r="B9" s="47" t="n"/>
      <c r="C9" s="48" t="n"/>
      <c r="D9" s="50">
        <f>"Cible : "&amp;TEXT($V$7,"0.0%")</f>
        <v/>
      </c>
      <c r="E9" s="47" t="n"/>
      <c r="F9" s="48" t="n"/>
      <c r="G9" s="50">
        <f>"Cible : "&amp;TEXT($V$8,"0.0%")</f>
        <v/>
      </c>
      <c r="H9" s="47" t="n"/>
      <c r="I9" s="48" t="n"/>
      <c r="J9" s="50">
        <f>"Cible : "&amp;TEXT($V$9,"0.0%")</f>
        <v/>
      </c>
      <c r="K9" s="47" t="n"/>
      <c r="L9" s="48" t="n"/>
      <c r="M9" s="50">
        <f>"Cible : "&amp;TEXT($V$10,"0.0%")</f>
        <v/>
      </c>
      <c r="N9" s="47" t="n"/>
      <c r="O9" s="48" t="n"/>
      <c r="P9" s="50">
        <f>"Cible : "&amp;TEXT($V$11,"0.0%")</f>
        <v/>
      </c>
      <c r="Q9" s="47" t="n"/>
      <c r="R9" s="48" t="n"/>
      <c r="T9" s="45" t="inlineStr">
        <is>
          <t>QUAL</t>
        </is>
      </c>
      <c r="U9" s="45">
        <f>J7</f>
        <v/>
      </c>
      <c r="V9" s="45">
        <f>INDEX(PARAMETRES!$D$16:$D$29,MATCH("QUAL",PARAMETRES!$A$16:$A$29,0))</f>
        <v/>
      </c>
      <c r="W9" s="45">
        <f>INDEX(PARAMETRES!$E$16:$E$29,MATCH("QUAL",PARAMETRES!$A$16:$A$29,0))</f>
        <v/>
      </c>
      <c r="X9" s="45">
        <f>INDEX(PARAMETRES!$F$16:$F$29,MATCH("QUAL",PARAMETRES!$A$16:$A$29,0))</f>
        <v/>
      </c>
      <c r="Y9" s="45">
        <f>IF($U9="","",IF($X9=1,IF($U9&gt;=$V9,1,IF($U9&lt;$W9,3,2)),IF($U9&lt;=$V9,1,IF($U9&gt;$W9,3,2))))</f>
        <v/>
      </c>
    </row>
    <row r="10" ht="14" customHeight="1">
      <c r="A10" s="51">
        <f>IF(CALC!$L$99="","Mois précédent : non disponible","M-1 : "&amp;TEXT(CALC!$L$99,"0.0%")&amp;"    "&amp;TEXT(($U$6-CALC!$L$99)*100,"+0.0 pt;-0.0 pt;0.0 pt"))</f>
        <v/>
      </c>
      <c r="B10" s="52" t="n"/>
      <c r="C10" s="53" t="n"/>
      <c r="D10" s="51">
        <f>IF(CALC!$M$99="","Mois précédent : non disponible","M-1 : "&amp;TEXT(CALC!$M$99,"0.0%")&amp;"    "&amp;TEXT(($U$7-CALC!$M$99)*100,"+0.0 pt;-0.0 pt;0.0 pt"))</f>
        <v/>
      </c>
      <c r="E10" s="52" t="n"/>
      <c r="F10" s="53" t="n"/>
      <c r="G10" s="51">
        <f>IF(CALC!$N$99="","Mois précédent : non disponible","M-1 : "&amp;TEXT(CALC!$N$99,"0.0%")&amp;"    "&amp;TEXT(($U$8-CALC!$N$99)*100,"+0.0 pt;-0.0 pt;0.0 pt"))</f>
        <v/>
      </c>
      <c r="H10" s="52" t="n"/>
      <c r="I10" s="53" t="n"/>
      <c r="J10" s="51">
        <f>IF(CALC!$O$99="","Mois précédent : non disponible","M-1 : "&amp;TEXT(CALC!$O$99,"0.0%")&amp;"    "&amp;TEXT(($U$9-CALC!$O$99)*100,"+0.0 pt;-0.0 pt;0.0 pt"))</f>
        <v/>
      </c>
      <c r="K10" s="52" t="n"/>
      <c r="L10" s="53" t="n"/>
      <c r="M10" s="51">
        <f>IF(CALC!$P$99="","Mois précédent : non disponible","M-1 : "&amp;TEXT(CALC!$P$99,"0.0%")&amp;"    "&amp;TEXT(($U$10-CALC!$P$99)*100,"+0.0 pt;-0.0 pt;0.0 pt"))</f>
        <v/>
      </c>
      <c r="N10" s="52" t="n"/>
      <c r="O10" s="53" t="n"/>
      <c r="P10" s="51">
        <f>IF(CALC!$Q$99="","Mois précédent : non disponible","M-1 : "&amp;TEXT(CALC!$Q$99,"0.0%")&amp;"    "&amp;TEXT(($U$11-CALC!$Q$99)*100,"+0.0 pt;-0.0 pt;0.0 pt"))</f>
        <v/>
      </c>
      <c r="Q10" s="52" t="n"/>
      <c r="R10" s="53" t="n"/>
      <c r="T10" s="45" t="inlineStr">
        <is>
          <t>TRG</t>
        </is>
      </c>
      <c r="U10" s="45">
        <f>M7</f>
        <v/>
      </c>
      <c r="V10" s="45">
        <f>INDEX(PARAMETRES!$D$16:$D$29,MATCH("TRG",PARAMETRES!$A$16:$A$29,0))</f>
        <v/>
      </c>
      <c r="W10" s="45">
        <f>INDEX(PARAMETRES!$E$16:$E$29,MATCH("TRG",PARAMETRES!$A$16:$A$29,0))</f>
        <v/>
      </c>
      <c r="X10" s="45">
        <f>INDEX(PARAMETRES!$F$16:$F$29,MATCH("TRG",PARAMETRES!$A$16:$A$29,0))</f>
        <v/>
      </c>
      <c r="Y10" s="45">
        <f>IF($U10="","",IF($X10=1,IF($U10&gt;=$V10,1,IF($U10&lt;$W10,3,2)),IF($U10&lt;=$V10,1,IF($U10&gt;$W10,3,2))))</f>
        <v/>
      </c>
    </row>
    <row r="11">
      <c r="T11" s="45" t="inlineStr">
        <is>
          <t>SERVICE</t>
        </is>
      </c>
      <c r="U11" s="45">
        <f>P7</f>
        <v/>
      </c>
      <c r="V11" s="45">
        <f>INDEX(PARAMETRES!$D$16:$D$29,MATCH("SERVICE",PARAMETRES!$A$16:$A$29,0))</f>
        <v/>
      </c>
      <c r="W11" s="45">
        <f>INDEX(PARAMETRES!$E$16:$E$29,MATCH("SERVICE",PARAMETRES!$A$16:$A$29,0))</f>
        <v/>
      </c>
      <c r="X11" s="45">
        <f>INDEX(PARAMETRES!$F$16:$F$29,MATCH("SERVICE",PARAMETRES!$A$16:$A$29,0))</f>
        <v/>
      </c>
      <c r="Y11" s="45">
        <f>IF($U11="","",IF($X11=1,IF($U11&gt;=$V11,1,IF($U11&lt;$W11,3,2)),IF($U11&lt;=$V11,1,IF($U11&gt;$W11,3,2))))</f>
        <v/>
      </c>
    </row>
    <row r="12" ht="24" customHeight="1">
      <c r="A12" s="42" t="inlineStr">
        <is>
          <t>NON-CONFORMITÉS INTERNES</t>
        </is>
      </c>
      <c r="B12" s="43" t="n"/>
      <c r="C12" s="44" t="n"/>
      <c r="D12" s="42" t="inlineStr">
        <is>
          <t>TAUX DE PRÉSENCE</t>
        </is>
      </c>
      <c r="E12" s="43" t="n"/>
      <c r="F12" s="44" t="n"/>
      <c r="G12" s="42" t="inlineStr">
        <is>
          <t>ACCIDENTS AVEC ARRÊT</t>
        </is>
      </c>
      <c r="H12" s="43" t="n"/>
      <c r="I12" s="44" t="n"/>
      <c r="J12" s="42" t="inlineStr">
        <is>
          <t>MTBF
(temps entre pannes)</t>
        </is>
      </c>
      <c r="K12" s="43" t="n"/>
      <c r="L12" s="44" t="n"/>
      <c r="M12" s="42" t="inlineStr">
        <is>
          <t>MTTR
(temps de réparation)</t>
        </is>
      </c>
      <c r="N12" s="43" t="n"/>
      <c r="O12" s="44" t="n"/>
      <c r="P12" s="42" t="inlineStr">
        <is>
          <t>ACTIONS EN RETARD</t>
        </is>
      </c>
      <c r="Q12" s="43" t="n"/>
      <c r="R12" s="44" t="n"/>
      <c r="T12" s="45" t="inlineStr">
        <is>
          <t>PPM</t>
        </is>
      </c>
      <c r="U12" s="45">
        <f>A13</f>
        <v/>
      </c>
      <c r="V12" s="45">
        <f>INDEX(PARAMETRES!$D$16:$D$29,MATCH("PPM",PARAMETRES!$A$16:$A$29,0))</f>
        <v/>
      </c>
      <c r="W12" s="45">
        <f>INDEX(PARAMETRES!$E$16:$E$29,MATCH("PPM",PARAMETRES!$A$16:$A$29,0))</f>
        <v/>
      </c>
      <c r="X12" s="45">
        <f>INDEX(PARAMETRES!$F$16:$F$29,MATCH("PPM",PARAMETRES!$A$16:$A$29,0))</f>
        <v/>
      </c>
      <c r="Y12" s="45">
        <f>IF($U12="","",IF($X12=1,IF($U12&gt;=$V12,1,IF($U12&lt;$W12,3,2)),IF($U12&lt;=$V12,1,IF($U12&gt;$W12,3,2))))</f>
        <v/>
      </c>
    </row>
    <row r="13" ht="20" customHeight="1">
      <c r="A13" s="54">
        <f>IFERROR((CALC!$V$22-CALC!$V$23)/CALC!$V$22*1000000,"")</f>
        <v/>
      </c>
      <c r="B13" s="47" t="n"/>
      <c r="C13" s="48" t="n"/>
      <c r="D13" s="46">
        <f>IFERROR(CALC!$V$29/CALC!$V$28,"")</f>
        <v/>
      </c>
      <c r="E13" s="47" t="n"/>
      <c r="F13" s="48" t="n"/>
      <c r="G13" s="55">
        <f>CALC!$V$26</f>
        <v/>
      </c>
      <c r="H13" s="47" t="n"/>
      <c r="I13" s="48" t="n"/>
      <c r="J13" s="56">
        <f>IFERROR(CALC!$V$19/CALC!$V$27,"")</f>
        <v/>
      </c>
      <c r="K13" s="47" t="n"/>
      <c r="L13" s="48" t="n"/>
      <c r="M13" s="56">
        <f>IFERROR(CALC!$V$10/CALC!$V$27,"")</f>
        <v/>
      </c>
      <c r="N13" s="47" t="n"/>
      <c r="O13" s="48" t="n"/>
      <c r="P13" s="55">
        <f>PLAN_ACTIONS!$D$6</f>
        <v/>
      </c>
      <c r="Q13" s="47" t="n"/>
      <c r="R13" s="48" t="n"/>
      <c r="T13" s="45" t="inlineStr">
        <is>
          <t>PRESENCE</t>
        </is>
      </c>
      <c r="U13" s="45">
        <f>D13</f>
        <v/>
      </c>
      <c r="V13" s="45">
        <f>INDEX(PARAMETRES!$D$16:$D$29,MATCH("PRESENCE",PARAMETRES!$A$16:$A$29,0))</f>
        <v/>
      </c>
      <c r="W13" s="45">
        <f>INDEX(PARAMETRES!$E$16:$E$29,MATCH("PRESENCE",PARAMETRES!$A$16:$A$29,0))</f>
        <v/>
      </c>
      <c r="X13" s="45">
        <f>INDEX(PARAMETRES!$F$16:$F$29,MATCH("PRESENCE",PARAMETRES!$A$16:$A$29,0))</f>
        <v/>
      </c>
      <c r="Y13" s="45">
        <f>IF($U13="","",IF($X13=1,IF($U13&gt;=$V13,1,IF($U13&lt;$W13,3,2)),IF($U13&lt;=$V13,1,IF($U13&gt;$W13,3,2))))</f>
        <v/>
      </c>
    </row>
    <row r="14" ht="16" customHeight="1">
      <c r="A14" s="49" t="n"/>
      <c r="B14" s="47" t="n"/>
      <c r="C14" s="48" t="n"/>
      <c r="D14" s="49" t="n"/>
      <c r="E14" s="47" t="n"/>
      <c r="F14" s="48" t="n"/>
      <c r="G14" s="49" t="n"/>
      <c r="H14" s="47" t="n"/>
      <c r="I14" s="48" t="n"/>
      <c r="J14" s="49" t="n"/>
      <c r="K14" s="47" t="n"/>
      <c r="L14" s="48" t="n"/>
      <c r="M14" s="49" t="n"/>
      <c r="N14" s="47" t="n"/>
      <c r="O14" s="48" t="n"/>
      <c r="P14" s="49" t="n"/>
      <c r="Q14" s="47" t="n"/>
      <c r="R14" s="48" t="n"/>
      <c r="T14" s="45" t="inlineStr">
        <is>
          <t>ACCIDENT</t>
        </is>
      </c>
      <c r="U14" s="45">
        <f>G13</f>
        <v/>
      </c>
      <c r="V14" s="45">
        <f>INDEX(PARAMETRES!$D$16:$D$29,MATCH("ACCIDENT",PARAMETRES!$A$16:$A$29,0))</f>
        <v/>
      </c>
      <c r="W14" s="45">
        <f>INDEX(PARAMETRES!$E$16:$E$29,MATCH("ACCIDENT",PARAMETRES!$A$16:$A$29,0))</f>
        <v/>
      </c>
      <c r="X14" s="45">
        <f>INDEX(PARAMETRES!$F$16:$F$29,MATCH("ACCIDENT",PARAMETRES!$A$16:$A$29,0))</f>
        <v/>
      </c>
      <c r="Y14" s="45">
        <f>IF($U14="","",IF($X14=1,IF($U14&gt;=$V14,1,IF($U14&lt;$W14,3,2)),IF($U14&lt;=$V14,1,IF($U14&gt;$W14,3,2))))</f>
        <v/>
      </c>
    </row>
    <row r="15" ht="14" customHeight="1">
      <c r="A15" s="50">
        <f>"Cible : "&amp;TEXT($V$12,"#,##0")&amp;" ppm"</f>
        <v/>
      </c>
      <c r="B15" s="47" t="n"/>
      <c r="C15" s="48" t="n"/>
      <c r="D15" s="50">
        <f>"Cible : "&amp;TEXT($V$13,"0.0%")</f>
        <v/>
      </c>
      <c r="E15" s="47" t="n"/>
      <c r="F15" s="48" t="n"/>
      <c r="G15" s="50">
        <f>"Cible : "&amp;TEXT($V$14,"0")</f>
        <v/>
      </c>
      <c r="H15" s="47" t="n"/>
      <c r="I15" s="48" t="n"/>
      <c r="J15" s="50">
        <f>"Cible : "&amp;TEXT($V$15,"#,##0")&amp;" min"</f>
        <v/>
      </c>
      <c r="K15" s="47" t="n"/>
      <c r="L15" s="48" t="n"/>
      <c r="M15" s="50">
        <f>"Cible : "&amp;TEXT($V$16,"#,##0")&amp;" min"</f>
        <v/>
      </c>
      <c r="N15" s="47" t="n"/>
      <c r="O15" s="48" t="n"/>
      <c r="P15" s="50">
        <f>"Cible : "&amp;TEXT($V$17,"0")</f>
        <v/>
      </c>
      <c r="Q15" s="47" t="n"/>
      <c r="R15" s="48" t="n"/>
      <c r="T15" s="45" t="inlineStr">
        <is>
          <t>MTBF</t>
        </is>
      </c>
      <c r="U15" s="45">
        <f>J13</f>
        <v/>
      </c>
      <c r="V15" s="45">
        <f>INDEX(PARAMETRES!$D$16:$D$29,MATCH("MTBF",PARAMETRES!$A$16:$A$29,0))</f>
        <v/>
      </c>
      <c r="W15" s="45">
        <f>INDEX(PARAMETRES!$E$16:$E$29,MATCH("MTBF",PARAMETRES!$A$16:$A$29,0))</f>
        <v/>
      </c>
      <c r="X15" s="45">
        <f>INDEX(PARAMETRES!$F$16:$F$29,MATCH("MTBF",PARAMETRES!$A$16:$A$29,0))</f>
        <v/>
      </c>
      <c r="Y15" s="45">
        <f>IF($U15="","",IF($X15=1,IF($U15&gt;=$V15,1,IF($U15&lt;$W15,3,2)),IF($U15&lt;=$V15,1,IF($U15&gt;$W15,3,2))))</f>
        <v/>
      </c>
    </row>
    <row r="16" ht="14" customHeight="1">
      <c r="A16" s="51">
        <f>"Seuil d'alerte : "&amp;TEXT($W$12,"#,##0")&amp;" ppm"</f>
        <v/>
      </c>
      <c r="B16" s="52" t="n"/>
      <c r="C16" s="53" t="n"/>
      <c r="D16" s="51">
        <f>"Seuil d'alerte : "&amp;TEXT($W$13,"0.0%")</f>
        <v/>
      </c>
      <c r="E16" s="52" t="n"/>
      <c r="F16" s="53" t="n"/>
      <c r="G16" s="51">
        <f>"Seuil d'alerte : "&amp;TEXT($W$14,"0")</f>
        <v/>
      </c>
      <c r="H16" s="52" t="n"/>
      <c r="I16" s="53" t="n"/>
      <c r="J16" s="51">
        <f>"Seuil d'alerte : "&amp;TEXT($W$15,"#,##0")&amp;" min"</f>
        <v/>
      </c>
      <c r="K16" s="52" t="n"/>
      <c r="L16" s="53" t="n"/>
      <c r="M16" s="51">
        <f>"Seuil d'alerte : "&amp;TEXT($W$16,"#,##0")&amp;" min"</f>
        <v/>
      </c>
      <c r="N16" s="52" t="n"/>
      <c r="O16" s="53" t="n"/>
      <c r="P16" s="51">
        <f>"Seuil d'alerte : "&amp;TEXT($W$17,"0")</f>
        <v/>
      </c>
      <c r="Q16" s="52" t="n"/>
      <c r="R16" s="53" t="n"/>
      <c r="T16" s="45" t="inlineStr">
        <is>
          <t>MTTR</t>
        </is>
      </c>
      <c r="U16" s="45">
        <f>M13</f>
        <v/>
      </c>
      <c r="V16" s="45">
        <f>INDEX(PARAMETRES!$D$16:$D$29,MATCH("MTTR",PARAMETRES!$A$16:$A$29,0))</f>
        <v/>
      </c>
      <c r="W16" s="45">
        <f>INDEX(PARAMETRES!$E$16:$E$29,MATCH("MTTR",PARAMETRES!$A$16:$A$29,0))</f>
        <v/>
      </c>
      <c r="X16" s="45">
        <f>INDEX(PARAMETRES!$F$16:$F$29,MATCH("MTTR",PARAMETRES!$A$16:$A$29,0))</f>
        <v/>
      </c>
      <c r="Y16" s="45">
        <f>IF($U16="","",IF($X16=1,IF($U16&gt;=$V16,1,IF($U16&lt;$W16,3,2)),IF($U16&lt;=$V16,1,IF($U16&gt;$W16,3,2))))</f>
        <v/>
      </c>
    </row>
    <row r="17">
      <c r="T17" s="45" t="inlineStr">
        <is>
          <t>RETARD</t>
        </is>
      </c>
      <c r="U17" s="45">
        <f>P13</f>
        <v/>
      </c>
      <c r="V17" s="45">
        <f>INDEX(PARAMETRES!$D$16:$D$29,MATCH("RETARD",PARAMETRES!$A$16:$A$29,0))</f>
        <v/>
      </c>
      <c r="W17" s="45">
        <f>INDEX(PARAMETRES!$E$16:$E$29,MATCH("RETARD",PARAMETRES!$A$16:$A$29,0))</f>
        <v/>
      </c>
      <c r="X17" s="45">
        <f>INDEX(PARAMETRES!$F$16:$F$29,MATCH("RETARD",PARAMETRES!$A$16:$A$29,0))</f>
        <v/>
      </c>
      <c r="Y17" s="45">
        <f>IF($U17="","",IF($X17=1,IF($U17&gt;=$V17,1,IF($U17&lt;$W17,3,2)),IF($U17&lt;=$V17,1,IF($U17&gt;$W17,3,2))))</f>
        <v/>
      </c>
    </row>
    <row r="18" ht="20" customHeight="1">
      <c r="A18" s="4" t="inlineStr">
        <is>
          <t>ANALYSE DE LA PERFORMANCE DU MOIS</t>
        </is>
      </c>
      <c r="B18" s="5" t="n"/>
      <c r="C18" s="5" t="n"/>
      <c r="D18" s="5" t="n"/>
      <c r="E18" s="5" t="n"/>
      <c r="F18" s="5" t="n"/>
      <c r="G18" s="5" t="n"/>
      <c r="H18" s="5" t="n"/>
      <c r="I18" s="5" t="n"/>
      <c r="J18" s="5" t="n"/>
      <c r="K18" s="5" t="n"/>
      <c r="L18" s="5" t="n"/>
      <c r="M18" s="5" t="n"/>
      <c r="N18" s="5" t="n"/>
      <c r="O18" s="5" t="n"/>
      <c r="P18" s="5" t="n"/>
      <c r="Q18" s="5" t="n"/>
      <c r="R18" s="5" t="n"/>
    </row>
    <row r="78" ht="20" customHeight="1">
      <c r="A78" s="4" t="inlineStr">
        <is>
          <t>TOP 5 DES CAUSES D'ARRÊT SUBI DU MOIS  —  source : journal des arrêts, hors arrêts planifiés</t>
        </is>
      </c>
      <c r="B78" s="5" t="n"/>
      <c r="C78" s="5" t="n"/>
      <c r="D78" s="5" t="n"/>
      <c r="E78" s="5" t="n"/>
      <c r="F78" s="5" t="n"/>
      <c r="G78" s="5" t="n"/>
      <c r="H78" s="5" t="n"/>
      <c r="I78" s="5" t="n"/>
      <c r="J78" s="5" t="n"/>
      <c r="K78" s="5" t="n"/>
      <c r="L78" s="5" t="n"/>
      <c r="M78" s="5" t="n"/>
      <c r="N78" s="5" t="n"/>
      <c r="O78" s="5" t="n"/>
      <c r="P78" s="5" t="n"/>
      <c r="Q78" s="5" t="n"/>
      <c r="R78" s="5" t="n"/>
    </row>
    <row r="79" ht="22" customHeight="1">
      <c r="A79" s="57" t="inlineStr">
        <is>
          <t>Rang</t>
        </is>
      </c>
      <c r="B79" s="58" t="n"/>
      <c r="C79" s="57" t="inlineStr">
        <is>
          <t>Code</t>
        </is>
      </c>
      <c r="D79" s="58" t="n"/>
      <c r="E79" s="57" t="inlineStr">
        <is>
          <t>Cause d'arrêt</t>
        </is>
      </c>
      <c r="F79" s="58" t="n"/>
      <c r="G79" s="58" t="n"/>
      <c r="H79" s="58" t="n"/>
      <c r="I79" s="58" t="n"/>
      <c r="J79" s="57" t="inlineStr">
        <is>
          <t>Minutes perdues</t>
        </is>
      </c>
      <c r="K79" s="58" t="n"/>
      <c r="L79" s="57" t="inlineStr">
        <is>
          <t>Occurrences</t>
        </is>
      </c>
      <c r="M79" s="58" t="n"/>
      <c r="N79" s="57" t="inlineStr">
        <is>
          <t>Durée moyenne</t>
        </is>
      </c>
      <c r="O79" s="58" t="n"/>
      <c r="P79" s="57" t="inlineStr">
        <is>
          <t>Part des arrêts subis</t>
        </is>
      </c>
      <c r="Q79" s="58" t="n"/>
      <c r="R79" s="58" t="n"/>
    </row>
    <row r="80" ht="17" customHeight="1">
      <c r="A80" s="59">
        <f>CALC!$A$152</f>
        <v/>
      </c>
      <c r="B80" s="11" t="n"/>
      <c r="C80" s="60">
        <f>CALC!$B$152</f>
        <v/>
      </c>
      <c r="D80" s="11" t="n"/>
      <c r="E80" s="60">
        <f>CALC!$C$152</f>
        <v/>
      </c>
      <c r="F80" s="11" t="n"/>
      <c r="G80" s="11" t="n"/>
      <c r="H80" s="11" t="n"/>
      <c r="I80" s="11" t="n"/>
      <c r="J80" s="61">
        <f>CALC!$D$152</f>
        <v/>
      </c>
      <c r="K80" s="11" t="n"/>
      <c r="L80" s="61">
        <f>CALC!$E$152</f>
        <v/>
      </c>
      <c r="M80" s="11" t="n"/>
      <c r="N80" s="62">
        <f>CALC!$F$152</f>
        <v/>
      </c>
      <c r="O80" s="11" t="n"/>
      <c r="P80" s="63">
        <f>CALC!$G$152</f>
        <v/>
      </c>
      <c r="Q80" s="11" t="n"/>
      <c r="R80" s="11" t="n"/>
    </row>
    <row r="81" ht="17" customHeight="1">
      <c r="A81" s="64">
        <f>CALC!$A$153</f>
        <v/>
      </c>
      <c r="B81" s="14" t="n"/>
      <c r="C81" s="65">
        <f>CALC!$B$153</f>
        <v/>
      </c>
      <c r="D81" s="14" t="n"/>
      <c r="E81" s="65">
        <f>CALC!$C$153</f>
        <v/>
      </c>
      <c r="F81" s="14" t="n"/>
      <c r="G81" s="14" t="n"/>
      <c r="H81" s="14" t="n"/>
      <c r="I81" s="14" t="n"/>
      <c r="J81" s="66">
        <f>CALC!$D$153</f>
        <v/>
      </c>
      <c r="K81" s="14" t="n"/>
      <c r="L81" s="66">
        <f>CALC!$E$153</f>
        <v/>
      </c>
      <c r="M81" s="14" t="n"/>
      <c r="N81" s="67">
        <f>CALC!$F$153</f>
        <v/>
      </c>
      <c r="O81" s="14" t="n"/>
      <c r="P81" s="68">
        <f>CALC!$G$153</f>
        <v/>
      </c>
      <c r="Q81" s="14" t="n"/>
      <c r="R81" s="14" t="n"/>
    </row>
    <row r="82" ht="17" customHeight="1">
      <c r="A82" s="59">
        <f>CALC!$A$154</f>
        <v/>
      </c>
      <c r="B82" s="11" t="n"/>
      <c r="C82" s="60">
        <f>CALC!$B$154</f>
        <v/>
      </c>
      <c r="D82" s="11" t="n"/>
      <c r="E82" s="60">
        <f>CALC!$C$154</f>
        <v/>
      </c>
      <c r="F82" s="11" t="n"/>
      <c r="G82" s="11" t="n"/>
      <c r="H82" s="11" t="n"/>
      <c r="I82" s="11" t="n"/>
      <c r="J82" s="61">
        <f>CALC!$D$154</f>
        <v/>
      </c>
      <c r="K82" s="11" t="n"/>
      <c r="L82" s="61">
        <f>CALC!$E$154</f>
        <v/>
      </c>
      <c r="M82" s="11" t="n"/>
      <c r="N82" s="62">
        <f>CALC!$F$154</f>
        <v/>
      </c>
      <c r="O82" s="11" t="n"/>
      <c r="P82" s="63">
        <f>CALC!$G$154</f>
        <v/>
      </c>
      <c r="Q82" s="11" t="n"/>
      <c r="R82" s="11" t="n"/>
    </row>
    <row r="83" ht="17" customHeight="1">
      <c r="A83" s="64">
        <f>CALC!$A$155</f>
        <v/>
      </c>
      <c r="B83" s="14" t="n"/>
      <c r="C83" s="65">
        <f>CALC!$B$155</f>
        <v/>
      </c>
      <c r="D83" s="14" t="n"/>
      <c r="E83" s="65">
        <f>CALC!$C$155</f>
        <v/>
      </c>
      <c r="F83" s="14" t="n"/>
      <c r="G83" s="14" t="n"/>
      <c r="H83" s="14" t="n"/>
      <c r="I83" s="14" t="n"/>
      <c r="J83" s="66">
        <f>CALC!$D$155</f>
        <v/>
      </c>
      <c r="K83" s="14" t="n"/>
      <c r="L83" s="66">
        <f>CALC!$E$155</f>
        <v/>
      </c>
      <c r="M83" s="14" t="n"/>
      <c r="N83" s="67">
        <f>CALC!$F$155</f>
        <v/>
      </c>
      <c r="O83" s="14" t="n"/>
      <c r="P83" s="68">
        <f>CALC!$G$155</f>
        <v/>
      </c>
      <c r="Q83" s="14" t="n"/>
      <c r="R83" s="14" t="n"/>
    </row>
    <row r="84" ht="17" customHeight="1">
      <c r="A84" s="59">
        <f>CALC!$A$156</f>
        <v/>
      </c>
      <c r="B84" s="11" t="n"/>
      <c r="C84" s="60">
        <f>CALC!$B$156</f>
        <v/>
      </c>
      <c r="D84" s="11" t="n"/>
      <c r="E84" s="60">
        <f>CALC!$C$156</f>
        <v/>
      </c>
      <c r="F84" s="11" t="n"/>
      <c r="G84" s="11" t="n"/>
      <c r="H84" s="11" t="n"/>
      <c r="I84" s="11" t="n"/>
      <c r="J84" s="61">
        <f>CALC!$D$156</f>
        <v/>
      </c>
      <c r="K84" s="11" t="n"/>
      <c r="L84" s="61">
        <f>CALC!$E$156</f>
        <v/>
      </c>
      <c r="M84" s="11" t="n"/>
      <c r="N84" s="62">
        <f>CALC!$F$156</f>
        <v/>
      </c>
      <c r="O84" s="11" t="n"/>
      <c r="P84" s="63">
        <f>CALC!$G$156</f>
        <v/>
      </c>
      <c r="Q84" s="11" t="n"/>
      <c r="R84" s="11" t="n"/>
    </row>
    <row r="87" ht="20" customHeight="1">
      <c r="A87" s="4" t="inlineStr">
        <is>
          <t>DÉCISIONS ET ENGAGEMENTS DE LA REVUE  —  à renseigner pendant l'animation</t>
        </is>
      </c>
      <c r="B87" s="5" t="n"/>
      <c r="C87" s="5" t="n"/>
      <c r="D87" s="5" t="n"/>
      <c r="E87" s="5" t="n"/>
      <c r="F87" s="5" t="n"/>
      <c r="G87" s="5" t="n"/>
      <c r="H87" s="5" t="n"/>
      <c r="I87" s="5" t="n"/>
      <c r="J87" s="5" t="n"/>
      <c r="K87" s="5" t="n"/>
      <c r="L87" s="5" t="n"/>
      <c r="M87" s="5" t="n"/>
      <c r="N87" s="5" t="n"/>
      <c r="O87" s="5" t="n"/>
      <c r="P87" s="5" t="n"/>
      <c r="Q87" s="5" t="n"/>
      <c r="R87" s="5" t="n"/>
    </row>
    <row r="88" ht="22" customHeight="1">
      <c r="A88" s="69" t="inlineStr">
        <is>
          <t>Écart constaté (fait mesuré)</t>
        </is>
      </c>
      <c r="B88" s="70" t="n"/>
      <c r="C88" s="70" t="n"/>
      <c r="D88" s="70" t="n"/>
      <c r="E88" s="70" t="n"/>
      <c r="F88" s="69" t="inlineStr">
        <is>
          <t>Décision prise</t>
        </is>
      </c>
      <c r="G88" s="70" t="n"/>
      <c r="H88" s="70" t="n"/>
      <c r="I88" s="70" t="n"/>
      <c r="J88" s="70" t="n"/>
      <c r="K88" s="70" t="n"/>
      <c r="L88" s="69" t="inlineStr">
        <is>
          <t>Pilote</t>
        </is>
      </c>
      <c r="M88" s="70" t="n"/>
      <c r="N88" s="69" t="inlineStr">
        <is>
          <t>Échéance</t>
        </is>
      </c>
      <c r="O88" s="70" t="n"/>
      <c r="P88" s="69" t="inlineStr">
        <is>
          <t>N° d'action associé</t>
        </is>
      </c>
      <c r="Q88" s="70" t="n"/>
      <c r="R88" s="70" t="n"/>
    </row>
    <row r="89" ht="20" customHeight="1">
      <c r="A89" s="71" t="n"/>
      <c r="B89" s="15" t="n"/>
      <c r="C89" s="15" t="n"/>
      <c r="D89" s="15" t="n"/>
      <c r="E89" s="15" t="n"/>
      <c r="F89" s="71" t="n"/>
      <c r="G89" s="15" t="n"/>
      <c r="H89" s="15" t="n"/>
      <c r="I89" s="15" t="n"/>
      <c r="J89" s="15" t="n"/>
      <c r="K89" s="15" t="n"/>
      <c r="L89" s="71" t="n"/>
      <c r="M89" s="15" t="n"/>
      <c r="N89" s="72" t="n"/>
      <c r="O89" s="15" t="n"/>
      <c r="P89" s="71" t="n"/>
      <c r="Q89" s="15" t="n"/>
      <c r="R89" s="15" t="n"/>
    </row>
    <row r="90" ht="20" customHeight="1">
      <c r="A90" s="71" t="n"/>
      <c r="B90" s="15" t="n"/>
      <c r="C90" s="15" t="n"/>
      <c r="D90" s="15" t="n"/>
      <c r="E90" s="15" t="n"/>
      <c r="F90" s="71" t="n"/>
      <c r="G90" s="15" t="n"/>
      <c r="H90" s="15" t="n"/>
      <c r="I90" s="15" t="n"/>
      <c r="J90" s="15" t="n"/>
      <c r="K90" s="15" t="n"/>
      <c r="L90" s="71" t="n"/>
      <c r="M90" s="15" t="n"/>
      <c r="N90" s="72" t="n"/>
      <c r="O90" s="15" t="n"/>
      <c r="P90" s="71" t="n"/>
      <c r="Q90" s="15" t="n"/>
      <c r="R90" s="15" t="n"/>
    </row>
    <row r="91" ht="20" customHeight="1">
      <c r="A91" s="71" t="n"/>
      <c r="B91" s="15" t="n"/>
      <c r="C91" s="15" t="n"/>
      <c r="D91" s="15" t="n"/>
      <c r="E91" s="15" t="n"/>
      <c r="F91" s="71" t="n"/>
      <c r="G91" s="15" t="n"/>
      <c r="H91" s="15" t="n"/>
      <c r="I91" s="15" t="n"/>
      <c r="J91" s="15" t="n"/>
      <c r="K91" s="15" t="n"/>
      <c r="L91" s="71" t="n"/>
      <c r="M91" s="15" t="n"/>
      <c r="N91" s="72" t="n"/>
      <c r="O91" s="15" t="n"/>
      <c r="P91" s="71" t="n"/>
      <c r="Q91" s="15" t="n"/>
      <c r="R91" s="15" t="n"/>
    </row>
    <row r="92" ht="20" customHeight="1">
      <c r="A92" s="71" t="n"/>
      <c r="B92" s="15" t="n"/>
      <c r="C92" s="15" t="n"/>
      <c r="D92" s="15" t="n"/>
      <c r="E92" s="15" t="n"/>
      <c r="F92" s="71" t="n"/>
      <c r="G92" s="15" t="n"/>
      <c r="H92" s="15" t="n"/>
      <c r="I92" s="15" t="n"/>
      <c r="J92" s="15" t="n"/>
      <c r="K92" s="15" t="n"/>
      <c r="L92" s="71" t="n"/>
      <c r="M92" s="15" t="n"/>
      <c r="N92" s="72" t="n"/>
      <c r="O92" s="15" t="n"/>
      <c r="P92" s="71" t="n"/>
      <c r="Q92" s="15" t="n"/>
      <c r="R92" s="15" t="n"/>
    </row>
    <row r="93" ht="20" customHeight="1">
      <c r="A93" s="71" t="n"/>
      <c r="B93" s="15" t="n"/>
      <c r="C93" s="15" t="n"/>
      <c r="D93" s="15" t="n"/>
      <c r="E93" s="15" t="n"/>
      <c r="F93" s="71" t="n"/>
      <c r="G93" s="15" t="n"/>
      <c r="H93" s="15" t="n"/>
      <c r="I93" s="15" t="n"/>
      <c r="J93" s="15" t="n"/>
      <c r="K93" s="15" t="n"/>
      <c r="L93" s="71" t="n"/>
      <c r="M93" s="15" t="n"/>
      <c r="N93" s="72" t="n"/>
      <c r="O93" s="15" t="n"/>
      <c r="P93" s="71" t="n"/>
      <c r="Q93" s="15" t="n"/>
      <c r="R93" s="15" t="n"/>
    </row>
    <row r="95">
      <c r="A95" s="73" t="inlineStr">
        <is>
          <t>Lecture des cartes :  vert = cible atteinte  •  orange = entre la cible et le seuil d'alerte  •  rouge = au-delà du seuil d'alerte.  Cibles et seuils sont définis dans l'onglet PARAMETRES. Règle d'animation : toute carte rouge donne lieu, le jour même, à une action ouverte dans le PLAN_ACTIONS avec un pilote nommé et une date cible. Le graphique de suivi journalier affiche la moyenne mobile 7 jours et les limites de contrôle (moyenne ± 2 écarts-types) : un point hors limite signale une cause spéciale à investiguer, à distinguer d'une variation courante du procédé.</t>
        </is>
      </c>
    </row>
    <row r="96"/>
    <row r="97"/>
  </sheetData>
  <mergeCells count="130">
    <mergeCell ref="J82:K82"/>
    <mergeCell ref="L82:M82"/>
    <mergeCell ref="L91:M91"/>
    <mergeCell ref="N91:O91"/>
    <mergeCell ref="M12:O12"/>
    <mergeCell ref="C79:D79"/>
    <mergeCell ref="P91:R91"/>
    <mergeCell ref="G15:I15"/>
    <mergeCell ref="A18:R18"/>
    <mergeCell ref="F90:K90"/>
    <mergeCell ref="A2:R2"/>
    <mergeCell ref="D12:F12"/>
    <mergeCell ref="D9:F9"/>
    <mergeCell ref="A89:E89"/>
    <mergeCell ref="P12:R12"/>
    <mergeCell ref="A7:C8"/>
    <mergeCell ref="G16:I16"/>
    <mergeCell ref="M7:O8"/>
    <mergeCell ref="G9:I9"/>
    <mergeCell ref="L79:M79"/>
    <mergeCell ref="D13:F14"/>
    <mergeCell ref="D7:F8"/>
    <mergeCell ref="A91:E91"/>
    <mergeCell ref="P7:R8"/>
    <mergeCell ref="L81:M81"/>
    <mergeCell ref="E81:I81"/>
    <mergeCell ref="M9:O9"/>
    <mergeCell ref="A6:C6"/>
    <mergeCell ref="N89:O89"/>
    <mergeCell ref="A93:E93"/>
    <mergeCell ref="N83:O83"/>
    <mergeCell ref="N79:O79"/>
    <mergeCell ref="P81:R81"/>
    <mergeCell ref="J15:L15"/>
    <mergeCell ref="C83:D83"/>
    <mergeCell ref="P90:R90"/>
    <mergeCell ref="N4:R4"/>
    <mergeCell ref="G6:I6"/>
    <mergeCell ref="A12:C12"/>
    <mergeCell ref="A79:B79"/>
    <mergeCell ref="M6:O6"/>
    <mergeCell ref="E83:I83"/>
    <mergeCell ref="M15:O15"/>
    <mergeCell ref="P16:R16"/>
    <mergeCell ref="P82:R82"/>
    <mergeCell ref="E4:F4"/>
    <mergeCell ref="J16:L16"/>
    <mergeCell ref="L93:M93"/>
    <mergeCell ref="N93:O93"/>
    <mergeCell ref="J83:K83"/>
    <mergeCell ref="L83:M83"/>
    <mergeCell ref="G13:I14"/>
    <mergeCell ref="E84:I84"/>
    <mergeCell ref="G7:I8"/>
    <mergeCell ref="L92:M92"/>
    <mergeCell ref="N92:O92"/>
    <mergeCell ref="E80:I80"/>
    <mergeCell ref="P92:R92"/>
    <mergeCell ref="M13:O14"/>
    <mergeCell ref="A15:C15"/>
    <mergeCell ref="L84:M84"/>
    <mergeCell ref="N84:O84"/>
    <mergeCell ref="C82:D82"/>
    <mergeCell ref="P84:R84"/>
    <mergeCell ref="L80:M80"/>
    <mergeCell ref="P13:R14"/>
    <mergeCell ref="N80:O80"/>
    <mergeCell ref="A1:R1"/>
    <mergeCell ref="P6:R6"/>
    <mergeCell ref="A16:C16"/>
    <mergeCell ref="A83:B83"/>
    <mergeCell ref="A78:R78"/>
    <mergeCell ref="J6:L6"/>
    <mergeCell ref="G10:I10"/>
    <mergeCell ref="P80:R80"/>
    <mergeCell ref="A87:R87"/>
    <mergeCell ref="J81:K81"/>
    <mergeCell ref="D16:F16"/>
    <mergeCell ref="E82:I82"/>
    <mergeCell ref="A95:R97"/>
    <mergeCell ref="L89:M89"/>
    <mergeCell ref="C84:D84"/>
    <mergeCell ref="A80:B80"/>
    <mergeCell ref="C80:D80"/>
    <mergeCell ref="L88:M88"/>
    <mergeCell ref="N82:O82"/>
    <mergeCell ref="P93:R93"/>
    <mergeCell ref="P83:R83"/>
    <mergeCell ref="G12:I12"/>
    <mergeCell ref="F88:K88"/>
    <mergeCell ref="J10:L10"/>
    <mergeCell ref="P9:R9"/>
    <mergeCell ref="A13:C14"/>
    <mergeCell ref="J9:L9"/>
    <mergeCell ref="D6:F6"/>
    <mergeCell ref="M10:O10"/>
    <mergeCell ref="A82:B82"/>
    <mergeCell ref="H4:I4"/>
    <mergeCell ref="M16:O16"/>
    <mergeCell ref="F91:K91"/>
    <mergeCell ref="A88:E88"/>
    <mergeCell ref="J84:K84"/>
    <mergeCell ref="E79:I79"/>
    <mergeCell ref="N81:O81"/>
    <mergeCell ref="F93:K93"/>
    <mergeCell ref="J13:L14"/>
    <mergeCell ref="A90:E90"/>
    <mergeCell ref="A84:B84"/>
    <mergeCell ref="J80:K80"/>
    <mergeCell ref="J12:L12"/>
    <mergeCell ref="D15:F15"/>
    <mergeCell ref="F92:K92"/>
    <mergeCell ref="J79:K79"/>
    <mergeCell ref="A10:C10"/>
    <mergeCell ref="P15:R15"/>
    <mergeCell ref="P89:R89"/>
    <mergeCell ref="A9:C9"/>
    <mergeCell ref="N88:O88"/>
    <mergeCell ref="P79:R79"/>
    <mergeCell ref="P88:R88"/>
    <mergeCell ref="D10:F10"/>
    <mergeCell ref="J7:L8"/>
    <mergeCell ref="L90:M90"/>
    <mergeCell ref="P10:R10"/>
    <mergeCell ref="A81:B81"/>
    <mergeCell ref="N90:O90"/>
    <mergeCell ref="C81:D81"/>
    <mergeCell ref="F89:K89"/>
    <mergeCell ref="K4:L4"/>
    <mergeCell ref="A92:E92"/>
  </mergeCells>
  <conditionalFormatting sqref="A7:C8">
    <cfRule type="expression" priority="1" dxfId="0">
      <formula>$Y$6=1</formula>
    </cfRule>
    <cfRule type="expression" priority="2" dxfId="1">
      <formula>$Y$6=2</formula>
    </cfRule>
    <cfRule type="expression" priority="3" dxfId="2">
      <formula>$Y$6=3</formula>
    </cfRule>
  </conditionalFormatting>
  <conditionalFormatting sqref="A6:C6">
    <cfRule type="expression" priority="4" dxfId="3">
      <formula>$Y$6=3</formula>
    </cfRule>
  </conditionalFormatting>
  <conditionalFormatting sqref="D7:F8">
    <cfRule type="expression" priority="5" dxfId="0">
      <formula>$Y$7=1</formula>
    </cfRule>
    <cfRule type="expression" priority="6" dxfId="1">
      <formula>$Y$7=2</formula>
    </cfRule>
    <cfRule type="expression" priority="7" dxfId="2">
      <formula>$Y$7=3</formula>
    </cfRule>
  </conditionalFormatting>
  <conditionalFormatting sqref="D6:F6">
    <cfRule type="expression" priority="8" dxfId="3">
      <formula>$Y$7=3</formula>
    </cfRule>
  </conditionalFormatting>
  <conditionalFormatting sqref="G7:I8">
    <cfRule type="expression" priority="9" dxfId="0">
      <formula>$Y$8=1</formula>
    </cfRule>
    <cfRule type="expression" priority="10" dxfId="1">
      <formula>$Y$8=2</formula>
    </cfRule>
    <cfRule type="expression" priority="11" dxfId="2">
      <formula>$Y$8=3</formula>
    </cfRule>
  </conditionalFormatting>
  <conditionalFormatting sqref="G6:I6">
    <cfRule type="expression" priority="12" dxfId="3">
      <formula>$Y$8=3</formula>
    </cfRule>
  </conditionalFormatting>
  <conditionalFormatting sqref="J7:L8">
    <cfRule type="expression" priority="13" dxfId="0">
      <formula>$Y$9=1</formula>
    </cfRule>
    <cfRule type="expression" priority="14" dxfId="1">
      <formula>$Y$9=2</formula>
    </cfRule>
    <cfRule type="expression" priority="15" dxfId="2">
      <formula>$Y$9=3</formula>
    </cfRule>
  </conditionalFormatting>
  <conditionalFormatting sqref="J6:L6">
    <cfRule type="expression" priority="16" dxfId="3">
      <formula>$Y$9=3</formula>
    </cfRule>
  </conditionalFormatting>
  <conditionalFormatting sqref="M7:O8">
    <cfRule type="expression" priority="17" dxfId="0">
      <formula>$Y$10=1</formula>
    </cfRule>
    <cfRule type="expression" priority="18" dxfId="1">
      <formula>$Y$10=2</formula>
    </cfRule>
    <cfRule type="expression" priority="19" dxfId="2">
      <formula>$Y$10=3</formula>
    </cfRule>
  </conditionalFormatting>
  <conditionalFormatting sqref="M6:O6">
    <cfRule type="expression" priority="20" dxfId="3">
      <formula>$Y$10=3</formula>
    </cfRule>
  </conditionalFormatting>
  <conditionalFormatting sqref="P7:R8">
    <cfRule type="expression" priority="21" dxfId="0">
      <formula>$Y$11=1</formula>
    </cfRule>
    <cfRule type="expression" priority="22" dxfId="1">
      <formula>$Y$11=2</formula>
    </cfRule>
    <cfRule type="expression" priority="23" dxfId="2">
      <formula>$Y$11=3</formula>
    </cfRule>
  </conditionalFormatting>
  <conditionalFormatting sqref="P6:R6">
    <cfRule type="expression" priority="24" dxfId="3">
      <formula>$Y$11=3</formula>
    </cfRule>
  </conditionalFormatting>
  <conditionalFormatting sqref="A13:C14">
    <cfRule type="expression" priority="25" dxfId="0">
      <formula>$Y$12=1</formula>
    </cfRule>
    <cfRule type="expression" priority="26" dxfId="1">
      <formula>$Y$12=2</formula>
    </cfRule>
    <cfRule type="expression" priority="27" dxfId="2">
      <formula>$Y$12=3</formula>
    </cfRule>
  </conditionalFormatting>
  <conditionalFormatting sqref="A12:C12">
    <cfRule type="expression" priority="28" dxfId="3">
      <formula>$Y$12=3</formula>
    </cfRule>
  </conditionalFormatting>
  <conditionalFormatting sqref="D13:F14">
    <cfRule type="expression" priority="29" dxfId="0">
      <formula>$Y$13=1</formula>
    </cfRule>
    <cfRule type="expression" priority="30" dxfId="1">
      <formula>$Y$13=2</formula>
    </cfRule>
    <cfRule type="expression" priority="31" dxfId="2">
      <formula>$Y$13=3</formula>
    </cfRule>
  </conditionalFormatting>
  <conditionalFormatting sqref="D12:F12">
    <cfRule type="expression" priority="32" dxfId="3">
      <formula>$Y$13=3</formula>
    </cfRule>
  </conditionalFormatting>
  <conditionalFormatting sqref="G13:I14">
    <cfRule type="expression" priority="33" dxfId="0">
      <formula>$Y$14=1</formula>
    </cfRule>
    <cfRule type="expression" priority="34" dxfId="1">
      <formula>$Y$14=2</formula>
    </cfRule>
    <cfRule type="expression" priority="35" dxfId="2">
      <formula>$Y$14=3</formula>
    </cfRule>
  </conditionalFormatting>
  <conditionalFormatting sqref="G12:I12">
    <cfRule type="expression" priority="36" dxfId="3">
      <formula>$Y$14=3</formula>
    </cfRule>
  </conditionalFormatting>
  <conditionalFormatting sqref="J13:L14">
    <cfRule type="expression" priority="37" dxfId="0">
      <formula>$Y$15=1</formula>
    </cfRule>
    <cfRule type="expression" priority="38" dxfId="1">
      <formula>$Y$15=2</formula>
    </cfRule>
    <cfRule type="expression" priority="39" dxfId="2">
      <formula>$Y$15=3</formula>
    </cfRule>
  </conditionalFormatting>
  <conditionalFormatting sqref="J12:L12">
    <cfRule type="expression" priority="40" dxfId="3">
      <formula>$Y$15=3</formula>
    </cfRule>
  </conditionalFormatting>
  <conditionalFormatting sqref="M13:O14">
    <cfRule type="expression" priority="41" dxfId="0">
      <formula>$Y$16=1</formula>
    </cfRule>
    <cfRule type="expression" priority="42" dxfId="1">
      <formula>$Y$16=2</formula>
    </cfRule>
    <cfRule type="expression" priority="43" dxfId="2">
      <formula>$Y$16=3</formula>
    </cfRule>
  </conditionalFormatting>
  <conditionalFormatting sqref="M12:O12">
    <cfRule type="expression" priority="44" dxfId="3">
      <formula>$Y$16=3</formula>
    </cfRule>
  </conditionalFormatting>
  <conditionalFormatting sqref="P13:R14">
    <cfRule type="expression" priority="45" dxfId="0">
      <formula>$Y$17=1</formula>
    </cfRule>
    <cfRule type="expression" priority="46" dxfId="1">
      <formula>$Y$17=2</formula>
    </cfRule>
    <cfRule type="expression" priority="47" dxfId="2">
      <formula>$Y$17=3</formula>
    </cfRule>
  </conditionalFormatting>
  <conditionalFormatting sqref="P12:R12">
    <cfRule type="expression" priority="48" dxfId="3">
      <formula>$Y$17=3</formula>
    </cfRule>
  </conditionalFormatting>
  <dataValidations count="3">
    <dataValidation sqref="H4" showDropDown="0" showInputMessage="0" showErrorMessage="0" allowBlank="0" type="list">
      <formula1>LST_F_LIGNES</formula1>
    </dataValidation>
    <dataValidation sqref="K4" showDropDown="0" showInputMessage="0" showErrorMessage="0" allowBlank="0" type="list">
      <formula1>LST_F_EQUIPES</formula1>
    </dataValidation>
    <dataValidation sqref="L89:L93" showDropDown="0" showInputMessage="0" showErrorMessage="0" allowBlank="1" type="list">
      <formula1>LST_PILOTES</formula1>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6FB2"/>
    <outlinePr summaryBelow="1" summaryRight="1"/>
    <pageSetUpPr fitToPage="1"/>
  </sheetPr>
  <dimension ref="A1:AS204"/>
  <sheetViews>
    <sheetView showGridLines="0" zoomScale="85" workbookViewId="0">
      <pane xSplit="5" ySplit="4" topLeftCell="F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22" customWidth="1" min="3" max="3"/>
    <col width="12" customWidth="1" min="4" max="4"/>
    <col width="14" customWidth="1" min="5" max="5"/>
    <col width="11" customWidth="1" min="6" max="6"/>
    <col width="10" customWidth="1" min="7" max="7"/>
    <col width="9" customWidth="1" min="8" max="8"/>
    <col width="11" customWidth="1" min="9" max="9"/>
    <col width="11" customWidth="1" min="10" max="10"/>
    <col width="10" customWidth="1" min="11" max="11"/>
    <col width="10" customWidth="1" min="12" max="12"/>
    <col width="10" customWidth="1" min="13" max="13"/>
    <col width="9" customWidth="1" min="14" max="14"/>
    <col width="12" customWidth="1" min="15" max="15"/>
    <col width="11" customWidth="1" min="16" max="16"/>
    <col width="12" customWidth="1" min="17" max="17"/>
    <col width="11" customWidth="1" min="18" max="18"/>
    <col width="10" customWidth="1" min="19" max="19"/>
    <col width="12" customWidth="1" min="20" max="20"/>
    <col width="9" customWidth="1" min="21" max="21"/>
    <col width="9" customWidth="1" min="22" max="22"/>
    <col width="9" customWidth="1" min="23" max="23"/>
    <col width="9" customWidth="1" min="24" max="24"/>
    <col width="11" customWidth="1" min="25" max="25"/>
    <col width="11" customWidth="1" min="26" max="26"/>
    <col width="40" customWidth="1" min="27" max="27"/>
    <col width="10" customWidth="1" min="28" max="28"/>
    <col width="10" customWidth="1" min="29" max="29"/>
    <col width="11" customWidth="1" min="30" max="30"/>
    <col width="10" customWidth="1" min="31" max="31"/>
    <col width="11" customWidth="1" min="32" max="32"/>
    <col width="11" customWidth="1" min="33" max="33"/>
    <col width="10" customWidth="1" min="34" max="34"/>
    <col width="10" customWidth="1" min="35" max="35"/>
    <col width="10" customWidth="1" min="36" max="36"/>
    <col width="10" customWidth="1" min="37" max="37"/>
    <col width="10" customWidth="1" min="38" max="38"/>
    <col width="12" customWidth="1" min="39" max="39"/>
    <col width="11" customWidth="1" min="40" max="40"/>
    <col width="11" customWidth="1" min="41" max="41"/>
    <col width="11" customWidth="1" min="42" max="42"/>
    <col width="11" customWidth="1" min="43" max="43"/>
    <col width="30" customWidth="1" min="44" max="44"/>
    <col width="10" customWidth="1" min="45" max="45"/>
  </cols>
  <sheetData>
    <row r="1" ht="30" customHeight="1">
      <c r="A1" s="1" t="inlineStr">
        <is>
          <t>SAISIE QUOTIDIENNE DE PRODUCTION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row>
    <row r="2" ht="18" customHeight="1">
      <c r="A2" s="3" t="inlineStr">
        <is>
          <t>Une ligne par jour, par équipe et par ligne de production. Saisir uniquement les colonnes sur fond jaune (5 minutes en fin de poste) : les colonnes bleues sont calculées et alimentent le cockpit.</t>
        </is>
      </c>
    </row>
    <row r="3" ht="20" customHeight="1">
      <c r="A3" s="74" t="inlineStr">
        <is>
          <t>IDENTIFICATION</t>
        </is>
      </c>
      <c r="B3" s="75" t="n"/>
      <c r="C3" s="75" t="n"/>
      <c r="D3" s="75" t="n"/>
      <c r="E3" s="75" t="n"/>
      <c r="F3" s="76" t="inlineStr">
        <is>
          <t>TEMPS D'OUVERTURE ET PERTES DE TEMPS  (minutes)</t>
        </is>
      </c>
      <c r="G3" s="77" t="n"/>
      <c r="H3" s="77" t="n"/>
      <c r="I3" s="77" t="n"/>
      <c r="J3" s="77" t="n"/>
      <c r="K3" s="77" t="n"/>
      <c r="L3" s="77" t="n"/>
      <c r="M3" s="77" t="n"/>
      <c r="N3" s="77" t="n"/>
      <c r="O3" s="78" t="inlineStr">
        <is>
          <t>PRODUCTION ET QUALITÉ</t>
        </is>
      </c>
      <c r="P3" s="79" t="n"/>
      <c r="Q3" s="79" t="n"/>
      <c r="R3" s="79" t="n"/>
      <c r="S3" s="79" t="n"/>
      <c r="T3" s="79" t="n"/>
      <c r="U3" s="80" t="inlineStr">
        <is>
          <t>RESSOURCES ET SÉCURITÉ</t>
        </is>
      </c>
      <c r="V3" s="81" t="n"/>
      <c r="W3" s="81" t="n"/>
      <c r="X3" s="81" t="n"/>
      <c r="Y3" s="81" t="n"/>
      <c r="Z3" s="82" t="inlineStr">
        <is>
          <t>ANALYSE DE L'ÉCART</t>
        </is>
      </c>
      <c r="AA3" s="83" t="n"/>
      <c r="AB3" s="84" t="inlineStr">
        <is>
          <t>INDICATEURS CALCULÉS  —  ne rien saisir</t>
        </is>
      </c>
      <c r="AC3" s="85" t="n"/>
      <c r="AD3" s="85" t="n"/>
      <c r="AE3" s="85" t="n"/>
      <c r="AF3" s="85" t="n"/>
      <c r="AG3" s="85" t="n"/>
      <c r="AH3" s="85" t="n"/>
      <c r="AI3" s="85" t="n"/>
      <c r="AJ3" s="85" t="n"/>
      <c r="AK3" s="85" t="n"/>
      <c r="AL3" s="85" t="n"/>
      <c r="AM3" s="85" t="n"/>
      <c r="AN3" s="85" t="n"/>
      <c r="AO3" s="85" t="n"/>
      <c r="AP3" s="85" t="n"/>
      <c r="AQ3" s="85" t="n"/>
      <c r="AR3" s="85" t="n"/>
      <c r="AS3" s="85" t="n"/>
    </row>
    <row r="4" ht="42" customHeight="1">
      <c r="A4" s="6" t="inlineStr">
        <is>
          <t>Date</t>
        </is>
      </c>
      <c r="B4" s="6" t="inlineStr">
        <is>
          <t>Équipe</t>
        </is>
      </c>
      <c r="C4" s="6" t="inlineStr">
        <is>
          <t>Ligne / ressource</t>
        </is>
      </c>
      <c r="D4" s="6" t="inlineStr">
        <is>
          <t>N° d'OF / lot</t>
        </is>
      </c>
      <c r="E4" s="6" t="inlineStr">
        <is>
          <t>Référence produit</t>
        </is>
      </c>
      <c r="F4" s="6" t="inlineStr">
        <is>
          <t>Temps d'ouverture
TO (min)</t>
        </is>
      </c>
      <c r="G4" s="6" t="inlineStr">
        <is>
          <t>Arrêts planifiés
(min)</t>
        </is>
      </c>
      <c r="H4" s="6" t="inlineStr">
        <is>
          <t>Pannes
(min)</t>
        </is>
      </c>
      <c r="I4" s="6" t="inlineStr">
        <is>
          <t>Changement
de série (min)</t>
        </is>
      </c>
      <c r="J4" s="6" t="inlineStr">
        <is>
          <t>Réglages et
micro-arrêts (min)</t>
        </is>
      </c>
      <c r="K4" s="6" t="inlineStr">
        <is>
          <t>Manque
matière (min)</t>
        </is>
      </c>
      <c r="L4" s="6" t="inlineStr">
        <is>
          <t>Manque
personnel (min)</t>
        </is>
      </c>
      <c r="M4" s="6" t="inlineStr">
        <is>
          <t>Autres arrêts
subis (min)</t>
        </is>
      </c>
      <c r="N4" s="6" t="inlineStr">
        <is>
          <t>Nombre de
pannes</t>
        </is>
      </c>
      <c r="O4" s="86" t="inlineStr">
        <is>
          <t>Cadence nominale
(pcs/min)</t>
        </is>
      </c>
      <c r="P4" s="6" t="inlineStr">
        <is>
          <t>Qté produite</t>
        </is>
      </c>
      <c r="Q4" s="6" t="inlineStr">
        <is>
          <t>Qté conforme
1er passage</t>
        </is>
      </c>
      <c r="R4" s="6" t="inlineStr">
        <is>
          <t>Qté retouchée</t>
        </is>
      </c>
      <c r="S4" s="6" t="inlineStr">
        <is>
          <t>Qté rebutée</t>
        </is>
      </c>
      <c r="T4" s="6" t="inlineStr">
        <is>
          <t>Qté demandée
(programme)</t>
        </is>
      </c>
      <c r="U4" s="6" t="inlineStr">
        <is>
          <t>Effectif
prévu</t>
        </is>
      </c>
      <c r="V4" s="6" t="inlineStr">
        <is>
          <t>Effectif
présent</t>
        </is>
      </c>
      <c r="W4" s="6" t="inlineStr">
        <is>
          <t>Heures
supp.</t>
        </is>
      </c>
      <c r="X4" s="6" t="inlineStr">
        <is>
          <t>Accidents
avec arrêt</t>
        </is>
      </c>
      <c r="Y4" s="6" t="inlineStr">
        <is>
          <t>Presqu'accidents
et situations dang.</t>
        </is>
      </c>
      <c r="Z4" s="6" t="inlineStr">
        <is>
          <t>Code arrêt
principal</t>
        </is>
      </c>
      <c r="AA4" s="6" t="inlineStr">
        <is>
          <t>Problème principal du poste</t>
        </is>
      </c>
      <c r="AB4" s="86" t="inlineStr">
        <is>
          <t>Temps requis
TR (min)</t>
        </is>
      </c>
      <c r="AC4" s="86" t="inlineStr">
        <is>
          <t>Arrêts subis
(min)</t>
        </is>
      </c>
      <c r="AD4" s="86" t="inlineStr">
        <is>
          <t>Temps de marche
TF (min)</t>
        </is>
      </c>
      <c r="AE4" s="86" t="inlineStr">
        <is>
          <t>Temps utile
TU (min)</t>
        </is>
      </c>
      <c r="AF4" s="86" t="inlineStr">
        <is>
          <t>Disponibilité</t>
        </is>
      </c>
      <c r="AG4" s="86" t="inlineStr">
        <is>
          <t>Performance</t>
        </is>
      </c>
      <c r="AH4" s="86" t="inlineStr">
        <is>
          <t>Qualité RFT</t>
        </is>
      </c>
      <c r="AI4" s="86" t="inlineStr">
        <is>
          <t>TRS</t>
        </is>
      </c>
      <c r="AJ4" s="86" t="inlineStr">
        <is>
          <t>TRG</t>
        </is>
      </c>
      <c r="AK4" s="86" t="inlineStr">
        <is>
          <t>MTBF (min)</t>
        </is>
      </c>
      <c r="AL4" s="86" t="inlineStr">
        <is>
          <t>MTTR (min)</t>
        </is>
      </c>
      <c r="AM4" s="86" t="inlineStr">
        <is>
          <t>Non-conformités
(ppm)</t>
        </is>
      </c>
      <c r="AN4" s="86" t="inlineStr">
        <is>
          <t>Taux de service</t>
        </is>
      </c>
      <c r="AO4" s="86" t="inlineStr">
        <is>
          <t>Taux de présence</t>
        </is>
      </c>
      <c r="AP4" s="86" t="inlineStr">
        <is>
          <t>Perte de cadence
(min)</t>
        </is>
      </c>
      <c r="AQ4" s="86" t="inlineStr">
        <is>
          <t>Perte non-qualité
(min)</t>
        </is>
      </c>
      <c r="AR4" s="86" t="inlineStr">
        <is>
          <t>Contrôle de cohérence</t>
        </is>
      </c>
      <c r="AS4" s="86" t="inlineStr">
        <is>
          <t>Filtre cockpit</t>
        </is>
      </c>
    </row>
    <row r="5" ht="15" customHeight="1">
      <c r="A5" s="87" t="n">
        <v>46024</v>
      </c>
      <c r="B5" s="88" t="inlineStr">
        <is>
          <t>Équipe A (matin)</t>
        </is>
      </c>
      <c r="C5" s="88" t="inlineStr">
        <is>
          <t>Ligne 1 - Assemblage</t>
        </is>
      </c>
      <c r="D5" s="88" t="inlineStr">
        <is>
          <t>OF-01001</t>
        </is>
      </c>
      <c r="E5" s="88" t="inlineStr">
        <is>
          <t>REF-1001</t>
        </is>
      </c>
      <c r="F5" s="89" t="n">
        <v>480</v>
      </c>
      <c r="G5" s="89" t="n">
        <v>40</v>
      </c>
      <c r="H5" s="89" t="n">
        <v>49</v>
      </c>
      <c r="I5" s="89" t="n">
        <v>32</v>
      </c>
      <c r="J5" s="89" t="n">
        <v>0</v>
      </c>
      <c r="K5" s="89" t="n">
        <v>0</v>
      </c>
      <c r="L5" s="89" t="n">
        <v>0</v>
      </c>
      <c r="M5" s="89" t="n">
        <v>0</v>
      </c>
      <c r="N5" s="89" t="n">
        <v>1</v>
      </c>
      <c r="O5" s="90">
        <f>IF($E5="","",IFERROR(INDEX(PARAMETRES!$O$7:$O$36,MATCH($E5,PARAMETRES!$M$7:$M$36,0)),""))</f>
        <v/>
      </c>
      <c r="P5" s="89" t="n">
        <v>4631</v>
      </c>
      <c r="Q5" s="89" t="n">
        <v>4547</v>
      </c>
      <c r="R5" s="89" t="n">
        <v>37</v>
      </c>
      <c r="S5" s="89" t="n">
        <v>47</v>
      </c>
      <c r="T5" s="89" t="n">
        <v>4982</v>
      </c>
      <c r="U5" s="91" t="n">
        <v>12</v>
      </c>
      <c r="V5" s="91" t="n">
        <v>11</v>
      </c>
      <c r="W5" s="91" t="n">
        <v>4</v>
      </c>
      <c r="X5" s="89" t="n">
        <v>0</v>
      </c>
      <c r="Y5" s="89" t="n">
        <v>1</v>
      </c>
      <c r="Z5" s="88" t="inlineStr">
        <is>
          <t>PAN-01</t>
        </is>
      </c>
      <c r="AA5" s="88" t="inlineStr">
        <is>
          <t>Panne mécanique — Assemblage</t>
        </is>
      </c>
      <c r="AB5" s="92">
        <f>IF($A5="","",MAX(0,$F5-$G5))</f>
        <v/>
      </c>
      <c r="AC5" s="92">
        <f>IF($A5="","",SUM($H5:$M5))</f>
        <v/>
      </c>
      <c r="AD5" s="92">
        <f>IF($A5="","",MAX(0,$AB5-$AC5))</f>
        <v/>
      </c>
      <c r="AE5" s="92">
        <f>IF($A5="","",IFERROR($Q5/$O5,""))</f>
        <v/>
      </c>
      <c r="AF5" s="93">
        <f>IF($A5="","",IFERROR($AD5/$AB5,""))</f>
        <v/>
      </c>
      <c r="AG5" s="93">
        <f>IF($A5="","",IFERROR(($P5/$O5)/$AD5,""))</f>
        <v/>
      </c>
      <c r="AH5" s="93">
        <f>IF($A5="","",IFERROR($Q5/$P5,""))</f>
        <v/>
      </c>
      <c r="AI5" s="93">
        <f>IF($A5="","",IFERROR($AF5*$AG5*$AH5,""))</f>
        <v/>
      </c>
      <c r="AJ5" s="93">
        <f>IF($A5="","",IFERROR($AE5/$F5,""))</f>
        <v/>
      </c>
      <c r="AK5" s="92">
        <f>IF($A5="","",IFERROR($AD5/$N5,""))</f>
        <v/>
      </c>
      <c r="AL5" s="92">
        <f>IF($A5="","",IFERROR($H5/$N5,""))</f>
        <v/>
      </c>
      <c r="AM5" s="92">
        <f>IF($A5="","",IFERROR(($P5-$Q5)/$P5*1000000,""))</f>
        <v/>
      </c>
      <c r="AN5" s="93">
        <f>IF($A5="","",IFERROR(($Q5+$R5)/$T5,""))</f>
        <v/>
      </c>
      <c r="AO5" s="93">
        <f>IF($A5="","",IFERROR($V5/$U5,""))</f>
        <v/>
      </c>
      <c r="AP5" s="92">
        <f>IF($A5="","",IFERROR(MAX(0,$AD5-$P5/$O5),""))</f>
        <v/>
      </c>
      <c r="AQ5" s="92">
        <f>IF($A5="","",IFERROR(($P5-$Q5)/$O5,""))</f>
        <v/>
      </c>
      <c r="AR5" s="94">
        <f>IF($A5="","",IF($F5="","Temps d'ouverture manquant",IF($O5="","Cadence produit inconnue",IF($G5&gt;$F5,"Arrêts planifiés &gt; temps d'ouverture",IF($AC5&gt;$AB5,"Arrêts subis &gt; temps requis",IF($P5&lt;&gt;$Q5+$R5+$S5,"Produite ≠ conforme + retouchée + rebutée",IF($Q5&gt;$P5,"Conforme &gt; produite",IF($V5&gt;$U5,"Présents &gt; prévus","OK"))))))))</f>
        <v/>
      </c>
      <c r="AS5" s="95">
        <f>IF($A5="",0,IF(AND(OR(COCKPIT!$H$4="Toutes",$C5=COCKPIT!$H$4),OR(COCKPIT!$K$4="Toutes",$B5=COCKPIT!$K$4)),1,0))</f>
        <v/>
      </c>
    </row>
    <row r="6" ht="15" customHeight="1">
      <c r="A6" s="87" t="n">
        <v>46024</v>
      </c>
      <c r="B6" s="88" t="inlineStr">
        <is>
          <t>Équipe B (après-midi)</t>
        </is>
      </c>
      <c r="C6" s="88" t="inlineStr">
        <is>
          <t>Ligne 2 - Usinage</t>
        </is>
      </c>
      <c r="D6" s="88" t="inlineStr">
        <is>
          <t>OF-01002</t>
        </is>
      </c>
      <c r="E6" s="88" t="inlineStr">
        <is>
          <t>REF-2001</t>
        </is>
      </c>
      <c r="F6" s="89" t="n">
        <v>480</v>
      </c>
      <c r="G6" s="89" t="n">
        <v>40</v>
      </c>
      <c r="H6" s="89" t="n">
        <v>0</v>
      </c>
      <c r="I6" s="89" t="n">
        <v>0</v>
      </c>
      <c r="J6" s="89" t="n">
        <v>14</v>
      </c>
      <c r="K6" s="89" t="n">
        <v>10</v>
      </c>
      <c r="L6" s="89" t="n">
        <v>0</v>
      </c>
      <c r="M6" s="89" t="n">
        <v>17</v>
      </c>
      <c r="N6" s="89" t="n">
        <v>0</v>
      </c>
      <c r="O6" s="90">
        <f>IF($E6="","",IFERROR(INDEX(PARAMETRES!$O$7:$O$36,MATCH($E6,PARAMETRES!$M$7:$M$36,0)),""))</f>
        <v/>
      </c>
      <c r="P6" s="89" t="n">
        <v>3339</v>
      </c>
      <c r="Q6" s="89" t="n">
        <v>3288</v>
      </c>
      <c r="R6" s="89" t="n">
        <v>22</v>
      </c>
      <c r="S6" s="89" t="n">
        <v>29</v>
      </c>
      <c r="T6" s="89" t="n">
        <v>3559</v>
      </c>
      <c r="U6" s="91" t="n">
        <v>8</v>
      </c>
      <c r="V6" s="91" t="n">
        <v>8</v>
      </c>
      <c r="W6" s="91" t="n">
        <v>0</v>
      </c>
      <c r="X6" s="89" t="n">
        <v>0</v>
      </c>
      <c r="Y6" s="89" t="n">
        <v>0</v>
      </c>
      <c r="Z6" s="88" t="inlineStr">
        <is>
          <t>LOG-01</t>
        </is>
      </c>
      <c r="AA6" s="88" t="inlineStr">
        <is>
          <t>Attente cariste / évacuation en-cours — Usinage</t>
        </is>
      </c>
      <c r="AB6" s="92">
        <f>IF($A6="","",MAX(0,$F6-$G6))</f>
        <v/>
      </c>
      <c r="AC6" s="92">
        <f>IF($A6="","",SUM($H6:$M6))</f>
        <v/>
      </c>
      <c r="AD6" s="92">
        <f>IF($A6="","",MAX(0,$AB6-$AC6))</f>
        <v/>
      </c>
      <c r="AE6" s="92">
        <f>IF($A6="","",IFERROR($Q6/$O6,""))</f>
        <v/>
      </c>
      <c r="AF6" s="93">
        <f>IF($A6="","",IFERROR($AD6/$AB6,""))</f>
        <v/>
      </c>
      <c r="AG6" s="93">
        <f>IF($A6="","",IFERROR(($P6/$O6)/$AD6,""))</f>
        <v/>
      </c>
      <c r="AH6" s="93">
        <f>IF($A6="","",IFERROR($Q6/$P6,""))</f>
        <v/>
      </c>
      <c r="AI6" s="93">
        <f>IF($A6="","",IFERROR($AF6*$AG6*$AH6,""))</f>
        <v/>
      </c>
      <c r="AJ6" s="93">
        <f>IF($A6="","",IFERROR($AE6/$F6,""))</f>
        <v/>
      </c>
      <c r="AK6" s="92">
        <f>IF($A6="","",IFERROR($AD6/$N6,""))</f>
        <v/>
      </c>
      <c r="AL6" s="92">
        <f>IF($A6="","",IFERROR($H6/$N6,""))</f>
        <v/>
      </c>
      <c r="AM6" s="92">
        <f>IF($A6="","",IFERROR(($P6-$Q6)/$P6*1000000,""))</f>
        <v/>
      </c>
      <c r="AN6" s="93">
        <f>IF($A6="","",IFERROR(($Q6+$R6)/$T6,""))</f>
        <v/>
      </c>
      <c r="AO6" s="93">
        <f>IF($A6="","",IFERROR($V6/$U6,""))</f>
        <v/>
      </c>
      <c r="AP6" s="92">
        <f>IF($A6="","",IFERROR(MAX(0,$AD6-$P6/$O6),""))</f>
        <v/>
      </c>
      <c r="AQ6" s="92">
        <f>IF($A6="","",IFERROR(($P6-$Q6)/$O6,""))</f>
        <v/>
      </c>
      <c r="AR6" s="94">
        <f>IF($A6="","",IF($F6="","Temps d'ouverture manquant",IF($O6="","Cadence produit inconnue",IF($G6&gt;$F6,"Arrêts planifiés &gt; temps d'ouverture",IF($AC6&gt;$AB6,"Arrêts subis &gt; temps requis",IF($P6&lt;&gt;$Q6+$R6+$S6,"Produite ≠ conforme + retouchée + rebutée",IF($Q6&gt;$P6,"Conforme &gt; produite",IF($V6&gt;$U6,"Présents &gt; prévus","OK"))))))))</f>
        <v/>
      </c>
      <c r="AS6" s="95">
        <f>IF($A6="",0,IF(AND(OR(COCKPIT!$H$4="Toutes",$C6=COCKPIT!$H$4),OR(COCKPIT!$K$4="Toutes",$B6=COCKPIT!$K$4)),1,0))</f>
        <v/>
      </c>
    </row>
    <row r="7" ht="15" customHeight="1">
      <c r="A7" s="87" t="n">
        <v>46027</v>
      </c>
      <c r="B7" s="88" t="inlineStr">
        <is>
          <t>Équipe B (après-midi)</t>
        </is>
      </c>
      <c r="C7" s="88" t="inlineStr">
        <is>
          <t>Ligne 1 - Assemblage</t>
        </is>
      </c>
      <c r="D7" s="88" t="inlineStr">
        <is>
          <t>OF-01003</t>
        </is>
      </c>
      <c r="E7" s="88" t="inlineStr">
        <is>
          <t>REF-1002</t>
        </is>
      </c>
      <c r="F7" s="89" t="n">
        <v>480</v>
      </c>
      <c r="G7" s="89" t="n">
        <v>40</v>
      </c>
      <c r="H7" s="89" t="n">
        <v>53</v>
      </c>
      <c r="I7" s="89" t="n">
        <v>0</v>
      </c>
      <c r="J7" s="89" t="n">
        <v>13</v>
      </c>
      <c r="K7" s="89" t="n">
        <v>19</v>
      </c>
      <c r="L7" s="89" t="n">
        <v>29</v>
      </c>
      <c r="M7" s="89" t="n">
        <v>15</v>
      </c>
      <c r="N7" s="89" t="n">
        <v>1</v>
      </c>
      <c r="O7" s="90">
        <f>IF($E7="","",IFERROR(INDEX(PARAMETRES!$O$7:$O$36,MATCH($E7,PARAMETRES!$M$7:$M$36,0)),""))</f>
        <v/>
      </c>
      <c r="P7" s="89" t="n">
        <v>3421</v>
      </c>
      <c r="Q7" s="89" t="n">
        <v>3376</v>
      </c>
      <c r="R7" s="89" t="n">
        <v>20</v>
      </c>
      <c r="S7" s="89" t="n">
        <v>25</v>
      </c>
      <c r="T7" s="89" t="n">
        <v>3430</v>
      </c>
      <c r="U7" s="91" t="n">
        <v>12</v>
      </c>
      <c r="V7" s="91" t="n">
        <v>12</v>
      </c>
      <c r="W7" s="91" t="n">
        <v>0</v>
      </c>
      <c r="X7" s="89" t="n">
        <v>0</v>
      </c>
      <c r="Y7" s="89" t="n">
        <v>0</v>
      </c>
      <c r="Z7" s="88" t="inlineStr">
        <is>
          <t>PAN-03</t>
        </is>
      </c>
      <c r="AA7" s="88" t="inlineStr">
        <is>
          <t>Défaut automatisme / supervision — Assemblage</t>
        </is>
      </c>
      <c r="AB7" s="92">
        <f>IF($A7="","",MAX(0,$F7-$G7))</f>
        <v/>
      </c>
      <c r="AC7" s="92">
        <f>IF($A7="","",SUM($H7:$M7))</f>
        <v/>
      </c>
      <c r="AD7" s="92">
        <f>IF($A7="","",MAX(0,$AB7-$AC7))</f>
        <v/>
      </c>
      <c r="AE7" s="92">
        <f>IF($A7="","",IFERROR($Q7/$O7,""))</f>
        <v/>
      </c>
      <c r="AF7" s="93">
        <f>IF($A7="","",IFERROR($AD7/$AB7,""))</f>
        <v/>
      </c>
      <c r="AG7" s="93">
        <f>IF($A7="","",IFERROR(($P7/$O7)/$AD7,""))</f>
        <v/>
      </c>
      <c r="AH7" s="93">
        <f>IF($A7="","",IFERROR($Q7/$P7,""))</f>
        <v/>
      </c>
      <c r="AI7" s="93">
        <f>IF($A7="","",IFERROR($AF7*$AG7*$AH7,""))</f>
        <v/>
      </c>
      <c r="AJ7" s="93">
        <f>IF($A7="","",IFERROR($AE7/$F7,""))</f>
        <v/>
      </c>
      <c r="AK7" s="92">
        <f>IF($A7="","",IFERROR($AD7/$N7,""))</f>
        <v/>
      </c>
      <c r="AL7" s="92">
        <f>IF($A7="","",IFERROR($H7/$N7,""))</f>
        <v/>
      </c>
      <c r="AM7" s="92">
        <f>IF($A7="","",IFERROR(($P7-$Q7)/$P7*1000000,""))</f>
        <v/>
      </c>
      <c r="AN7" s="93">
        <f>IF($A7="","",IFERROR(($Q7+$R7)/$T7,""))</f>
        <v/>
      </c>
      <c r="AO7" s="93">
        <f>IF($A7="","",IFERROR($V7/$U7,""))</f>
        <v/>
      </c>
      <c r="AP7" s="92">
        <f>IF($A7="","",IFERROR(MAX(0,$AD7-$P7/$O7),""))</f>
        <v/>
      </c>
      <c r="AQ7" s="92">
        <f>IF($A7="","",IFERROR(($P7-$Q7)/$O7,""))</f>
        <v/>
      </c>
      <c r="AR7" s="94">
        <f>IF($A7="","",IF($F7="","Temps d'ouverture manquant",IF($O7="","Cadence produit inconnue",IF($G7&gt;$F7,"Arrêts planifiés &gt; temps d'ouverture",IF($AC7&gt;$AB7,"Arrêts subis &gt; temps requis",IF($P7&lt;&gt;$Q7+$R7+$S7,"Produite ≠ conforme + retouchée + rebutée",IF($Q7&gt;$P7,"Conforme &gt; produite",IF($V7&gt;$U7,"Présents &gt; prévus","OK"))))))))</f>
        <v/>
      </c>
      <c r="AS7" s="95">
        <f>IF($A7="",0,IF(AND(OR(COCKPIT!$H$4="Toutes",$C7=COCKPIT!$H$4),OR(COCKPIT!$K$4="Toutes",$B7=COCKPIT!$K$4)),1,0))</f>
        <v/>
      </c>
    </row>
    <row r="8" ht="15" customHeight="1">
      <c r="A8" s="87" t="n">
        <v>46027</v>
      </c>
      <c r="B8" s="88" t="inlineStr">
        <is>
          <t>Équipe A (matin)</t>
        </is>
      </c>
      <c r="C8" s="88" t="inlineStr">
        <is>
          <t>Ligne 2 - Usinage</t>
        </is>
      </c>
      <c r="D8" s="88" t="inlineStr">
        <is>
          <t>OF-01004</t>
        </is>
      </c>
      <c r="E8" s="88" t="inlineStr">
        <is>
          <t>REF-2002</t>
        </is>
      </c>
      <c r="F8" s="89" t="n">
        <v>480</v>
      </c>
      <c r="G8" s="89" t="n">
        <v>40</v>
      </c>
      <c r="H8" s="89" t="n">
        <v>29</v>
      </c>
      <c r="I8" s="89" t="n">
        <v>0</v>
      </c>
      <c r="J8" s="89" t="n">
        <v>0</v>
      </c>
      <c r="K8" s="89" t="n">
        <v>0</v>
      </c>
      <c r="L8" s="89" t="n">
        <v>0</v>
      </c>
      <c r="M8" s="89" t="n">
        <v>9</v>
      </c>
      <c r="N8" s="89" t="n">
        <v>1</v>
      </c>
      <c r="O8" s="90">
        <f>IF($E8="","",IFERROR(INDEX(PARAMETRES!$O$7:$O$36,MATCH($E8,PARAMETRES!$M$7:$M$36,0)),""))</f>
        <v/>
      </c>
      <c r="P8" s="89" t="n">
        <v>2864</v>
      </c>
      <c r="Q8" s="89" t="n">
        <v>2835</v>
      </c>
      <c r="R8" s="89" t="n">
        <v>13</v>
      </c>
      <c r="S8" s="89" t="n">
        <v>16</v>
      </c>
      <c r="T8" s="89" t="n">
        <v>2848</v>
      </c>
      <c r="U8" s="91" t="n">
        <v>8</v>
      </c>
      <c r="V8" s="91" t="n">
        <v>8</v>
      </c>
      <c r="W8" s="91" t="n">
        <v>0</v>
      </c>
      <c r="X8" s="89" t="n">
        <v>0</v>
      </c>
      <c r="Y8" s="89" t="n">
        <v>0</v>
      </c>
      <c r="Z8" s="88" t="inlineStr">
        <is>
          <t>PAN-02</t>
        </is>
      </c>
      <c r="AA8" s="88" t="inlineStr">
        <is>
          <t>Panne électrique ou capteur — Usinage</t>
        </is>
      </c>
      <c r="AB8" s="92">
        <f>IF($A8="","",MAX(0,$F8-$G8))</f>
        <v/>
      </c>
      <c r="AC8" s="92">
        <f>IF($A8="","",SUM($H8:$M8))</f>
        <v/>
      </c>
      <c r="AD8" s="92">
        <f>IF($A8="","",MAX(0,$AB8-$AC8))</f>
        <v/>
      </c>
      <c r="AE8" s="92">
        <f>IF($A8="","",IFERROR($Q8/$O8,""))</f>
        <v/>
      </c>
      <c r="AF8" s="93">
        <f>IF($A8="","",IFERROR($AD8/$AB8,""))</f>
        <v/>
      </c>
      <c r="AG8" s="93">
        <f>IF($A8="","",IFERROR(($P8/$O8)/$AD8,""))</f>
        <v/>
      </c>
      <c r="AH8" s="93">
        <f>IF($A8="","",IFERROR($Q8/$P8,""))</f>
        <v/>
      </c>
      <c r="AI8" s="93">
        <f>IF($A8="","",IFERROR($AF8*$AG8*$AH8,""))</f>
        <v/>
      </c>
      <c r="AJ8" s="93">
        <f>IF($A8="","",IFERROR($AE8/$F8,""))</f>
        <v/>
      </c>
      <c r="AK8" s="92">
        <f>IF($A8="","",IFERROR($AD8/$N8,""))</f>
        <v/>
      </c>
      <c r="AL8" s="92">
        <f>IF($A8="","",IFERROR($H8/$N8,""))</f>
        <v/>
      </c>
      <c r="AM8" s="92">
        <f>IF($A8="","",IFERROR(($P8-$Q8)/$P8*1000000,""))</f>
        <v/>
      </c>
      <c r="AN8" s="93">
        <f>IF($A8="","",IFERROR(($Q8+$R8)/$T8,""))</f>
        <v/>
      </c>
      <c r="AO8" s="93">
        <f>IF($A8="","",IFERROR($V8/$U8,""))</f>
        <v/>
      </c>
      <c r="AP8" s="92">
        <f>IF($A8="","",IFERROR(MAX(0,$AD8-$P8/$O8),""))</f>
        <v/>
      </c>
      <c r="AQ8" s="92">
        <f>IF($A8="","",IFERROR(($P8-$Q8)/$O8,""))</f>
        <v/>
      </c>
      <c r="AR8" s="94">
        <f>IF($A8="","",IF($F8="","Temps d'ouverture manquant",IF($O8="","Cadence produit inconnue",IF($G8&gt;$F8,"Arrêts planifiés &gt; temps d'ouverture",IF($AC8&gt;$AB8,"Arrêts subis &gt; temps requis",IF($P8&lt;&gt;$Q8+$R8+$S8,"Produite ≠ conforme + retouchée + rebutée",IF($Q8&gt;$P8,"Conforme &gt; produite",IF($V8&gt;$U8,"Présents &gt; prévus","OK"))))))))</f>
        <v/>
      </c>
      <c r="AS8" s="95">
        <f>IF($A8="",0,IF(AND(OR(COCKPIT!$H$4="Toutes",$C8=COCKPIT!$H$4),OR(COCKPIT!$K$4="Toutes",$B8=COCKPIT!$K$4)),1,0))</f>
        <v/>
      </c>
    </row>
    <row r="9" ht="15" customHeight="1">
      <c r="A9" s="87" t="n">
        <v>46028</v>
      </c>
      <c r="B9" s="88" t="inlineStr">
        <is>
          <t>Équipe A (matin)</t>
        </is>
      </c>
      <c r="C9" s="88" t="inlineStr">
        <is>
          <t>Ligne 1 - Assemblage</t>
        </is>
      </c>
      <c r="D9" s="88" t="inlineStr">
        <is>
          <t>OF-01005</t>
        </is>
      </c>
      <c r="E9" s="88" t="inlineStr">
        <is>
          <t>REF-1001</t>
        </is>
      </c>
      <c r="F9" s="89" t="n">
        <v>480</v>
      </c>
      <c r="G9" s="89" t="n">
        <v>100</v>
      </c>
      <c r="H9" s="89" t="n">
        <v>26</v>
      </c>
      <c r="I9" s="89" t="n">
        <v>18</v>
      </c>
      <c r="J9" s="89" t="n">
        <v>14</v>
      </c>
      <c r="K9" s="89" t="n">
        <v>0</v>
      </c>
      <c r="L9" s="89" t="n">
        <v>15</v>
      </c>
      <c r="M9" s="89" t="n">
        <v>0</v>
      </c>
      <c r="N9" s="89" t="n">
        <v>1</v>
      </c>
      <c r="O9" s="90">
        <f>IF($E9="","",IFERROR(INDEX(PARAMETRES!$O$7:$O$36,MATCH($E9,PARAMETRES!$M$7:$M$36,0)),""))</f>
        <v/>
      </c>
      <c r="P9" s="89" t="n">
        <v>4144</v>
      </c>
      <c r="Q9" s="89" t="n">
        <v>4110</v>
      </c>
      <c r="R9" s="89" t="n">
        <v>15</v>
      </c>
      <c r="S9" s="89" t="n">
        <v>19</v>
      </c>
      <c r="T9" s="89" t="n">
        <v>4252</v>
      </c>
      <c r="U9" s="91" t="n">
        <v>12</v>
      </c>
      <c r="V9" s="91" t="n">
        <v>12</v>
      </c>
      <c r="W9" s="91" t="n">
        <v>0</v>
      </c>
      <c r="X9" s="89" t="n">
        <v>0</v>
      </c>
      <c r="Y9" s="89" t="n">
        <v>0</v>
      </c>
      <c r="Z9" s="88" t="inlineStr">
        <is>
          <t>PAN-01</t>
        </is>
      </c>
      <c r="AA9" s="88" t="inlineStr">
        <is>
          <t>Panne mécanique — Assemblage</t>
        </is>
      </c>
      <c r="AB9" s="92">
        <f>IF($A9="","",MAX(0,$F9-$G9))</f>
        <v/>
      </c>
      <c r="AC9" s="92">
        <f>IF($A9="","",SUM($H9:$M9))</f>
        <v/>
      </c>
      <c r="AD9" s="92">
        <f>IF($A9="","",MAX(0,$AB9-$AC9))</f>
        <v/>
      </c>
      <c r="AE9" s="92">
        <f>IF($A9="","",IFERROR($Q9/$O9,""))</f>
        <v/>
      </c>
      <c r="AF9" s="93">
        <f>IF($A9="","",IFERROR($AD9/$AB9,""))</f>
        <v/>
      </c>
      <c r="AG9" s="93">
        <f>IF($A9="","",IFERROR(($P9/$O9)/$AD9,""))</f>
        <v/>
      </c>
      <c r="AH9" s="93">
        <f>IF($A9="","",IFERROR($Q9/$P9,""))</f>
        <v/>
      </c>
      <c r="AI9" s="93">
        <f>IF($A9="","",IFERROR($AF9*$AG9*$AH9,""))</f>
        <v/>
      </c>
      <c r="AJ9" s="93">
        <f>IF($A9="","",IFERROR($AE9/$F9,""))</f>
        <v/>
      </c>
      <c r="AK9" s="92">
        <f>IF($A9="","",IFERROR($AD9/$N9,""))</f>
        <v/>
      </c>
      <c r="AL9" s="92">
        <f>IF($A9="","",IFERROR($H9/$N9,""))</f>
        <v/>
      </c>
      <c r="AM9" s="92">
        <f>IF($A9="","",IFERROR(($P9-$Q9)/$P9*1000000,""))</f>
        <v/>
      </c>
      <c r="AN9" s="93">
        <f>IF($A9="","",IFERROR(($Q9+$R9)/$T9,""))</f>
        <v/>
      </c>
      <c r="AO9" s="93">
        <f>IF($A9="","",IFERROR($V9/$U9,""))</f>
        <v/>
      </c>
      <c r="AP9" s="92">
        <f>IF($A9="","",IFERROR(MAX(0,$AD9-$P9/$O9),""))</f>
        <v/>
      </c>
      <c r="AQ9" s="92">
        <f>IF($A9="","",IFERROR(($P9-$Q9)/$O9,""))</f>
        <v/>
      </c>
      <c r="AR9" s="94">
        <f>IF($A9="","",IF($F9="","Temps d'ouverture manquant",IF($O9="","Cadence produit inconnue",IF($G9&gt;$F9,"Arrêts planifiés &gt; temps d'ouverture",IF($AC9&gt;$AB9,"Arrêts subis &gt; temps requis",IF($P9&lt;&gt;$Q9+$R9+$S9,"Produite ≠ conforme + retouchée + rebutée",IF($Q9&gt;$P9,"Conforme &gt; produite",IF($V9&gt;$U9,"Présents &gt; prévus","OK"))))))))</f>
        <v/>
      </c>
      <c r="AS9" s="95">
        <f>IF($A9="",0,IF(AND(OR(COCKPIT!$H$4="Toutes",$C9=COCKPIT!$H$4),OR(COCKPIT!$K$4="Toutes",$B9=COCKPIT!$K$4)),1,0))</f>
        <v/>
      </c>
    </row>
    <row r="10" ht="15" customHeight="1">
      <c r="A10" s="87" t="n">
        <v>46028</v>
      </c>
      <c r="B10" s="88" t="inlineStr">
        <is>
          <t>Équipe B (après-midi)</t>
        </is>
      </c>
      <c r="C10" s="88" t="inlineStr">
        <is>
          <t>Ligne 2 - Usinage</t>
        </is>
      </c>
      <c r="D10" s="88" t="inlineStr">
        <is>
          <t>OF-01006</t>
        </is>
      </c>
      <c r="E10" s="88" t="inlineStr">
        <is>
          <t>REF-2001</t>
        </is>
      </c>
      <c r="F10" s="89" t="n">
        <v>480</v>
      </c>
      <c r="G10" s="89" t="n">
        <v>100</v>
      </c>
      <c r="H10" s="89" t="n">
        <v>23</v>
      </c>
      <c r="I10" s="89" t="n">
        <v>35</v>
      </c>
      <c r="J10" s="89" t="n">
        <v>8</v>
      </c>
      <c r="K10" s="89" t="n">
        <v>17</v>
      </c>
      <c r="L10" s="89" t="n">
        <v>0</v>
      </c>
      <c r="M10" s="89" t="n">
        <v>9</v>
      </c>
      <c r="N10" s="89" t="n">
        <v>1</v>
      </c>
      <c r="O10" s="90">
        <f>IF($E10="","",IFERROR(INDEX(PARAMETRES!$O$7:$O$36,MATCH($E10,PARAMETRES!$M$7:$M$36,0)),""))</f>
        <v/>
      </c>
      <c r="P10" s="89" t="n">
        <v>2229</v>
      </c>
      <c r="Q10" s="89" t="n">
        <v>2217</v>
      </c>
      <c r="R10" s="89" t="n">
        <v>5</v>
      </c>
      <c r="S10" s="89" t="n">
        <v>7</v>
      </c>
      <c r="T10" s="89" t="n">
        <v>2267</v>
      </c>
      <c r="U10" s="91" t="n">
        <v>8</v>
      </c>
      <c r="V10" s="91" t="n">
        <v>7</v>
      </c>
      <c r="W10" s="91" t="n">
        <v>0</v>
      </c>
      <c r="X10" s="89" t="n">
        <v>0</v>
      </c>
      <c r="Y10" s="89" t="n">
        <v>0</v>
      </c>
      <c r="Z10" s="88" t="inlineStr">
        <is>
          <t>CDS-01</t>
        </is>
      </c>
      <c r="AA10" s="88" t="inlineStr">
        <is>
          <t>Changement de série (outillage) — Usinage</t>
        </is>
      </c>
      <c r="AB10" s="92">
        <f>IF($A10="","",MAX(0,$F10-$G10))</f>
        <v/>
      </c>
      <c r="AC10" s="92">
        <f>IF($A10="","",SUM($H10:$M10))</f>
        <v/>
      </c>
      <c r="AD10" s="92">
        <f>IF($A10="","",MAX(0,$AB10-$AC10))</f>
        <v/>
      </c>
      <c r="AE10" s="92">
        <f>IF($A10="","",IFERROR($Q10/$O10,""))</f>
        <v/>
      </c>
      <c r="AF10" s="93">
        <f>IF($A10="","",IFERROR($AD10/$AB10,""))</f>
        <v/>
      </c>
      <c r="AG10" s="93">
        <f>IF($A10="","",IFERROR(($P10/$O10)/$AD10,""))</f>
        <v/>
      </c>
      <c r="AH10" s="93">
        <f>IF($A10="","",IFERROR($Q10/$P10,""))</f>
        <v/>
      </c>
      <c r="AI10" s="93">
        <f>IF($A10="","",IFERROR($AF10*$AG10*$AH10,""))</f>
        <v/>
      </c>
      <c r="AJ10" s="93">
        <f>IF($A10="","",IFERROR($AE10/$F10,""))</f>
        <v/>
      </c>
      <c r="AK10" s="92">
        <f>IF($A10="","",IFERROR($AD10/$N10,""))</f>
        <v/>
      </c>
      <c r="AL10" s="92">
        <f>IF($A10="","",IFERROR($H10/$N10,""))</f>
        <v/>
      </c>
      <c r="AM10" s="92">
        <f>IF($A10="","",IFERROR(($P10-$Q10)/$P10*1000000,""))</f>
        <v/>
      </c>
      <c r="AN10" s="93">
        <f>IF($A10="","",IFERROR(($Q10+$R10)/$T10,""))</f>
        <v/>
      </c>
      <c r="AO10" s="93">
        <f>IF($A10="","",IFERROR($V10/$U10,""))</f>
        <v/>
      </c>
      <c r="AP10" s="92">
        <f>IF($A10="","",IFERROR(MAX(0,$AD10-$P10/$O10),""))</f>
        <v/>
      </c>
      <c r="AQ10" s="92">
        <f>IF($A10="","",IFERROR(($P10-$Q10)/$O10,""))</f>
        <v/>
      </c>
      <c r="AR10" s="94">
        <f>IF($A10="","",IF($F10="","Temps d'ouverture manquant",IF($O10="","Cadence produit inconnue",IF($G10&gt;$F10,"Arrêts planifiés &gt; temps d'ouverture",IF($AC10&gt;$AB10,"Arrêts subis &gt; temps requis",IF($P10&lt;&gt;$Q10+$R10+$S10,"Produite ≠ conforme + retouchée + rebutée",IF($Q10&gt;$P10,"Conforme &gt; produite",IF($V10&gt;$U10,"Présents &gt; prévus","OK"))))))))</f>
        <v/>
      </c>
      <c r="AS10" s="95">
        <f>IF($A10="",0,IF(AND(OR(COCKPIT!$H$4="Toutes",$C10=COCKPIT!$H$4),OR(COCKPIT!$K$4="Toutes",$B10=COCKPIT!$K$4)),1,0))</f>
        <v/>
      </c>
    </row>
    <row r="11" ht="15" customHeight="1">
      <c r="A11" s="87" t="n">
        <v>46029</v>
      </c>
      <c r="B11" s="88" t="inlineStr">
        <is>
          <t>Équipe B (après-midi)</t>
        </is>
      </c>
      <c r="C11" s="88" t="inlineStr">
        <is>
          <t>Ligne 1 - Assemblage</t>
        </is>
      </c>
      <c r="D11" s="88" t="inlineStr">
        <is>
          <t>OF-01007</t>
        </is>
      </c>
      <c r="E11" s="88" t="inlineStr">
        <is>
          <t>REF-1002</t>
        </is>
      </c>
      <c r="F11" s="89" t="n">
        <v>480</v>
      </c>
      <c r="G11" s="89" t="n">
        <v>40</v>
      </c>
      <c r="H11" s="89" t="n">
        <v>0</v>
      </c>
      <c r="I11" s="89" t="n">
        <v>0</v>
      </c>
      <c r="J11" s="89" t="n">
        <v>0</v>
      </c>
      <c r="K11" s="89" t="n">
        <v>16</v>
      </c>
      <c r="L11" s="89" t="n">
        <v>17</v>
      </c>
      <c r="M11" s="89" t="n">
        <v>9</v>
      </c>
      <c r="N11" s="89" t="n">
        <v>0</v>
      </c>
      <c r="O11" s="90">
        <f>IF($E11="","",IFERROR(INDEX(PARAMETRES!$O$7:$O$36,MATCH($E11,PARAMETRES!$M$7:$M$36,0)),""))</f>
        <v/>
      </c>
      <c r="P11" s="89" t="n">
        <v>4577</v>
      </c>
      <c r="Q11" s="89" t="n">
        <v>4499</v>
      </c>
      <c r="R11" s="89" t="n">
        <v>35</v>
      </c>
      <c r="S11" s="89" t="n">
        <v>43</v>
      </c>
      <c r="T11" s="89" t="n">
        <v>4772</v>
      </c>
      <c r="U11" s="91" t="n">
        <v>12</v>
      </c>
      <c r="V11" s="91" t="n">
        <v>12</v>
      </c>
      <c r="W11" s="91" t="n">
        <v>0</v>
      </c>
      <c r="X11" s="89" t="n">
        <v>0</v>
      </c>
      <c r="Y11" s="89" t="n">
        <v>0</v>
      </c>
      <c r="Z11" s="88" t="inlineStr">
        <is>
          <t>PER-02</t>
        </is>
      </c>
      <c r="AA11" s="88" t="inlineStr">
        <is>
          <t>Accompagnement / montée en compétence — Assemblage</t>
        </is>
      </c>
      <c r="AB11" s="92">
        <f>IF($A11="","",MAX(0,$F11-$G11))</f>
        <v/>
      </c>
      <c r="AC11" s="92">
        <f>IF($A11="","",SUM($H11:$M11))</f>
        <v/>
      </c>
      <c r="AD11" s="92">
        <f>IF($A11="","",MAX(0,$AB11-$AC11))</f>
        <v/>
      </c>
      <c r="AE11" s="92">
        <f>IF($A11="","",IFERROR($Q11/$O11,""))</f>
        <v/>
      </c>
      <c r="AF11" s="93">
        <f>IF($A11="","",IFERROR($AD11/$AB11,""))</f>
        <v/>
      </c>
      <c r="AG11" s="93">
        <f>IF($A11="","",IFERROR(($P11/$O11)/$AD11,""))</f>
        <v/>
      </c>
      <c r="AH11" s="93">
        <f>IF($A11="","",IFERROR($Q11/$P11,""))</f>
        <v/>
      </c>
      <c r="AI11" s="93">
        <f>IF($A11="","",IFERROR($AF11*$AG11*$AH11,""))</f>
        <v/>
      </c>
      <c r="AJ11" s="93">
        <f>IF($A11="","",IFERROR($AE11/$F11,""))</f>
        <v/>
      </c>
      <c r="AK11" s="92">
        <f>IF($A11="","",IFERROR($AD11/$N11,""))</f>
        <v/>
      </c>
      <c r="AL11" s="92">
        <f>IF($A11="","",IFERROR($H11/$N11,""))</f>
        <v/>
      </c>
      <c r="AM11" s="92">
        <f>IF($A11="","",IFERROR(($P11-$Q11)/$P11*1000000,""))</f>
        <v/>
      </c>
      <c r="AN11" s="93">
        <f>IF($A11="","",IFERROR(($Q11+$R11)/$T11,""))</f>
        <v/>
      </c>
      <c r="AO11" s="93">
        <f>IF($A11="","",IFERROR($V11/$U11,""))</f>
        <v/>
      </c>
      <c r="AP11" s="92">
        <f>IF($A11="","",IFERROR(MAX(0,$AD11-$P11/$O11),""))</f>
        <v/>
      </c>
      <c r="AQ11" s="92">
        <f>IF($A11="","",IFERROR(($P11-$Q11)/$O11,""))</f>
        <v/>
      </c>
      <c r="AR11" s="94">
        <f>IF($A11="","",IF($F11="","Temps d'ouverture manquant",IF($O11="","Cadence produit inconnue",IF($G11&gt;$F11,"Arrêts planifiés &gt; temps d'ouverture",IF($AC11&gt;$AB11,"Arrêts subis &gt; temps requis",IF($P11&lt;&gt;$Q11+$R11+$S11,"Produite ≠ conforme + retouchée + rebutée",IF($Q11&gt;$P11,"Conforme &gt; produite",IF($V11&gt;$U11,"Présents &gt; prévus","OK"))))))))</f>
        <v/>
      </c>
      <c r="AS11" s="95">
        <f>IF($A11="",0,IF(AND(OR(COCKPIT!$H$4="Toutes",$C11=COCKPIT!$H$4),OR(COCKPIT!$K$4="Toutes",$B11=COCKPIT!$K$4)),1,0))</f>
        <v/>
      </c>
    </row>
    <row r="12" ht="15" customHeight="1">
      <c r="A12" s="87" t="n">
        <v>46029</v>
      </c>
      <c r="B12" s="88" t="inlineStr">
        <is>
          <t>Équipe A (matin)</t>
        </is>
      </c>
      <c r="C12" s="88" t="inlineStr">
        <is>
          <t>Ligne 2 - Usinage</t>
        </is>
      </c>
      <c r="D12" s="88" t="inlineStr">
        <is>
          <t>OF-01008</t>
        </is>
      </c>
      <c r="E12" s="88" t="inlineStr">
        <is>
          <t>REF-2002</t>
        </is>
      </c>
      <c r="F12" s="89" t="n">
        <v>480</v>
      </c>
      <c r="G12" s="89" t="n">
        <v>40</v>
      </c>
      <c r="H12" s="89" t="n">
        <v>42</v>
      </c>
      <c r="I12" s="89" t="n">
        <v>17</v>
      </c>
      <c r="J12" s="89" t="n">
        <v>0</v>
      </c>
      <c r="K12" s="89" t="n">
        <v>12</v>
      </c>
      <c r="L12" s="89" t="n">
        <v>0</v>
      </c>
      <c r="M12" s="89" t="n">
        <v>9</v>
      </c>
      <c r="N12" s="89" t="n">
        <v>1</v>
      </c>
      <c r="O12" s="90">
        <f>IF($E12="","",IFERROR(INDEX(PARAMETRES!$O$7:$O$36,MATCH($E12,PARAMETRES!$M$7:$M$36,0)),""))</f>
        <v/>
      </c>
      <c r="P12" s="89" t="n">
        <v>2376</v>
      </c>
      <c r="Q12" s="89" t="n">
        <v>2342</v>
      </c>
      <c r="R12" s="89" t="n">
        <v>15</v>
      </c>
      <c r="S12" s="89" t="n">
        <v>19</v>
      </c>
      <c r="T12" s="89" t="n">
        <v>2455</v>
      </c>
      <c r="U12" s="91" t="n">
        <v>8</v>
      </c>
      <c r="V12" s="91" t="n">
        <v>8</v>
      </c>
      <c r="W12" s="91" t="n">
        <v>0</v>
      </c>
      <c r="X12" s="89" t="n">
        <v>0</v>
      </c>
      <c r="Y12" s="89" t="n">
        <v>0</v>
      </c>
      <c r="Z12" s="88" t="inlineStr">
        <is>
          <t>PAN-02</t>
        </is>
      </c>
      <c r="AA12" s="88" t="inlineStr">
        <is>
          <t>Panne électrique ou capteur — Usinage</t>
        </is>
      </c>
      <c r="AB12" s="92">
        <f>IF($A12="","",MAX(0,$F12-$G12))</f>
        <v/>
      </c>
      <c r="AC12" s="92">
        <f>IF($A12="","",SUM($H12:$M12))</f>
        <v/>
      </c>
      <c r="AD12" s="92">
        <f>IF($A12="","",MAX(0,$AB12-$AC12))</f>
        <v/>
      </c>
      <c r="AE12" s="92">
        <f>IF($A12="","",IFERROR($Q12/$O12,""))</f>
        <v/>
      </c>
      <c r="AF12" s="93">
        <f>IF($A12="","",IFERROR($AD12/$AB12,""))</f>
        <v/>
      </c>
      <c r="AG12" s="93">
        <f>IF($A12="","",IFERROR(($P12/$O12)/$AD12,""))</f>
        <v/>
      </c>
      <c r="AH12" s="93">
        <f>IF($A12="","",IFERROR($Q12/$P12,""))</f>
        <v/>
      </c>
      <c r="AI12" s="93">
        <f>IF($A12="","",IFERROR($AF12*$AG12*$AH12,""))</f>
        <v/>
      </c>
      <c r="AJ12" s="93">
        <f>IF($A12="","",IFERROR($AE12/$F12,""))</f>
        <v/>
      </c>
      <c r="AK12" s="92">
        <f>IF($A12="","",IFERROR($AD12/$N12,""))</f>
        <v/>
      </c>
      <c r="AL12" s="92">
        <f>IF($A12="","",IFERROR($H12/$N12,""))</f>
        <v/>
      </c>
      <c r="AM12" s="92">
        <f>IF($A12="","",IFERROR(($P12-$Q12)/$P12*1000000,""))</f>
        <v/>
      </c>
      <c r="AN12" s="93">
        <f>IF($A12="","",IFERROR(($Q12+$R12)/$T12,""))</f>
        <v/>
      </c>
      <c r="AO12" s="93">
        <f>IF($A12="","",IFERROR($V12/$U12,""))</f>
        <v/>
      </c>
      <c r="AP12" s="92">
        <f>IF($A12="","",IFERROR(MAX(0,$AD12-$P12/$O12),""))</f>
        <v/>
      </c>
      <c r="AQ12" s="92">
        <f>IF($A12="","",IFERROR(($P12-$Q12)/$O12,""))</f>
        <v/>
      </c>
      <c r="AR12" s="94">
        <f>IF($A12="","",IF($F12="","Temps d'ouverture manquant",IF($O12="","Cadence produit inconnue",IF($G12&gt;$F12,"Arrêts planifiés &gt; temps d'ouverture",IF($AC12&gt;$AB12,"Arrêts subis &gt; temps requis",IF($P12&lt;&gt;$Q12+$R12+$S12,"Produite ≠ conforme + retouchée + rebutée",IF($Q12&gt;$P12,"Conforme &gt; produite",IF($V12&gt;$U12,"Présents &gt; prévus","OK"))))))))</f>
        <v/>
      </c>
      <c r="AS12" s="95">
        <f>IF($A12="",0,IF(AND(OR(COCKPIT!$H$4="Toutes",$C12=COCKPIT!$H$4),OR(COCKPIT!$K$4="Toutes",$B12=COCKPIT!$K$4)),1,0))</f>
        <v/>
      </c>
    </row>
    <row r="13" ht="15" customHeight="1">
      <c r="A13" s="87" t="n">
        <v>46030</v>
      </c>
      <c r="B13" s="88" t="inlineStr">
        <is>
          <t>Équipe A (matin)</t>
        </is>
      </c>
      <c r="C13" s="88" t="inlineStr">
        <is>
          <t>Ligne 1 - Assemblage</t>
        </is>
      </c>
      <c r="D13" s="88" t="inlineStr">
        <is>
          <t>OF-01009</t>
        </is>
      </c>
      <c r="E13" s="88" t="inlineStr">
        <is>
          <t>REF-1001</t>
        </is>
      </c>
      <c r="F13" s="89" t="n">
        <v>480</v>
      </c>
      <c r="G13" s="89" t="n">
        <v>40</v>
      </c>
      <c r="H13" s="89" t="n">
        <v>24</v>
      </c>
      <c r="I13" s="89" t="n">
        <v>18</v>
      </c>
      <c r="J13" s="89" t="n">
        <v>0</v>
      </c>
      <c r="K13" s="89" t="n">
        <v>0</v>
      </c>
      <c r="L13" s="89" t="n">
        <v>0</v>
      </c>
      <c r="M13" s="89" t="n">
        <v>0</v>
      </c>
      <c r="N13" s="89" t="n">
        <v>1</v>
      </c>
      <c r="O13" s="90">
        <f>IF($E13="","",IFERROR(INDEX(PARAMETRES!$O$7:$O$36,MATCH($E13,PARAMETRES!$M$7:$M$36,0)),""))</f>
        <v/>
      </c>
      <c r="P13" s="89" t="n">
        <v>5611</v>
      </c>
      <c r="Q13" s="89" t="n">
        <v>5543</v>
      </c>
      <c r="R13" s="89" t="n">
        <v>30</v>
      </c>
      <c r="S13" s="89" t="n">
        <v>38</v>
      </c>
      <c r="T13" s="89" t="n">
        <v>5992</v>
      </c>
      <c r="U13" s="91" t="n">
        <v>12</v>
      </c>
      <c r="V13" s="91" t="n">
        <v>12</v>
      </c>
      <c r="W13" s="91" t="n">
        <v>0</v>
      </c>
      <c r="X13" s="89" t="n">
        <v>0</v>
      </c>
      <c r="Y13" s="89" t="n">
        <v>0</v>
      </c>
      <c r="Z13" s="88" t="inlineStr">
        <is>
          <t>PAN-01</t>
        </is>
      </c>
      <c r="AA13" s="88" t="inlineStr">
        <is>
          <t>Panne mécanique — Assemblage</t>
        </is>
      </c>
      <c r="AB13" s="92">
        <f>IF($A13="","",MAX(0,$F13-$G13))</f>
        <v/>
      </c>
      <c r="AC13" s="92">
        <f>IF($A13="","",SUM($H13:$M13))</f>
        <v/>
      </c>
      <c r="AD13" s="92">
        <f>IF($A13="","",MAX(0,$AB13-$AC13))</f>
        <v/>
      </c>
      <c r="AE13" s="92">
        <f>IF($A13="","",IFERROR($Q13/$O13,""))</f>
        <v/>
      </c>
      <c r="AF13" s="93">
        <f>IF($A13="","",IFERROR($AD13/$AB13,""))</f>
        <v/>
      </c>
      <c r="AG13" s="93">
        <f>IF($A13="","",IFERROR(($P13/$O13)/$AD13,""))</f>
        <v/>
      </c>
      <c r="AH13" s="93">
        <f>IF($A13="","",IFERROR($Q13/$P13,""))</f>
        <v/>
      </c>
      <c r="AI13" s="93">
        <f>IF($A13="","",IFERROR($AF13*$AG13*$AH13,""))</f>
        <v/>
      </c>
      <c r="AJ13" s="93">
        <f>IF($A13="","",IFERROR($AE13/$F13,""))</f>
        <v/>
      </c>
      <c r="AK13" s="92">
        <f>IF($A13="","",IFERROR($AD13/$N13,""))</f>
        <v/>
      </c>
      <c r="AL13" s="92">
        <f>IF($A13="","",IFERROR($H13/$N13,""))</f>
        <v/>
      </c>
      <c r="AM13" s="92">
        <f>IF($A13="","",IFERROR(($P13-$Q13)/$P13*1000000,""))</f>
        <v/>
      </c>
      <c r="AN13" s="93">
        <f>IF($A13="","",IFERROR(($Q13+$R13)/$T13,""))</f>
        <v/>
      </c>
      <c r="AO13" s="93">
        <f>IF($A13="","",IFERROR($V13/$U13,""))</f>
        <v/>
      </c>
      <c r="AP13" s="92">
        <f>IF($A13="","",IFERROR(MAX(0,$AD13-$P13/$O13),""))</f>
        <v/>
      </c>
      <c r="AQ13" s="92">
        <f>IF($A13="","",IFERROR(($P13-$Q13)/$O13,""))</f>
        <v/>
      </c>
      <c r="AR13" s="94">
        <f>IF($A13="","",IF($F13="","Temps d'ouverture manquant",IF($O13="","Cadence produit inconnue",IF($G13&gt;$F13,"Arrêts planifiés &gt; temps d'ouverture",IF($AC13&gt;$AB13,"Arrêts subis &gt; temps requis",IF($P13&lt;&gt;$Q13+$R13+$S13,"Produite ≠ conforme + retouchée + rebutée",IF($Q13&gt;$P13,"Conforme &gt; produite",IF($V13&gt;$U13,"Présents &gt; prévus","OK"))))))))</f>
        <v/>
      </c>
      <c r="AS13" s="95">
        <f>IF($A13="",0,IF(AND(OR(COCKPIT!$H$4="Toutes",$C13=COCKPIT!$H$4),OR(COCKPIT!$K$4="Toutes",$B13=COCKPIT!$K$4)),1,0))</f>
        <v/>
      </c>
    </row>
    <row r="14" ht="15" customHeight="1">
      <c r="A14" s="87" t="n">
        <v>46030</v>
      </c>
      <c r="B14" s="88" t="inlineStr">
        <is>
          <t>Équipe B (après-midi)</t>
        </is>
      </c>
      <c r="C14" s="88" t="inlineStr">
        <is>
          <t>Ligne 2 - Usinage</t>
        </is>
      </c>
      <c r="D14" s="88" t="inlineStr">
        <is>
          <t>OF-01010</t>
        </is>
      </c>
      <c r="E14" s="88" t="inlineStr">
        <is>
          <t>REF-2001</t>
        </is>
      </c>
      <c r="F14" s="89" t="n">
        <v>480</v>
      </c>
      <c r="G14" s="89" t="n">
        <v>40</v>
      </c>
      <c r="H14" s="89" t="n">
        <v>0</v>
      </c>
      <c r="I14" s="89" t="n">
        <v>0</v>
      </c>
      <c r="J14" s="89" t="n">
        <v>7</v>
      </c>
      <c r="K14" s="89" t="n">
        <v>23</v>
      </c>
      <c r="L14" s="89" t="n">
        <v>0</v>
      </c>
      <c r="M14" s="89" t="n">
        <v>14</v>
      </c>
      <c r="N14" s="89" t="n">
        <v>0</v>
      </c>
      <c r="O14" s="90">
        <f>IF($E14="","",IFERROR(INDEX(PARAMETRES!$O$7:$O$36,MATCH($E14,PARAMETRES!$M$7:$M$36,0)),""))</f>
        <v/>
      </c>
      <c r="P14" s="89" t="n">
        <v>3207</v>
      </c>
      <c r="Q14" s="89" t="n">
        <v>3178</v>
      </c>
      <c r="R14" s="89" t="n">
        <v>13</v>
      </c>
      <c r="S14" s="89" t="n">
        <v>16</v>
      </c>
      <c r="T14" s="89" t="n">
        <v>3394</v>
      </c>
      <c r="U14" s="91" t="n">
        <v>8</v>
      </c>
      <c r="V14" s="91" t="n">
        <v>8</v>
      </c>
      <c r="W14" s="91" t="n">
        <v>0</v>
      </c>
      <c r="X14" s="89" t="n">
        <v>0</v>
      </c>
      <c r="Y14" s="89" t="n">
        <v>1</v>
      </c>
      <c r="Z14" s="88" t="inlineStr">
        <is>
          <t>MAT-02</t>
        </is>
      </c>
      <c r="AA14" s="88" t="inlineStr">
        <is>
          <t>Matière non conforme (rebut fournisseur) — Usinage</t>
        </is>
      </c>
      <c r="AB14" s="92">
        <f>IF($A14="","",MAX(0,$F14-$G14))</f>
        <v/>
      </c>
      <c r="AC14" s="92">
        <f>IF($A14="","",SUM($H14:$M14))</f>
        <v/>
      </c>
      <c r="AD14" s="92">
        <f>IF($A14="","",MAX(0,$AB14-$AC14))</f>
        <v/>
      </c>
      <c r="AE14" s="92">
        <f>IF($A14="","",IFERROR($Q14/$O14,""))</f>
        <v/>
      </c>
      <c r="AF14" s="93">
        <f>IF($A14="","",IFERROR($AD14/$AB14,""))</f>
        <v/>
      </c>
      <c r="AG14" s="93">
        <f>IF($A14="","",IFERROR(($P14/$O14)/$AD14,""))</f>
        <v/>
      </c>
      <c r="AH14" s="93">
        <f>IF($A14="","",IFERROR($Q14/$P14,""))</f>
        <v/>
      </c>
      <c r="AI14" s="93">
        <f>IF($A14="","",IFERROR($AF14*$AG14*$AH14,""))</f>
        <v/>
      </c>
      <c r="AJ14" s="93">
        <f>IF($A14="","",IFERROR($AE14/$F14,""))</f>
        <v/>
      </c>
      <c r="AK14" s="92">
        <f>IF($A14="","",IFERROR($AD14/$N14,""))</f>
        <v/>
      </c>
      <c r="AL14" s="92">
        <f>IF($A14="","",IFERROR($H14/$N14,""))</f>
        <v/>
      </c>
      <c r="AM14" s="92">
        <f>IF($A14="","",IFERROR(($P14-$Q14)/$P14*1000000,""))</f>
        <v/>
      </c>
      <c r="AN14" s="93">
        <f>IF($A14="","",IFERROR(($Q14+$R14)/$T14,""))</f>
        <v/>
      </c>
      <c r="AO14" s="93">
        <f>IF($A14="","",IFERROR($V14/$U14,""))</f>
        <v/>
      </c>
      <c r="AP14" s="92">
        <f>IF($A14="","",IFERROR(MAX(0,$AD14-$P14/$O14),""))</f>
        <v/>
      </c>
      <c r="AQ14" s="92">
        <f>IF($A14="","",IFERROR(($P14-$Q14)/$O14,""))</f>
        <v/>
      </c>
      <c r="AR14" s="94">
        <f>IF($A14="","",IF($F14="","Temps d'ouverture manquant",IF($O14="","Cadence produit inconnue",IF($G14&gt;$F14,"Arrêts planifiés &gt; temps d'ouverture",IF($AC14&gt;$AB14,"Arrêts subis &gt; temps requis",IF($P14&lt;&gt;$Q14+$R14+$S14,"Produite ≠ conforme + retouchée + rebutée",IF($Q14&gt;$P14,"Conforme &gt; produite",IF($V14&gt;$U14,"Présents &gt; prévus","OK"))))))))</f>
        <v/>
      </c>
      <c r="AS14" s="95">
        <f>IF($A14="",0,IF(AND(OR(COCKPIT!$H$4="Toutes",$C14=COCKPIT!$H$4),OR(COCKPIT!$K$4="Toutes",$B14=COCKPIT!$K$4)),1,0))</f>
        <v/>
      </c>
    </row>
    <row r="15" ht="15" customHeight="1">
      <c r="A15" s="87" t="n">
        <v>46031</v>
      </c>
      <c r="B15" s="88" t="inlineStr">
        <is>
          <t>Équipe B (après-midi)</t>
        </is>
      </c>
      <c r="C15" s="88" t="inlineStr">
        <is>
          <t>Ligne 1 - Assemblage</t>
        </is>
      </c>
      <c r="D15" s="88" t="inlineStr">
        <is>
          <t>OF-01011</t>
        </is>
      </c>
      <c r="E15" s="88" t="inlineStr">
        <is>
          <t>REF-1002</t>
        </is>
      </c>
      <c r="F15" s="89" t="n">
        <v>480</v>
      </c>
      <c r="G15" s="89" t="n">
        <v>40</v>
      </c>
      <c r="H15" s="89" t="n">
        <v>37</v>
      </c>
      <c r="I15" s="89" t="n">
        <v>0</v>
      </c>
      <c r="J15" s="89" t="n">
        <v>12</v>
      </c>
      <c r="K15" s="89" t="n">
        <v>19</v>
      </c>
      <c r="L15" s="89" t="n">
        <v>24</v>
      </c>
      <c r="M15" s="89" t="n">
        <v>10</v>
      </c>
      <c r="N15" s="89" t="n">
        <v>1</v>
      </c>
      <c r="O15" s="90">
        <f>IF($E15="","",IFERROR(INDEX(PARAMETRES!$O$7:$O$36,MATCH($E15,PARAMETRES!$M$7:$M$36,0)),""))</f>
        <v/>
      </c>
      <c r="P15" s="89" t="n">
        <v>4056</v>
      </c>
      <c r="Q15" s="89" t="n">
        <v>4027</v>
      </c>
      <c r="R15" s="89" t="n">
        <v>13</v>
      </c>
      <c r="S15" s="89" t="n">
        <v>16</v>
      </c>
      <c r="T15" s="89" t="n">
        <v>4040</v>
      </c>
      <c r="U15" s="91" t="n">
        <v>12</v>
      </c>
      <c r="V15" s="91" t="n">
        <v>12</v>
      </c>
      <c r="W15" s="91" t="n">
        <v>0</v>
      </c>
      <c r="X15" s="89" t="n">
        <v>0</v>
      </c>
      <c r="Y15" s="89" t="n">
        <v>0</v>
      </c>
      <c r="Z15" s="88" t="inlineStr">
        <is>
          <t>PAN-03</t>
        </is>
      </c>
      <c r="AA15" s="88" t="inlineStr">
        <is>
          <t>Défaut automatisme / supervision — Assemblage</t>
        </is>
      </c>
      <c r="AB15" s="92">
        <f>IF($A15="","",MAX(0,$F15-$G15))</f>
        <v/>
      </c>
      <c r="AC15" s="92">
        <f>IF($A15="","",SUM($H15:$M15))</f>
        <v/>
      </c>
      <c r="AD15" s="92">
        <f>IF($A15="","",MAX(0,$AB15-$AC15))</f>
        <v/>
      </c>
      <c r="AE15" s="92">
        <f>IF($A15="","",IFERROR($Q15/$O15,""))</f>
        <v/>
      </c>
      <c r="AF15" s="93">
        <f>IF($A15="","",IFERROR($AD15/$AB15,""))</f>
        <v/>
      </c>
      <c r="AG15" s="93">
        <f>IF($A15="","",IFERROR(($P15/$O15)/$AD15,""))</f>
        <v/>
      </c>
      <c r="AH15" s="93">
        <f>IF($A15="","",IFERROR($Q15/$P15,""))</f>
        <v/>
      </c>
      <c r="AI15" s="93">
        <f>IF($A15="","",IFERROR($AF15*$AG15*$AH15,""))</f>
        <v/>
      </c>
      <c r="AJ15" s="93">
        <f>IF($A15="","",IFERROR($AE15/$F15,""))</f>
        <v/>
      </c>
      <c r="AK15" s="92">
        <f>IF($A15="","",IFERROR($AD15/$N15,""))</f>
        <v/>
      </c>
      <c r="AL15" s="92">
        <f>IF($A15="","",IFERROR($H15/$N15,""))</f>
        <v/>
      </c>
      <c r="AM15" s="92">
        <f>IF($A15="","",IFERROR(($P15-$Q15)/$P15*1000000,""))</f>
        <v/>
      </c>
      <c r="AN15" s="93">
        <f>IF($A15="","",IFERROR(($Q15+$R15)/$T15,""))</f>
        <v/>
      </c>
      <c r="AO15" s="93">
        <f>IF($A15="","",IFERROR($V15/$U15,""))</f>
        <v/>
      </c>
      <c r="AP15" s="92">
        <f>IF($A15="","",IFERROR(MAX(0,$AD15-$P15/$O15),""))</f>
        <v/>
      </c>
      <c r="AQ15" s="92">
        <f>IF($A15="","",IFERROR(($P15-$Q15)/$O15,""))</f>
        <v/>
      </c>
      <c r="AR15" s="94">
        <f>IF($A15="","",IF($F15="","Temps d'ouverture manquant",IF($O15="","Cadence produit inconnue",IF($G15&gt;$F15,"Arrêts planifiés &gt; temps d'ouverture",IF($AC15&gt;$AB15,"Arrêts subis &gt; temps requis",IF($P15&lt;&gt;$Q15+$R15+$S15,"Produite ≠ conforme + retouchée + rebutée",IF($Q15&gt;$P15,"Conforme &gt; produite",IF($V15&gt;$U15,"Présents &gt; prévus","OK"))))))))</f>
        <v/>
      </c>
      <c r="AS15" s="95">
        <f>IF($A15="",0,IF(AND(OR(COCKPIT!$H$4="Toutes",$C15=COCKPIT!$H$4),OR(COCKPIT!$K$4="Toutes",$B15=COCKPIT!$K$4)),1,0))</f>
        <v/>
      </c>
    </row>
    <row r="16" ht="15" customHeight="1">
      <c r="A16" s="87" t="n">
        <v>46031</v>
      </c>
      <c r="B16" s="88" t="inlineStr">
        <is>
          <t>Équipe A (matin)</t>
        </is>
      </c>
      <c r="C16" s="88" t="inlineStr">
        <is>
          <t>Ligne 2 - Usinage</t>
        </is>
      </c>
      <c r="D16" s="88" t="inlineStr">
        <is>
          <t>OF-01012</t>
        </is>
      </c>
      <c r="E16" s="88" t="inlineStr">
        <is>
          <t>REF-2002</t>
        </is>
      </c>
      <c r="F16" s="89" t="n">
        <v>480</v>
      </c>
      <c r="G16" s="89" t="n">
        <v>40</v>
      </c>
      <c r="H16" s="89" t="n">
        <v>23</v>
      </c>
      <c r="I16" s="89" t="n">
        <v>0</v>
      </c>
      <c r="J16" s="89" t="n">
        <v>0</v>
      </c>
      <c r="K16" s="89" t="n">
        <v>0</v>
      </c>
      <c r="L16" s="89" t="n">
        <v>0</v>
      </c>
      <c r="M16" s="89" t="n">
        <v>20</v>
      </c>
      <c r="N16" s="89" t="n">
        <v>1</v>
      </c>
      <c r="O16" s="90">
        <f>IF($E16="","",IFERROR(INDEX(PARAMETRES!$O$7:$O$36,MATCH($E16,PARAMETRES!$M$7:$M$36,0)),""))</f>
        <v/>
      </c>
      <c r="P16" s="89" t="n">
        <v>2739</v>
      </c>
      <c r="Q16" s="89" t="n">
        <v>2689</v>
      </c>
      <c r="R16" s="89" t="n">
        <v>22</v>
      </c>
      <c r="S16" s="89" t="n">
        <v>28</v>
      </c>
      <c r="T16" s="89" t="n">
        <v>2946</v>
      </c>
      <c r="U16" s="91" t="n">
        <v>8</v>
      </c>
      <c r="V16" s="91" t="n">
        <v>8</v>
      </c>
      <c r="W16" s="91" t="n">
        <v>4</v>
      </c>
      <c r="X16" s="89" t="n">
        <v>0</v>
      </c>
      <c r="Y16" s="89" t="n">
        <v>0</v>
      </c>
      <c r="Z16" s="88" t="inlineStr">
        <is>
          <t>PAN-02</t>
        </is>
      </c>
      <c r="AA16" s="88" t="inlineStr">
        <is>
          <t>Panne électrique ou capteur — Usinage</t>
        </is>
      </c>
      <c r="AB16" s="92">
        <f>IF($A16="","",MAX(0,$F16-$G16))</f>
        <v/>
      </c>
      <c r="AC16" s="92">
        <f>IF($A16="","",SUM($H16:$M16))</f>
        <v/>
      </c>
      <c r="AD16" s="92">
        <f>IF($A16="","",MAX(0,$AB16-$AC16))</f>
        <v/>
      </c>
      <c r="AE16" s="92">
        <f>IF($A16="","",IFERROR($Q16/$O16,""))</f>
        <v/>
      </c>
      <c r="AF16" s="93">
        <f>IF($A16="","",IFERROR($AD16/$AB16,""))</f>
        <v/>
      </c>
      <c r="AG16" s="93">
        <f>IF($A16="","",IFERROR(($P16/$O16)/$AD16,""))</f>
        <v/>
      </c>
      <c r="AH16" s="93">
        <f>IF($A16="","",IFERROR($Q16/$P16,""))</f>
        <v/>
      </c>
      <c r="AI16" s="93">
        <f>IF($A16="","",IFERROR($AF16*$AG16*$AH16,""))</f>
        <v/>
      </c>
      <c r="AJ16" s="93">
        <f>IF($A16="","",IFERROR($AE16/$F16,""))</f>
        <v/>
      </c>
      <c r="AK16" s="92">
        <f>IF($A16="","",IFERROR($AD16/$N16,""))</f>
        <v/>
      </c>
      <c r="AL16" s="92">
        <f>IF($A16="","",IFERROR($H16/$N16,""))</f>
        <v/>
      </c>
      <c r="AM16" s="92">
        <f>IF($A16="","",IFERROR(($P16-$Q16)/$P16*1000000,""))</f>
        <v/>
      </c>
      <c r="AN16" s="93">
        <f>IF($A16="","",IFERROR(($Q16+$R16)/$T16,""))</f>
        <v/>
      </c>
      <c r="AO16" s="93">
        <f>IF($A16="","",IFERROR($V16/$U16,""))</f>
        <v/>
      </c>
      <c r="AP16" s="92">
        <f>IF($A16="","",IFERROR(MAX(0,$AD16-$P16/$O16),""))</f>
        <v/>
      </c>
      <c r="AQ16" s="92">
        <f>IF($A16="","",IFERROR(($P16-$Q16)/$O16,""))</f>
        <v/>
      </c>
      <c r="AR16" s="94">
        <f>IF($A16="","",IF($F16="","Temps d'ouverture manquant",IF($O16="","Cadence produit inconnue",IF($G16&gt;$F16,"Arrêts planifiés &gt; temps d'ouverture",IF($AC16&gt;$AB16,"Arrêts subis &gt; temps requis",IF($P16&lt;&gt;$Q16+$R16+$S16,"Produite ≠ conforme + retouchée + rebutée",IF($Q16&gt;$P16,"Conforme &gt; produite",IF($V16&gt;$U16,"Présents &gt; prévus","OK"))))))))</f>
        <v/>
      </c>
      <c r="AS16" s="95">
        <f>IF($A16="",0,IF(AND(OR(COCKPIT!$H$4="Toutes",$C16=COCKPIT!$H$4),OR(COCKPIT!$K$4="Toutes",$B16=COCKPIT!$K$4)),1,0))</f>
        <v/>
      </c>
    </row>
    <row r="17" ht="15" customHeight="1">
      <c r="A17" s="87" t="n">
        <v>46034</v>
      </c>
      <c r="B17" s="88" t="inlineStr">
        <is>
          <t>Équipe A (matin)</t>
        </is>
      </c>
      <c r="C17" s="88" t="inlineStr">
        <is>
          <t>Ligne 1 - Assemblage</t>
        </is>
      </c>
      <c r="D17" s="88" t="inlineStr">
        <is>
          <t>OF-01013</t>
        </is>
      </c>
      <c r="E17" s="88" t="inlineStr">
        <is>
          <t>REF-1001</t>
        </is>
      </c>
      <c r="F17" s="89" t="n">
        <v>480</v>
      </c>
      <c r="G17" s="89" t="n">
        <v>85</v>
      </c>
      <c r="H17" s="89" t="n">
        <v>38</v>
      </c>
      <c r="I17" s="89" t="n">
        <v>34</v>
      </c>
      <c r="J17" s="89" t="n">
        <v>8</v>
      </c>
      <c r="K17" s="89" t="n">
        <v>0</v>
      </c>
      <c r="L17" s="89" t="n">
        <v>25</v>
      </c>
      <c r="M17" s="89" t="n">
        <v>0</v>
      </c>
      <c r="N17" s="89" t="n">
        <v>1</v>
      </c>
      <c r="O17" s="90">
        <f>IF($E17="","",IFERROR(INDEX(PARAMETRES!$O$7:$O$36,MATCH($E17,PARAMETRES!$M$7:$M$36,0)),""))</f>
        <v/>
      </c>
      <c r="P17" s="89" t="n">
        <v>3784</v>
      </c>
      <c r="Q17" s="89" t="n">
        <v>3723</v>
      </c>
      <c r="R17" s="89" t="n">
        <v>27</v>
      </c>
      <c r="S17" s="89" t="n">
        <v>34</v>
      </c>
      <c r="T17" s="89" t="n">
        <v>3826</v>
      </c>
      <c r="U17" s="91" t="n">
        <v>12</v>
      </c>
      <c r="V17" s="91" t="n">
        <v>12</v>
      </c>
      <c r="W17" s="91" t="n">
        <v>4</v>
      </c>
      <c r="X17" s="89" t="n">
        <v>0</v>
      </c>
      <c r="Y17" s="89" t="n">
        <v>0</v>
      </c>
      <c r="Z17" s="88" t="inlineStr">
        <is>
          <t>PAN-01</t>
        </is>
      </c>
      <c r="AA17" s="88" t="inlineStr">
        <is>
          <t>Panne mécanique — Assemblage</t>
        </is>
      </c>
      <c r="AB17" s="92">
        <f>IF($A17="","",MAX(0,$F17-$G17))</f>
        <v/>
      </c>
      <c r="AC17" s="92">
        <f>IF($A17="","",SUM($H17:$M17))</f>
        <v/>
      </c>
      <c r="AD17" s="92">
        <f>IF($A17="","",MAX(0,$AB17-$AC17))</f>
        <v/>
      </c>
      <c r="AE17" s="92">
        <f>IF($A17="","",IFERROR($Q17/$O17,""))</f>
        <v/>
      </c>
      <c r="AF17" s="93">
        <f>IF($A17="","",IFERROR($AD17/$AB17,""))</f>
        <v/>
      </c>
      <c r="AG17" s="93">
        <f>IF($A17="","",IFERROR(($P17/$O17)/$AD17,""))</f>
        <v/>
      </c>
      <c r="AH17" s="93">
        <f>IF($A17="","",IFERROR($Q17/$P17,""))</f>
        <v/>
      </c>
      <c r="AI17" s="93">
        <f>IF($A17="","",IFERROR($AF17*$AG17*$AH17,""))</f>
        <v/>
      </c>
      <c r="AJ17" s="93">
        <f>IF($A17="","",IFERROR($AE17/$F17,""))</f>
        <v/>
      </c>
      <c r="AK17" s="92">
        <f>IF($A17="","",IFERROR($AD17/$N17,""))</f>
        <v/>
      </c>
      <c r="AL17" s="92">
        <f>IF($A17="","",IFERROR($H17/$N17,""))</f>
        <v/>
      </c>
      <c r="AM17" s="92">
        <f>IF($A17="","",IFERROR(($P17-$Q17)/$P17*1000000,""))</f>
        <v/>
      </c>
      <c r="AN17" s="93">
        <f>IF($A17="","",IFERROR(($Q17+$R17)/$T17,""))</f>
        <v/>
      </c>
      <c r="AO17" s="93">
        <f>IF($A17="","",IFERROR($V17/$U17,""))</f>
        <v/>
      </c>
      <c r="AP17" s="92">
        <f>IF($A17="","",IFERROR(MAX(0,$AD17-$P17/$O17),""))</f>
        <v/>
      </c>
      <c r="AQ17" s="92">
        <f>IF($A17="","",IFERROR(($P17-$Q17)/$O17,""))</f>
        <v/>
      </c>
      <c r="AR17" s="94">
        <f>IF($A17="","",IF($F17="","Temps d'ouverture manquant",IF($O17="","Cadence produit inconnue",IF($G17&gt;$F17,"Arrêts planifiés &gt; temps d'ouverture",IF($AC17&gt;$AB17,"Arrêts subis &gt; temps requis",IF($P17&lt;&gt;$Q17+$R17+$S17,"Produite ≠ conforme + retouchée + rebutée",IF($Q17&gt;$P17,"Conforme &gt; produite",IF($V17&gt;$U17,"Présents &gt; prévus","OK"))))))))</f>
        <v/>
      </c>
      <c r="AS17" s="95">
        <f>IF($A17="",0,IF(AND(OR(COCKPIT!$H$4="Toutes",$C17=COCKPIT!$H$4),OR(COCKPIT!$K$4="Toutes",$B17=COCKPIT!$K$4)),1,0))</f>
        <v/>
      </c>
    </row>
    <row r="18" ht="15" customHeight="1">
      <c r="A18" s="87" t="n">
        <v>46034</v>
      </c>
      <c r="B18" s="88" t="inlineStr">
        <is>
          <t>Équipe B (après-midi)</t>
        </is>
      </c>
      <c r="C18" s="88" t="inlineStr">
        <is>
          <t>Ligne 2 - Usinage</t>
        </is>
      </c>
      <c r="D18" s="88" t="inlineStr">
        <is>
          <t>OF-01014</t>
        </is>
      </c>
      <c r="E18" s="88" t="inlineStr">
        <is>
          <t>REF-2001</t>
        </is>
      </c>
      <c r="F18" s="89" t="n">
        <v>480</v>
      </c>
      <c r="G18" s="89" t="n">
        <v>85</v>
      </c>
      <c r="H18" s="89" t="n">
        <v>32</v>
      </c>
      <c r="I18" s="89" t="n">
        <v>20</v>
      </c>
      <c r="J18" s="89" t="n">
        <v>13</v>
      </c>
      <c r="K18" s="89" t="n">
        <v>21</v>
      </c>
      <c r="L18" s="89" t="n">
        <v>0</v>
      </c>
      <c r="M18" s="89" t="n">
        <v>17</v>
      </c>
      <c r="N18" s="89" t="n">
        <v>1</v>
      </c>
      <c r="O18" s="90">
        <f>IF($E18="","",IFERROR(INDEX(PARAMETRES!$O$7:$O$36,MATCH($E18,PARAMETRES!$M$7:$M$36,0)),""))</f>
        <v/>
      </c>
      <c r="P18" s="89" t="n">
        <v>2470</v>
      </c>
      <c r="Q18" s="89" t="n">
        <v>2437</v>
      </c>
      <c r="R18" s="89" t="n">
        <v>14</v>
      </c>
      <c r="S18" s="89" t="n">
        <v>19</v>
      </c>
      <c r="T18" s="89" t="n">
        <v>2475</v>
      </c>
      <c r="U18" s="91" t="n">
        <v>8</v>
      </c>
      <c r="V18" s="91" t="n">
        <v>8</v>
      </c>
      <c r="W18" s="91" t="n">
        <v>0</v>
      </c>
      <c r="X18" s="89" t="n">
        <v>0</v>
      </c>
      <c r="Y18" s="89" t="n">
        <v>0</v>
      </c>
      <c r="Z18" s="88" t="inlineStr">
        <is>
          <t>PAN-01</t>
        </is>
      </c>
      <c r="AA18" s="88" t="inlineStr">
        <is>
          <t>Panne mécanique — Usinage</t>
        </is>
      </c>
      <c r="AB18" s="92">
        <f>IF($A18="","",MAX(0,$F18-$G18))</f>
        <v/>
      </c>
      <c r="AC18" s="92">
        <f>IF($A18="","",SUM($H18:$M18))</f>
        <v/>
      </c>
      <c r="AD18" s="92">
        <f>IF($A18="","",MAX(0,$AB18-$AC18))</f>
        <v/>
      </c>
      <c r="AE18" s="92">
        <f>IF($A18="","",IFERROR($Q18/$O18,""))</f>
        <v/>
      </c>
      <c r="AF18" s="93">
        <f>IF($A18="","",IFERROR($AD18/$AB18,""))</f>
        <v/>
      </c>
      <c r="AG18" s="93">
        <f>IF($A18="","",IFERROR(($P18/$O18)/$AD18,""))</f>
        <v/>
      </c>
      <c r="AH18" s="93">
        <f>IF($A18="","",IFERROR($Q18/$P18,""))</f>
        <v/>
      </c>
      <c r="AI18" s="93">
        <f>IF($A18="","",IFERROR($AF18*$AG18*$AH18,""))</f>
        <v/>
      </c>
      <c r="AJ18" s="93">
        <f>IF($A18="","",IFERROR($AE18/$F18,""))</f>
        <v/>
      </c>
      <c r="AK18" s="92">
        <f>IF($A18="","",IFERROR($AD18/$N18,""))</f>
        <v/>
      </c>
      <c r="AL18" s="92">
        <f>IF($A18="","",IFERROR($H18/$N18,""))</f>
        <v/>
      </c>
      <c r="AM18" s="92">
        <f>IF($A18="","",IFERROR(($P18-$Q18)/$P18*1000000,""))</f>
        <v/>
      </c>
      <c r="AN18" s="93">
        <f>IF($A18="","",IFERROR(($Q18+$R18)/$T18,""))</f>
        <v/>
      </c>
      <c r="AO18" s="93">
        <f>IF($A18="","",IFERROR($V18/$U18,""))</f>
        <v/>
      </c>
      <c r="AP18" s="92">
        <f>IF($A18="","",IFERROR(MAX(0,$AD18-$P18/$O18),""))</f>
        <v/>
      </c>
      <c r="AQ18" s="92">
        <f>IF($A18="","",IFERROR(($P18-$Q18)/$O18,""))</f>
        <v/>
      </c>
      <c r="AR18" s="94">
        <f>IF($A18="","",IF($F18="","Temps d'ouverture manquant",IF($O18="","Cadence produit inconnue",IF($G18&gt;$F18,"Arrêts planifiés &gt; temps d'ouverture",IF($AC18&gt;$AB18,"Arrêts subis &gt; temps requis",IF($P18&lt;&gt;$Q18+$R18+$S18,"Produite ≠ conforme + retouchée + rebutée",IF($Q18&gt;$P18,"Conforme &gt; produite",IF($V18&gt;$U18,"Présents &gt; prévus","OK"))))))))</f>
        <v/>
      </c>
      <c r="AS18" s="95">
        <f>IF($A18="",0,IF(AND(OR(COCKPIT!$H$4="Toutes",$C18=COCKPIT!$H$4),OR(COCKPIT!$K$4="Toutes",$B18=COCKPIT!$K$4)),1,0))</f>
        <v/>
      </c>
    </row>
    <row r="19" ht="15" customHeight="1">
      <c r="A19" s="87" t="n">
        <v>46035</v>
      </c>
      <c r="B19" s="88" t="inlineStr">
        <is>
          <t>Équipe B (après-midi)</t>
        </is>
      </c>
      <c r="C19" s="88" t="inlineStr">
        <is>
          <t>Ligne 1 - Assemblage</t>
        </is>
      </c>
      <c r="D19" s="88" t="inlineStr">
        <is>
          <t>OF-01015</t>
        </is>
      </c>
      <c r="E19" s="88" t="inlineStr">
        <is>
          <t>REF-1002</t>
        </is>
      </c>
      <c r="F19" s="89" t="n">
        <v>480</v>
      </c>
      <c r="G19" s="89" t="n">
        <v>100</v>
      </c>
      <c r="H19" s="89" t="n">
        <v>0</v>
      </c>
      <c r="I19" s="89" t="n">
        <v>0</v>
      </c>
      <c r="J19" s="89" t="n">
        <v>0</v>
      </c>
      <c r="K19" s="89" t="n">
        <v>23</v>
      </c>
      <c r="L19" s="89" t="n">
        <v>14</v>
      </c>
      <c r="M19" s="89" t="n">
        <v>10</v>
      </c>
      <c r="N19" s="89" t="n">
        <v>0</v>
      </c>
      <c r="O19" s="90">
        <f>IF($E19="","",IFERROR(INDEX(PARAMETRES!$O$7:$O$36,MATCH($E19,PARAMETRES!$M$7:$M$36,0)),""))</f>
        <v/>
      </c>
      <c r="P19" s="89" t="n">
        <v>3704</v>
      </c>
      <c r="Q19" s="89" t="n">
        <v>3663</v>
      </c>
      <c r="R19" s="89" t="n">
        <v>18</v>
      </c>
      <c r="S19" s="89" t="n">
        <v>23</v>
      </c>
      <c r="T19" s="89" t="n">
        <v>3834</v>
      </c>
      <c r="U19" s="91" t="n">
        <v>12</v>
      </c>
      <c r="V19" s="91" t="n">
        <v>11</v>
      </c>
      <c r="W19" s="91" t="n">
        <v>0</v>
      </c>
      <c r="X19" s="89" t="n">
        <v>0</v>
      </c>
      <c r="Y19" s="89" t="n">
        <v>0</v>
      </c>
      <c r="Z19" s="88" t="inlineStr">
        <is>
          <t>MAT-01</t>
        </is>
      </c>
      <c r="AA19" s="88" t="inlineStr">
        <is>
          <t>Rupture d'approvisionnement matière — Assemblage</t>
        </is>
      </c>
      <c r="AB19" s="92">
        <f>IF($A19="","",MAX(0,$F19-$G19))</f>
        <v/>
      </c>
      <c r="AC19" s="92">
        <f>IF($A19="","",SUM($H19:$M19))</f>
        <v/>
      </c>
      <c r="AD19" s="92">
        <f>IF($A19="","",MAX(0,$AB19-$AC19))</f>
        <v/>
      </c>
      <c r="AE19" s="92">
        <f>IF($A19="","",IFERROR($Q19/$O19,""))</f>
        <v/>
      </c>
      <c r="AF19" s="93">
        <f>IF($A19="","",IFERROR($AD19/$AB19,""))</f>
        <v/>
      </c>
      <c r="AG19" s="93">
        <f>IF($A19="","",IFERROR(($P19/$O19)/$AD19,""))</f>
        <v/>
      </c>
      <c r="AH19" s="93">
        <f>IF($A19="","",IFERROR($Q19/$P19,""))</f>
        <v/>
      </c>
      <c r="AI19" s="93">
        <f>IF($A19="","",IFERROR($AF19*$AG19*$AH19,""))</f>
        <v/>
      </c>
      <c r="AJ19" s="93">
        <f>IF($A19="","",IFERROR($AE19/$F19,""))</f>
        <v/>
      </c>
      <c r="AK19" s="92">
        <f>IF($A19="","",IFERROR($AD19/$N19,""))</f>
        <v/>
      </c>
      <c r="AL19" s="92">
        <f>IF($A19="","",IFERROR($H19/$N19,""))</f>
        <v/>
      </c>
      <c r="AM19" s="92">
        <f>IF($A19="","",IFERROR(($P19-$Q19)/$P19*1000000,""))</f>
        <v/>
      </c>
      <c r="AN19" s="93">
        <f>IF($A19="","",IFERROR(($Q19+$R19)/$T19,""))</f>
        <v/>
      </c>
      <c r="AO19" s="93">
        <f>IF($A19="","",IFERROR($V19/$U19,""))</f>
        <v/>
      </c>
      <c r="AP19" s="92">
        <f>IF($A19="","",IFERROR(MAX(0,$AD19-$P19/$O19),""))</f>
        <v/>
      </c>
      <c r="AQ19" s="92">
        <f>IF($A19="","",IFERROR(($P19-$Q19)/$O19,""))</f>
        <v/>
      </c>
      <c r="AR19" s="94">
        <f>IF($A19="","",IF($F19="","Temps d'ouverture manquant",IF($O19="","Cadence produit inconnue",IF($G19&gt;$F19,"Arrêts planifiés &gt; temps d'ouverture",IF($AC19&gt;$AB19,"Arrêts subis &gt; temps requis",IF($P19&lt;&gt;$Q19+$R19+$S19,"Produite ≠ conforme + retouchée + rebutée",IF($Q19&gt;$P19,"Conforme &gt; produite",IF($V19&gt;$U19,"Présents &gt; prévus","OK"))))))))</f>
        <v/>
      </c>
      <c r="AS19" s="95">
        <f>IF($A19="",0,IF(AND(OR(COCKPIT!$H$4="Toutes",$C19=COCKPIT!$H$4),OR(COCKPIT!$K$4="Toutes",$B19=COCKPIT!$K$4)),1,0))</f>
        <v/>
      </c>
    </row>
    <row r="20" ht="15" customHeight="1">
      <c r="A20" s="87" t="n">
        <v>46035</v>
      </c>
      <c r="B20" s="88" t="inlineStr">
        <is>
          <t>Équipe A (matin)</t>
        </is>
      </c>
      <c r="C20" s="88" t="inlineStr">
        <is>
          <t>Ligne 2 - Usinage</t>
        </is>
      </c>
      <c r="D20" s="88" t="inlineStr">
        <is>
          <t>OF-01016</t>
        </is>
      </c>
      <c r="E20" s="88" t="inlineStr">
        <is>
          <t>REF-2002</t>
        </is>
      </c>
      <c r="F20" s="89" t="n">
        <v>480</v>
      </c>
      <c r="G20" s="89" t="n">
        <v>100</v>
      </c>
      <c r="H20" s="89" t="n">
        <v>86</v>
      </c>
      <c r="I20" s="89" t="n">
        <v>25</v>
      </c>
      <c r="J20" s="89" t="n">
        <v>0</v>
      </c>
      <c r="K20" s="89" t="n">
        <v>16</v>
      </c>
      <c r="L20" s="89" t="n">
        <v>0</v>
      </c>
      <c r="M20" s="89" t="n">
        <v>13</v>
      </c>
      <c r="N20" s="89" t="n">
        <v>1</v>
      </c>
      <c r="O20" s="90">
        <f>IF($E20="","",IFERROR(INDEX(PARAMETRES!$O$7:$O$36,MATCH($E20,PARAMETRES!$M$7:$M$36,0)),""))</f>
        <v/>
      </c>
      <c r="P20" s="89" t="n">
        <v>1728</v>
      </c>
      <c r="Q20" s="89" t="n">
        <v>1714</v>
      </c>
      <c r="R20" s="89" t="n">
        <v>6</v>
      </c>
      <c r="S20" s="89" t="n">
        <v>8</v>
      </c>
      <c r="T20" s="89" t="n">
        <v>1773</v>
      </c>
      <c r="U20" s="91" t="n">
        <v>8</v>
      </c>
      <c r="V20" s="91" t="n">
        <v>8</v>
      </c>
      <c r="W20" s="91" t="n">
        <v>0</v>
      </c>
      <c r="X20" s="89" t="n">
        <v>0</v>
      </c>
      <c r="Y20" s="89" t="n">
        <v>0</v>
      </c>
      <c r="Z20" s="88" t="inlineStr">
        <is>
          <t>PAN-02</t>
        </is>
      </c>
      <c r="AA20" s="88" t="inlineStr">
        <is>
          <t>Panne électrique ou capteur — Usinage</t>
        </is>
      </c>
      <c r="AB20" s="92">
        <f>IF($A20="","",MAX(0,$F20-$G20))</f>
        <v/>
      </c>
      <c r="AC20" s="92">
        <f>IF($A20="","",SUM($H20:$M20))</f>
        <v/>
      </c>
      <c r="AD20" s="92">
        <f>IF($A20="","",MAX(0,$AB20-$AC20))</f>
        <v/>
      </c>
      <c r="AE20" s="92">
        <f>IF($A20="","",IFERROR($Q20/$O20,""))</f>
        <v/>
      </c>
      <c r="AF20" s="93">
        <f>IF($A20="","",IFERROR($AD20/$AB20,""))</f>
        <v/>
      </c>
      <c r="AG20" s="93">
        <f>IF($A20="","",IFERROR(($P20/$O20)/$AD20,""))</f>
        <v/>
      </c>
      <c r="AH20" s="93">
        <f>IF($A20="","",IFERROR($Q20/$P20,""))</f>
        <v/>
      </c>
      <c r="AI20" s="93">
        <f>IF($A20="","",IFERROR($AF20*$AG20*$AH20,""))</f>
        <v/>
      </c>
      <c r="AJ20" s="93">
        <f>IF($A20="","",IFERROR($AE20/$F20,""))</f>
        <v/>
      </c>
      <c r="AK20" s="92">
        <f>IF($A20="","",IFERROR($AD20/$N20,""))</f>
        <v/>
      </c>
      <c r="AL20" s="92">
        <f>IF($A20="","",IFERROR($H20/$N20,""))</f>
        <v/>
      </c>
      <c r="AM20" s="92">
        <f>IF($A20="","",IFERROR(($P20-$Q20)/$P20*1000000,""))</f>
        <v/>
      </c>
      <c r="AN20" s="93">
        <f>IF($A20="","",IFERROR(($Q20+$R20)/$T20,""))</f>
        <v/>
      </c>
      <c r="AO20" s="93">
        <f>IF($A20="","",IFERROR($V20/$U20,""))</f>
        <v/>
      </c>
      <c r="AP20" s="92">
        <f>IF($A20="","",IFERROR(MAX(0,$AD20-$P20/$O20),""))</f>
        <v/>
      </c>
      <c r="AQ20" s="92">
        <f>IF($A20="","",IFERROR(($P20-$Q20)/$O20,""))</f>
        <v/>
      </c>
      <c r="AR20" s="94">
        <f>IF($A20="","",IF($F20="","Temps d'ouverture manquant",IF($O20="","Cadence produit inconnue",IF($G20&gt;$F20,"Arrêts planifiés &gt; temps d'ouverture",IF($AC20&gt;$AB20,"Arrêts subis &gt; temps requis",IF($P20&lt;&gt;$Q20+$R20+$S20,"Produite ≠ conforme + retouchée + rebutée",IF($Q20&gt;$P20,"Conforme &gt; produite",IF($V20&gt;$U20,"Présents &gt; prévus","OK"))))))))</f>
        <v/>
      </c>
      <c r="AS20" s="95">
        <f>IF($A20="",0,IF(AND(OR(COCKPIT!$H$4="Toutes",$C20=COCKPIT!$H$4),OR(COCKPIT!$K$4="Toutes",$B20=COCKPIT!$K$4)),1,0))</f>
        <v/>
      </c>
    </row>
    <row r="21" ht="15" customHeight="1">
      <c r="A21" s="87" t="n">
        <v>46036</v>
      </c>
      <c r="B21" s="88" t="inlineStr">
        <is>
          <t>Équipe A (matin)</t>
        </is>
      </c>
      <c r="C21" s="88" t="inlineStr">
        <is>
          <t>Ligne 1 - Assemblage</t>
        </is>
      </c>
      <c r="D21" s="88" t="inlineStr">
        <is>
          <t>OF-01017</t>
        </is>
      </c>
      <c r="E21" s="88" t="inlineStr">
        <is>
          <t>REF-1001</t>
        </is>
      </c>
      <c r="F21" s="89" t="n">
        <v>480</v>
      </c>
      <c r="G21" s="89" t="n">
        <v>40</v>
      </c>
      <c r="H21" s="89" t="n">
        <v>29</v>
      </c>
      <c r="I21" s="89" t="n">
        <v>28</v>
      </c>
      <c r="J21" s="89" t="n">
        <v>0</v>
      </c>
      <c r="K21" s="89" t="n">
        <v>0</v>
      </c>
      <c r="L21" s="89" t="n">
        <v>0</v>
      </c>
      <c r="M21" s="89" t="n">
        <v>0</v>
      </c>
      <c r="N21" s="89" t="n">
        <v>1</v>
      </c>
      <c r="O21" s="90">
        <f>IF($E21="","",IFERROR(INDEX(PARAMETRES!$O$7:$O$36,MATCH($E21,PARAMETRES!$M$7:$M$36,0)),""))</f>
        <v/>
      </c>
      <c r="P21" s="89" t="n">
        <v>5227</v>
      </c>
      <c r="Q21" s="89" t="n">
        <v>5195</v>
      </c>
      <c r="R21" s="89" t="n">
        <v>14</v>
      </c>
      <c r="S21" s="89" t="n">
        <v>18</v>
      </c>
      <c r="T21" s="89" t="n">
        <v>5541</v>
      </c>
      <c r="U21" s="91" t="n">
        <v>12</v>
      </c>
      <c r="V21" s="91" t="n">
        <v>12</v>
      </c>
      <c r="W21" s="91" t="n">
        <v>0</v>
      </c>
      <c r="X21" s="89" t="n">
        <v>0</v>
      </c>
      <c r="Y21" s="89" t="n">
        <v>0</v>
      </c>
      <c r="Z21" s="88" t="inlineStr">
        <is>
          <t>PAN-01</t>
        </is>
      </c>
      <c r="AA21" s="88" t="inlineStr">
        <is>
          <t>Panne mécanique — Assemblage</t>
        </is>
      </c>
      <c r="AB21" s="92">
        <f>IF($A21="","",MAX(0,$F21-$G21))</f>
        <v/>
      </c>
      <c r="AC21" s="92">
        <f>IF($A21="","",SUM($H21:$M21))</f>
        <v/>
      </c>
      <c r="AD21" s="92">
        <f>IF($A21="","",MAX(0,$AB21-$AC21))</f>
        <v/>
      </c>
      <c r="AE21" s="92">
        <f>IF($A21="","",IFERROR($Q21/$O21,""))</f>
        <v/>
      </c>
      <c r="AF21" s="93">
        <f>IF($A21="","",IFERROR($AD21/$AB21,""))</f>
        <v/>
      </c>
      <c r="AG21" s="93">
        <f>IF($A21="","",IFERROR(($P21/$O21)/$AD21,""))</f>
        <v/>
      </c>
      <c r="AH21" s="93">
        <f>IF($A21="","",IFERROR($Q21/$P21,""))</f>
        <v/>
      </c>
      <c r="AI21" s="93">
        <f>IF($A21="","",IFERROR($AF21*$AG21*$AH21,""))</f>
        <v/>
      </c>
      <c r="AJ21" s="93">
        <f>IF($A21="","",IFERROR($AE21/$F21,""))</f>
        <v/>
      </c>
      <c r="AK21" s="92">
        <f>IF($A21="","",IFERROR($AD21/$N21,""))</f>
        <v/>
      </c>
      <c r="AL21" s="92">
        <f>IF($A21="","",IFERROR($H21/$N21,""))</f>
        <v/>
      </c>
      <c r="AM21" s="92">
        <f>IF($A21="","",IFERROR(($P21-$Q21)/$P21*1000000,""))</f>
        <v/>
      </c>
      <c r="AN21" s="93">
        <f>IF($A21="","",IFERROR(($Q21+$R21)/$T21,""))</f>
        <v/>
      </c>
      <c r="AO21" s="93">
        <f>IF($A21="","",IFERROR($V21/$U21,""))</f>
        <v/>
      </c>
      <c r="AP21" s="92">
        <f>IF($A21="","",IFERROR(MAX(0,$AD21-$P21/$O21),""))</f>
        <v/>
      </c>
      <c r="AQ21" s="92">
        <f>IF($A21="","",IFERROR(($P21-$Q21)/$O21,""))</f>
        <v/>
      </c>
      <c r="AR21" s="94">
        <f>IF($A21="","",IF($F21="","Temps d'ouverture manquant",IF($O21="","Cadence produit inconnue",IF($G21&gt;$F21,"Arrêts planifiés &gt; temps d'ouverture",IF($AC21&gt;$AB21,"Arrêts subis &gt; temps requis",IF($P21&lt;&gt;$Q21+$R21+$S21,"Produite ≠ conforme + retouchée + rebutée",IF($Q21&gt;$P21,"Conforme &gt; produite",IF($V21&gt;$U21,"Présents &gt; prévus","OK"))))))))</f>
        <v/>
      </c>
      <c r="AS21" s="95">
        <f>IF($A21="",0,IF(AND(OR(COCKPIT!$H$4="Toutes",$C21=COCKPIT!$H$4),OR(COCKPIT!$K$4="Toutes",$B21=COCKPIT!$K$4)),1,0))</f>
        <v/>
      </c>
    </row>
    <row r="22" ht="15" customHeight="1">
      <c r="A22" s="87" t="n">
        <v>46036</v>
      </c>
      <c r="B22" s="88" t="inlineStr">
        <is>
          <t>Équipe B (après-midi)</t>
        </is>
      </c>
      <c r="C22" s="88" t="inlineStr">
        <is>
          <t>Ligne 2 - Usinage</t>
        </is>
      </c>
      <c r="D22" s="88" t="inlineStr">
        <is>
          <t>OF-01018</t>
        </is>
      </c>
      <c r="E22" s="88" t="inlineStr">
        <is>
          <t>REF-2001</t>
        </is>
      </c>
      <c r="F22" s="89" t="n">
        <v>480</v>
      </c>
      <c r="G22" s="89" t="n">
        <v>40</v>
      </c>
      <c r="H22" s="89" t="n">
        <v>0</v>
      </c>
      <c r="I22" s="89" t="n">
        <v>0</v>
      </c>
      <c r="J22" s="89" t="n">
        <v>14</v>
      </c>
      <c r="K22" s="89" t="n">
        <v>28</v>
      </c>
      <c r="L22" s="89" t="n">
        <v>0</v>
      </c>
      <c r="M22" s="89" t="n">
        <v>18</v>
      </c>
      <c r="N22" s="89" t="n">
        <v>0</v>
      </c>
      <c r="O22" s="90">
        <f>IF($E22="","",IFERROR(INDEX(PARAMETRES!$O$7:$O$36,MATCH($E22,PARAMETRES!$M$7:$M$36,0)),""))</f>
        <v/>
      </c>
      <c r="P22" s="89" t="n">
        <v>2975</v>
      </c>
      <c r="Q22" s="89" t="n">
        <v>2924</v>
      </c>
      <c r="R22" s="89" t="n">
        <v>22</v>
      </c>
      <c r="S22" s="89" t="n">
        <v>29</v>
      </c>
      <c r="T22" s="89" t="n">
        <v>3101</v>
      </c>
      <c r="U22" s="91" t="n">
        <v>8</v>
      </c>
      <c r="V22" s="91" t="n">
        <v>8</v>
      </c>
      <c r="W22" s="91" t="n">
        <v>0</v>
      </c>
      <c r="X22" s="89" t="n">
        <v>0</v>
      </c>
      <c r="Y22" s="89" t="n">
        <v>0</v>
      </c>
      <c r="Z22" s="88" t="inlineStr">
        <is>
          <t>MAT-02</t>
        </is>
      </c>
      <c r="AA22" s="88" t="inlineStr">
        <is>
          <t>Matière non conforme (rebut fournisseur) — Usinage</t>
        </is>
      </c>
      <c r="AB22" s="92">
        <f>IF($A22="","",MAX(0,$F22-$G22))</f>
        <v/>
      </c>
      <c r="AC22" s="92">
        <f>IF($A22="","",SUM($H22:$M22))</f>
        <v/>
      </c>
      <c r="AD22" s="92">
        <f>IF($A22="","",MAX(0,$AB22-$AC22))</f>
        <v/>
      </c>
      <c r="AE22" s="92">
        <f>IF($A22="","",IFERROR($Q22/$O22,""))</f>
        <v/>
      </c>
      <c r="AF22" s="93">
        <f>IF($A22="","",IFERROR($AD22/$AB22,""))</f>
        <v/>
      </c>
      <c r="AG22" s="93">
        <f>IF($A22="","",IFERROR(($P22/$O22)/$AD22,""))</f>
        <v/>
      </c>
      <c r="AH22" s="93">
        <f>IF($A22="","",IFERROR($Q22/$P22,""))</f>
        <v/>
      </c>
      <c r="AI22" s="93">
        <f>IF($A22="","",IFERROR($AF22*$AG22*$AH22,""))</f>
        <v/>
      </c>
      <c r="AJ22" s="93">
        <f>IF($A22="","",IFERROR($AE22/$F22,""))</f>
        <v/>
      </c>
      <c r="AK22" s="92">
        <f>IF($A22="","",IFERROR($AD22/$N22,""))</f>
        <v/>
      </c>
      <c r="AL22" s="92">
        <f>IF($A22="","",IFERROR($H22/$N22,""))</f>
        <v/>
      </c>
      <c r="AM22" s="92">
        <f>IF($A22="","",IFERROR(($P22-$Q22)/$P22*1000000,""))</f>
        <v/>
      </c>
      <c r="AN22" s="93">
        <f>IF($A22="","",IFERROR(($Q22+$R22)/$T22,""))</f>
        <v/>
      </c>
      <c r="AO22" s="93">
        <f>IF($A22="","",IFERROR($V22/$U22,""))</f>
        <v/>
      </c>
      <c r="AP22" s="92">
        <f>IF($A22="","",IFERROR(MAX(0,$AD22-$P22/$O22),""))</f>
        <v/>
      </c>
      <c r="AQ22" s="92">
        <f>IF($A22="","",IFERROR(($P22-$Q22)/$O22,""))</f>
        <v/>
      </c>
      <c r="AR22" s="94">
        <f>IF($A22="","",IF($F22="","Temps d'ouverture manquant",IF($O22="","Cadence produit inconnue",IF($G22&gt;$F22,"Arrêts planifiés &gt; temps d'ouverture",IF($AC22&gt;$AB22,"Arrêts subis &gt; temps requis",IF($P22&lt;&gt;$Q22+$R22+$S22,"Produite ≠ conforme + retouchée + rebutée",IF($Q22&gt;$P22,"Conforme &gt; produite",IF($V22&gt;$U22,"Présents &gt; prévus","OK"))))))))</f>
        <v/>
      </c>
      <c r="AS22" s="95">
        <f>IF($A22="",0,IF(AND(OR(COCKPIT!$H$4="Toutes",$C22=COCKPIT!$H$4),OR(COCKPIT!$K$4="Toutes",$B22=COCKPIT!$K$4)),1,0))</f>
        <v/>
      </c>
    </row>
    <row r="23" ht="15" customHeight="1">
      <c r="A23" s="87" t="n">
        <v>46037</v>
      </c>
      <c r="B23" s="88" t="inlineStr">
        <is>
          <t>Équipe B (après-midi)</t>
        </is>
      </c>
      <c r="C23" s="88" t="inlineStr">
        <is>
          <t>Ligne 1 - Assemblage</t>
        </is>
      </c>
      <c r="D23" s="88" t="inlineStr">
        <is>
          <t>OF-01019</t>
        </is>
      </c>
      <c r="E23" s="88" t="inlineStr">
        <is>
          <t>REF-1002</t>
        </is>
      </c>
      <c r="F23" s="89" t="n">
        <v>480</v>
      </c>
      <c r="G23" s="89" t="n">
        <v>40</v>
      </c>
      <c r="H23" s="89" t="n">
        <v>18</v>
      </c>
      <c r="I23" s="89" t="n">
        <v>0</v>
      </c>
      <c r="J23" s="89" t="n">
        <v>9</v>
      </c>
      <c r="K23" s="89" t="n">
        <v>23</v>
      </c>
      <c r="L23" s="89" t="n">
        <v>19</v>
      </c>
      <c r="M23" s="89" t="n">
        <v>17</v>
      </c>
      <c r="N23" s="89" t="n">
        <v>1</v>
      </c>
      <c r="O23" s="90">
        <f>IF($E23="","",IFERROR(INDEX(PARAMETRES!$O$7:$O$36,MATCH($E23,PARAMETRES!$M$7:$M$36,0)),""))</f>
        <v/>
      </c>
      <c r="P23" s="89" t="n">
        <v>4115</v>
      </c>
      <c r="Q23" s="89" t="n">
        <v>4053</v>
      </c>
      <c r="R23" s="89" t="n">
        <v>27</v>
      </c>
      <c r="S23" s="89" t="n">
        <v>35</v>
      </c>
      <c r="T23" s="89" t="n">
        <v>4434</v>
      </c>
      <c r="U23" s="91" t="n">
        <v>12</v>
      </c>
      <c r="V23" s="91" t="n">
        <v>12</v>
      </c>
      <c r="W23" s="91" t="n">
        <v>0</v>
      </c>
      <c r="X23" s="89" t="n">
        <v>0</v>
      </c>
      <c r="Y23" s="89" t="n">
        <v>1</v>
      </c>
      <c r="Z23" s="88" t="inlineStr">
        <is>
          <t>MAT-01</t>
        </is>
      </c>
      <c r="AA23" s="88" t="inlineStr">
        <is>
          <t>Rupture d'approvisionnement matière — Assemblage</t>
        </is>
      </c>
      <c r="AB23" s="92">
        <f>IF($A23="","",MAX(0,$F23-$G23))</f>
        <v/>
      </c>
      <c r="AC23" s="92">
        <f>IF($A23="","",SUM($H23:$M23))</f>
        <v/>
      </c>
      <c r="AD23" s="92">
        <f>IF($A23="","",MAX(0,$AB23-$AC23))</f>
        <v/>
      </c>
      <c r="AE23" s="92">
        <f>IF($A23="","",IFERROR($Q23/$O23,""))</f>
        <v/>
      </c>
      <c r="AF23" s="93">
        <f>IF($A23="","",IFERROR($AD23/$AB23,""))</f>
        <v/>
      </c>
      <c r="AG23" s="93">
        <f>IF($A23="","",IFERROR(($P23/$O23)/$AD23,""))</f>
        <v/>
      </c>
      <c r="AH23" s="93">
        <f>IF($A23="","",IFERROR($Q23/$P23,""))</f>
        <v/>
      </c>
      <c r="AI23" s="93">
        <f>IF($A23="","",IFERROR($AF23*$AG23*$AH23,""))</f>
        <v/>
      </c>
      <c r="AJ23" s="93">
        <f>IF($A23="","",IFERROR($AE23/$F23,""))</f>
        <v/>
      </c>
      <c r="AK23" s="92">
        <f>IF($A23="","",IFERROR($AD23/$N23,""))</f>
        <v/>
      </c>
      <c r="AL23" s="92">
        <f>IF($A23="","",IFERROR($H23/$N23,""))</f>
        <v/>
      </c>
      <c r="AM23" s="92">
        <f>IF($A23="","",IFERROR(($P23-$Q23)/$P23*1000000,""))</f>
        <v/>
      </c>
      <c r="AN23" s="93">
        <f>IF($A23="","",IFERROR(($Q23+$R23)/$T23,""))</f>
        <v/>
      </c>
      <c r="AO23" s="93">
        <f>IF($A23="","",IFERROR($V23/$U23,""))</f>
        <v/>
      </c>
      <c r="AP23" s="92">
        <f>IF($A23="","",IFERROR(MAX(0,$AD23-$P23/$O23),""))</f>
        <v/>
      </c>
      <c r="AQ23" s="92">
        <f>IF($A23="","",IFERROR(($P23-$Q23)/$O23,""))</f>
        <v/>
      </c>
      <c r="AR23" s="94">
        <f>IF($A23="","",IF($F23="","Temps d'ouverture manquant",IF($O23="","Cadence produit inconnue",IF($G23&gt;$F23,"Arrêts planifiés &gt; temps d'ouverture",IF($AC23&gt;$AB23,"Arrêts subis &gt; temps requis",IF($P23&lt;&gt;$Q23+$R23+$S23,"Produite ≠ conforme + retouchée + rebutée",IF($Q23&gt;$P23,"Conforme &gt; produite",IF($V23&gt;$U23,"Présents &gt; prévus","OK"))))))))</f>
        <v/>
      </c>
      <c r="AS23" s="95">
        <f>IF($A23="",0,IF(AND(OR(COCKPIT!$H$4="Toutes",$C23=COCKPIT!$H$4),OR(COCKPIT!$K$4="Toutes",$B23=COCKPIT!$K$4)),1,0))</f>
        <v/>
      </c>
    </row>
    <row r="24" ht="15" customHeight="1">
      <c r="A24" s="87" t="n">
        <v>46037</v>
      </c>
      <c r="B24" s="88" t="inlineStr">
        <is>
          <t>Équipe A (matin)</t>
        </is>
      </c>
      <c r="C24" s="88" t="inlineStr">
        <is>
          <t>Ligne 2 - Usinage</t>
        </is>
      </c>
      <c r="D24" s="88" t="inlineStr">
        <is>
          <t>OF-01020</t>
        </is>
      </c>
      <c r="E24" s="88" t="inlineStr">
        <is>
          <t>REF-2002</t>
        </is>
      </c>
      <c r="F24" s="89" t="n">
        <v>480</v>
      </c>
      <c r="G24" s="89" t="n">
        <v>40</v>
      </c>
      <c r="H24" s="89" t="n">
        <v>42</v>
      </c>
      <c r="I24" s="89" t="n">
        <v>0</v>
      </c>
      <c r="J24" s="89" t="n">
        <v>0</v>
      </c>
      <c r="K24" s="89" t="n">
        <v>0</v>
      </c>
      <c r="L24" s="89" t="n">
        <v>0</v>
      </c>
      <c r="M24" s="89" t="n">
        <v>19</v>
      </c>
      <c r="N24" s="89" t="n">
        <v>1</v>
      </c>
      <c r="O24" s="90">
        <f>IF($E24="","",IFERROR(INDEX(PARAMETRES!$O$7:$O$36,MATCH($E24,PARAMETRES!$M$7:$M$36,0)),""))</f>
        <v/>
      </c>
      <c r="P24" s="89" t="n">
        <v>2529</v>
      </c>
      <c r="Q24" s="89" t="n">
        <v>2498</v>
      </c>
      <c r="R24" s="89" t="n">
        <v>13</v>
      </c>
      <c r="S24" s="89" t="n">
        <v>18</v>
      </c>
      <c r="T24" s="89" t="n">
        <v>2700</v>
      </c>
      <c r="U24" s="91" t="n">
        <v>8</v>
      </c>
      <c r="V24" s="91" t="n">
        <v>7</v>
      </c>
      <c r="W24" s="91" t="n">
        <v>0</v>
      </c>
      <c r="X24" s="89" t="n">
        <v>0</v>
      </c>
      <c r="Y24" s="89" t="n">
        <v>0</v>
      </c>
      <c r="Z24" s="88" t="inlineStr">
        <is>
          <t>PAN-02</t>
        </is>
      </c>
      <c r="AA24" s="88" t="inlineStr">
        <is>
          <t>Panne électrique ou capteur — Usinage</t>
        </is>
      </c>
      <c r="AB24" s="92">
        <f>IF($A24="","",MAX(0,$F24-$G24))</f>
        <v/>
      </c>
      <c r="AC24" s="92">
        <f>IF($A24="","",SUM($H24:$M24))</f>
        <v/>
      </c>
      <c r="AD24" s="92">
        <f>IF($A24="","",MAX(0,$AB24-$AC24))</f>
        <v/>
      </c>
      <c r="AE24" s="92">
        <f>IF($A24="","",IFERROR($Q24/$O24,""))</f>
        <v/>
      </c>
      <c r="AF24" s="93">
        <f>IF($A24="","",IFERROR($AD24/$AB24,""))</f>
        <v/>
      </c>
      <c r="AG24" s="93">
        <f>IF($A24="","",IFERROR(($P24/$O24)/$AD24,""))</f>
        <v/>
      </c>
      <c r="AH24" s="93">
        <f>IF($A24="","",IFERROR($Q24/$P24,""))</f>
        <v/>
      </c>
      <c r="AI24" s="93">
        <f>IF($A24="","",IFERROR($AF24*$AG24*$AH24,""))</f>
        <v/>
      </c>
      <c r="AJ24" s="93">
        <f>IF($A24="","",IFERROR($AE24/$F24,""))</f>
        <v/>
      </c>
      <c r="AK24" s="92">
        <f>IF($A24="","",IFERROR($AD24/$N24,""))</f>
        <v/>
      </c>
      <c r="AL24" s="92">
        <f>IF($A24="","",IFERROR($H24/$N24,""))</f>
        <v/>
      </c>
      <c r="AM24" s="92">
        <f>IF($A24="","",IFERROR(($P24-$Q24)/$P24*1000000,""))</f>
        <v/>
      </c>
      <c r="AN24" s="93">
        <f>IF($A24="","",IFERROR(($Q24+$R24)/$T24,""))</f>
        <v/>
      </c>
      <c r="AO24" s="93">
        <f>IF($A24="","",IFERROR($V24/$U24,""))</f>
        <v/>
      </c>
      <c r="AP24" s="92">
        <f>IF($A24="","",IFERROR(MAX(0,$AD24-$P24/$O24),""))</f>
        <v/>
      </c>
      <c r="AQ24" s="92">
        <f>IF($A24="","",IFERROR(($P24-$Q24)/$O24,""))</f>
        <v/>
      </c>
      <c r="AR24" s="94">
        <f>IF($A24="","",IF($F24="","Temps d'ouverture manquant",IF($O24="","Cadence produit inconnue",IF($G24&gt;$F24,"Arrêts planifiés &gt; temps d'ouverture",IF($AC24&gt;$AB24,"Arrêts subis &gt; temps requis",IF($P24&lt;&gt;$Q24+$R24+$S24,"Produite ≠ conforme + retouchée + rebutée",IF($Q24&gt;$P24,"Conforme &gt; produite",IF($V24&gt;$U24,"Présents &gt; prévus","OK"))))))))</f>
        <v/>
      </c>
      <c r="AS24" s="95">
        <f>IF($A24="",0,IF(AND(OR(COCKPIT!$H$4="Toutes",$C24=COCKPIT!$H$4),OR(COCKPIT!$K$4="Toutes",$B24=COCKPIT!$K$4)),1,0))</f>
        <v/>
      </c>
    </row>
    <row r="25" ht="15" customHeight="1">
      <c r="A25" s="87" t="n">
        <v>46038</v>
      </c>
      <c r="B25" s="88" t="inlineStr">
        <is>
          <t>Équipe A (matin)</t>
        </is>
      </c>
      <c r="C25" s="88" t="inlineStr">
        <is>
          <t>Ligne 1 - Assemblage</t>
        </is>
      </c>
      <c r="D25" s="88" t="inlineStr">
        <is>
          <t>OF-01021</t>
        </is>
      </c>
      <c r="E25" s="88" t="inlineStr">
        <is>
          <t>REF-1001</t>
        </is>
      </c>
      <c r="F25" s="89" t="n">
        <v>480</v>
      </c>
      <c r="G25" s="89" t="n">
        <v>40</v>
      </c>
      <c r="H25" s="89" t="n">
        <v>42</v>
      </c>
      <c r="I25" s="89" t="n">
        <v>17</v>
      </c>
      <c r="J25" s="89" t="n">
        <v>9</v>
      </c>
      <c r="K25" s="89" t="n">
        <v>0</v>
      </c>
      <c r="L25" s="89" t="n">
        <v>22</v>
      </c>
      <c r="M25" s="89" t="n">
        <v>0</v>
      </c>
      <c r="N25" s="89" t="n">
        <v>1</v>
      </c>
      <c r="O25" s="90">
        <f>IF($E25="","",IFERROR(INDEX(PARAMETRES!$O$7:$O$36,MATCH($E25,PARAMETRES!$M$7:$M$36,0)),""))</f>
        <v/>
      </c>
      <c r="P25" s="89" t="n">
        <v>4987</v>
      </c>
      <c r="Q25" s="89" t="n">
        <v>4937</v>
      </c>
      <c r="R25" s="89" t="n">
        <v>22</v>
      </c>
      <c r="S25" s="89" t="n">
        <v>28</v>
      </c>
      <c r="T25" s="89" t="n">
        <v>5009</v>
      </c>
      <c r="U25" s="91" t="n">
        <v>12</v>
      </c>
      <c r="V25" s="91" t="n">
        <v>12</v>
      </c>
      <c r="W25" s="91" t="n">
        <v>0</v>
      </c>
      <c r="X25" s="89" t="n">
        <v>0</v>
      </c>
      <c r="Y25" s="89" t="n">
        <v>0</v>
      </c>
      <c r="Z25" s="88" t="inlineStr">
        <is>
          <t>PAN-01</t>
        </is>
      </c>
      <c r="AA25" s="88" t="inlineStr">
        <is>
          <t>Panne mécanique — Assemblage</t>
        </is>
      </c>
      <c r="AB25" s="92">
        <f>IF($A25="","",MAX(0,$F25-$G25))</f>
        <v/>
      </c>
      <c r="AC25" s="92">
        <f>IF($A25="","",SUM($H25:$M25))</f>
        <v/>
      </c>
      <c r="AD25" s="92">
        <f>IF($A25="","",MAX(0,$AB25-$AC25))</f>
        <v/>
      </c>
      <c r="AE25" s="92">
        <f>IF($A25="","",IFERROR($Q25/$O25,""))</f>
        <v/>
      </c>
      <c r="AF25" s="93">
        <f>IF($A25="","",IFERROR($AD25/$AB25,""))</f>
        <v/>
      </c>
      <c r="AG25" s="93">
        <f>IF($A25="","",IFERROR(($P25/$O25)/$AD25,""))</f>
        <v/>
      </c>
      <c r="AH25" s="93">
        <f>IF($A25="","",IFERROR($Q25/$P25,""))</f>
        <v/>
      </c>
      <c r="AI25" s="93">
        <f>IF($A25="","",IFERROR($AF25*$AG25*$AH25,""))</f>
        <v/>
      </c>
      <c r="AJ25" s="93">
        <f>IF($A25="","",IFERROR($AE25/$F25,""))</f>
        <v/>
      </c>
      <c r="AK25" s="92">
        <f>IF($A25="","",IFERROR($AD25/$N25,""))</f>
        <v/>
      </c>
      <c r="AL25" s="92">
        <f>IF($A25="","",IFERROR($H25/$N25,""))</f>
        <v/>
      </c>
      <c r="AM25" s="92">
        <f>IF($A25="","",IFERROR(($P25-$Q25)/$P25*1000000,""))</f>
        <v/>
      </c>
      <c r="AN25" s="93">
        <f>IF($A25="","",IFERROR(($Q25+$R25)/$T25,""))</f>
        <v/>
      </c>
      <c r="AO25" s="93">
        <f>IF($A25="","",IFERROR($V25/$U25,""))</f>
        <v/>
      </c>
      <c r="AP25" s="92">
        <f>IF($A25="","",IFERROR(MAX(0,$AD25-$P25/$O25),""))</f>
        <v/>
      </c>
      <c r="AQ25" s="92">
        <f>IF($A25="","",IFERROR(($P25-$Q25)/$O25,""))</f>
        <v/>
      </c>
      <c r="AR25" s="94">
        <f>IF($A25="","",IF($F25="","Temps d'ouverture manquant",IF($O25="","Cadence produit inconnue",IF($G25&gt;$F25,"Arrêts planifiés &gt; temps d'ouverture",IF($AC25&gt;$AB25,"Arrêts subis &gt; temps requis",IF($P25&lt;&gt;$Q25+$R25+$S25,"Produite ≠ conforme + retouchée + rebutée",IF($Q25&gt;$P25,"Conforme &gt; produite",IF($V25&gt;$U25,"Présents &gt; prévus","OK"))))))))</f>
        <v/>
      </c>
      <c r="AS25" s="95">
        <f>IF($A25="",0,IF(AND(OR(COCKPIT!$H$4="Toutes",$C25=COCKPIT!$H$4),OR(COCKPIT!$K$4="Toutes",$B25=COCKPIT!$K$4)),1,0))</f>
        <v/>
      </c>
    </row>
    <row r="26" ht="15" customHeight="1">
      <c r="A26" s="87" t="n">
        <v>46038</v>
      </c>
      <c r="B26" s="88" t="inlineStr">
        <is>
          <t>Équipe B (après-midi)</t>
        </is>
      </c>
      <c r="C26" s="88" t="inlineStr">
        <is>
          <t>Ligne 2 - Usinage</t>
        </is>
      </c>
      <c r="D26" s="88" t="inlineStr">
        <is>
          <t>OF-01022</t>
        </is>
      </c>
      <c r="E26" s="88" t="inlineStr">
        <is>
          <t>REF-2001</t>
        </is>
      </c>
      <c r="F26" s="89" t="n">
        <v>480</v>
      </c>
      <c r="G26" s="89" t="n">
        <v>40</v>
      </c>
      <c r="H26" s="89" t="n">
        <v>30</v>
      </c>
      <c r="I26" s="89" t="n">
        <v>32</v>
      </c>
      <c r="J26" s="89" t="n">
        <v>11</v>
      </c>
      <c r="K26" s="89" t="n">
        <v>13</v>
      </c>
      <c r="L26" s="89" t="n">
        <v>0</v>
      </c>
      <c r="M26" s="89" t="n">
        <v>12</v>
      </c>
      <c r="N26" s="89" t="n">
        <v>1</v>
      </c>
      <c r="O26" s="90">
        <f>IF($E26="","",IFERROR(INDEX(PARAMETRES!$O$7:$O$36,MATCH($E26,PARAMETRES!$M$7:$M$36,0)),""))</f>
        <v/>
      </c>
      <c r="P26" s="89" t="n">
        <v>2800</v>
      </c>
      <c r="Q26" s="89" t="n">
        <v>2780</v>
      </c>
      <c r="R26" s="89" t="n">
        <v>9</v>
      </c>
      <c r="S26" s="89" t="n">
        <v>11</v>
      </c>
      <c r="T26" s="89" t="n">
        <v>2789</v>
      </c>
      <c r="U26" s="91" t="n">
        <v>8</v>
      </c>
      <c r="V26" s="91" t="n">
        <v>8</v>
      </c>
      <c r="W26" s="91" t="n">
        <v>0</v>
      </c>
      <c r="X26" s="89" t="n">
        <v>0</v>
      </c>
      <c r="Y26" s="89" t="n">
        <v>0</v>
      </c>
      <c r="Z26" s="88" t="inlineStr">
        <is>
          <t>CDS-01</t>
        </is>
      </c>
      <c r="AA26" s="88" t="inlineStr">
        <is>
          <t>Changement de série (outillage) — Usinage</t>
        </is>
      </c>
      <c r="AB26" s="92">
        <f>IF($A26="","",MAX(0,$F26-$G26))</f>
        <v/>
      </c>
      <c r="AC26" s="92">
        <f>IF($A26="","",SUM($H26:$M26))</f>
        <v/>
      </c>
      <c r="AD26" s="92">
        <f>IF($A26="","",MAX(0,$AB26-$AC26))</f>
        <v/>
      </c>
      <c r="AE26" s="92">
        <f>IF($A26="","",IFERROR($Q26/$O26,""))</f>
        <v/>
      </c>
      <c r="AF26" s="93">
        <f>IF($A26="","",IFERROR($AD26/$AB26,""))</f>
        <v/>
      </c>
      <c r="AG26" s="93">
        <f>IF($A26="","",IFERROR(($P26/$O26)/$AD26,""))</f>
        <v/>
      </c>
      <c r="AH26" s="93">
        <f>IF($A26="","",IFERROR($Q26/$P26,""))</f>
        <v/>
      </c>
      <c r="AI26" s="93">
        <f>IF($A26="","",IFERROR($AF26*$AG26*$AH26,""))</f>
        <v/>
      </c>
      <c r="AJ26" s="93">
        <f>IF($A26="","",IFERROR($AE26/$F26,""))</f>
        <v/>
      </c>
      <c r="AK26" s="92">
        <f>IF($A26="","",IFERROR($AD26/$N26,""))</f>
        <v/>
      </c>
      <c r="AL26" s="92">
        <f>IF($A26="","",IFERROR($H26/$N26,""))</f>
        <v/>
      </c>
      <c r="AM26" s="92">
        <f>IF($A26="","",IFERROR(($P26-$Q26)/$P26*1000000,""))</f>
        <v/>
      </c>
      <c r="AN26" s="93">
        <f>IF($A26="","",IFERROR(($Q26+$R26)/$T26,""))</f>
        <v/>
      </c>
      <c r="AO26" s="93">
        <f>IF($A26="","",IFERROR($V26/$U26,""))</f>
        <v/>
      </c>
      <c r="AP26" s="92">
        <f>IF($A26="","",IFERROR(MAX(0,$AD26-$P26/$O26),""))</f>
        <v/>
      </c>
      <c r="AQ26" s="92">
        <f>IF($A26="","",IFERROR(($P26-$Q26)/$O26,""))</f>
        <v/>
      </c>
      <c r="AR26" s="94">
        <f>IF($A26="","",IF($F26="","Temps d'ouverture manquant",IF($O26="","Cadence produit inconnue",IF($G26&gt;$F26,"Arrêts planifiés &gt; temps d'ouverture",IF($AC26&gt;$AB26,"Arrêts subis &gt; temps requis",IF($P26&lt;&gt;$Q26+$R26+$S26,"Produite ≠ conforme + retouchée + rebutée",IF($Q26&gt;$P26,"Conforme &gt; produite",IF($V26&gt;$U26,"Présents &gt; prévus","OK"))))))))</f>
        <v/>
      </c>
      <c r="AS26" s="95">
        <f>IF($A26="",0,IF(AND(OR(COCKPIT!$H$4="Toutes",$C26=COCKPIT!$H$4),OR(COCKPIT!$K$4="Toutes",$B26=COCKPIT!$K$4)),1,0))</f>
        <v/>
      </c>
    </row>
    <row r="27" ht="15" customHeight="1">
      <c r="A27" s="87" t="n">
        <v>46041</v>
      </c>
      <c r="B27" s="88" t="inlineStr">
        <is>
          <t>Équipe B (après-midi)</t>
        </is>
      </c>
      <c r="C27" s="88" t="inlineStr">
        <is>
          <t>Ligne 1 - Assemblage</t>
        </is>
      </c>
      <c r="D27" s="88" t="inlineStr">
        <is>
          <t>OF-01023</t>
        </is>
      </c>
      <c r="E27" s="88" t="inlineStr">
        <is>
          <t>REF-1002</t>
        </is>
      </c>
      <c r="F27" s="89" t="n">
        <v>480</v>
      </c>
      <c r="G27" s="89" t="n">
        <v>40</v>
      </c>
      <c r="H27" s="89" t="n">
        <v>0</v>
      </c>
      <c r="I27" s="89" t="n">
        <v>0</v>
      </c>
      <c r="J27" s="89" t="n">
        <v>0</v>
      </c>
      <c r="K27" s="89" t="n">
        <v>15</v>
      </c>
      <c r="L27" s="89" t="n">
        <v>14</v>
      </c>
      <c r="M27" s="89" t="n">
        <v>15</v>
      </c>
      <c r="N27" s="89" t="n">
        <v>0</v>
      </c>
      <c r="O27" s="90">
        <f>IF($E27="","",IFERROR(INDEX(PARAMETRES!$O$7:$O$36,MATCH($E27,PARAMETRES!$M$7:$M$36,0)),""))</f>
        <v/>
      </c>
      <c r="P27" s="89" t="n">
        <v>4257</v>
      </c>
      <c r="Q27" s="89" t="n">
        <v>4235</v>
      </c>
      <c r="R27" s="89" t="n">
        <v>9</v>
      </c>
      <c r="S27" s="89" t="n">
        <v>13</v>
      </c>
      <c r="T27" s="89" t="n">
        <v>4375</v>
      </c>
      <c r="U27" s="91" t="n">
        <v>12</v>
      </c>
      <c r="V27" s="91" t="n">
        <v>12</v>
      </c>
      <c r="W27" s="91" t="n">
        <v>0</v>
      </c>
      <c r="X27" s="89" t="n">
        <v>0</v>
      </c>
      <c r="Y27" s="89" t="n">
        <v>0</v>
      </c>
      <c r="Z27" s="88" t="inlineStr">
        <is>
          <t>MAT-01</t>
        </is>
      </c>
      <c r="AA27" s="88" t="inlineStr">
        <is>
          <t>Rupture d'approvisionnement matière — Assemblage</t>
        </is>
      </c>
      <c r="AB27" s="92">
        <f>IF($A27="","",MAX(0,$F27-$G27))</f>
        <v/>
      </c>
      <c r="AC27" s="92">
        <f>IF($A27="","",SUM($H27:$M27))</f>
        <v/>
      </c>
      <c r="AD27" s="92">
        <f>IF($A27="","",MAX(0,$AB27-$AC27))</f>
        <v/>
      </c>
      <c r="AE27" s="92">
        <f>IF($A27="","",IFERROR($Q27/$O27,""))</f>
        <v/>
      </c>
      <c r="AF27" s="93">
        <f>IF($A27="","",IFERROR($AD27/$AB27,""))</f>
        <v/>
      </c>
      <c r="AG27" s="93">
        <f>IF($A27="","",IFERROR(($P27/$O27)/$AD27,""))</f>
        <v/>
      </c>
      <c r="AH27" s="93">
        <f>IF($A27="","",IFERROR($Q27/$P27,""))</f>
        <v/>
      </c>
      <c r="AI27" s="93">
        <f>IF($A27="","",IFERROR($AF27*$AG27*$AH27,""))</f>
        <v/>
      </c>
      <c r="AJ27" s="93">
        <f>IF($A27="","",IFERROR($AE27/$F27,""))</f>
        <v/>
      </c>
      <c r="AK27" s="92">
        <f>IF($A27="","",IFERROR($AD27/$N27,""))</f>
        <v/>
      </c>
      <c r="AL27" s="92">
        <f>IF($A27="","",IFERROR($H27/$N27,""))</f>
        <v/>
      </c>
      <c r="AM27" s="92">
        <f>IF($A27="","",IFERROR(($P27-$Q27)/$P27*1000000,""))</f>
        <v/>
      </c>
      <c r="AN27" s="93">
        <f>IF($A27="","",IFERROR(($Q27+$R27)/$T27,""))</f>
        <v/>
      </c>
      <c r="AO27" s="93">
        <f>IF($A27="","",IFERROR($V27/$U27,""))</f>
        <v/>
      </c>
      <c r="AP27" s="92">
        <f>IF($A27="","",IFERROR(MAX(0,$AD27-$P27/$O27),""))</f>
        <v/>
      </c>
      <c r="AQ27" s="92">
        <f>IF($A27="","",IFERROR(($P27-$Q27)/$O27,""))</f>
        <v/>
      </c>
      <c r="AR27" s="94">
        <f>IF($A27="","",IF($F27="","Temps d'ouverture manquant",IF($O27="","Cadence produit inconnue",IF($G27&gt;$F27,"Arrêts planifiés &gt; temps d'ouverture",IF($AC27&gt;$AB27,"Arrêts subis &gt; temps requis",IF($P27&lt;&gt;$Q27+$R27+$S27,"Produite ≠ conforme + retouchée + rebutée",IF($Q27&gt;$P27,"Conforme &gt; produite",IF($V27&gt;$U27,"Présents &gt; prévus","OK"))))))))</f>
        <v/>
      </c>
      <c r="AS27" s="95">
        <f>IF($A27="",0,IF(AND(OR(COCKPIT!$H$4="Toutes",$C27=COCKPIT!$H$4),OR(COCKPIT!$K$4="Toutes",$B27=COCKPIT!$K$4)),1,0))</f>
        <v/>
      </c>
    </row>
    <row r="28" ht="15" customHeight="1">
      <c r="A28" s="87" t="n">
        <v>46041</v>
      </c>
      <c r="B28" s="88" t="inlineStr">
        <is>
          <t>Équipe A (matin)</t>
        </is>
      </c>
      <c r="C28" s="88" t="inlineStr">
        <is>
          <t>Ligne 2 - Usinage</t>
        </is>
      </c>
      <c r="D28" s="88" t="inlineStr">
        <is>
          <t>OF-01024</t>
        </is>
      </c>
      <c r="E28" s="88" t="inlineStr">
        <is>
          <t>REF-2002</t>
        </is>
      </c>
      <c r="F28" s="89" t="n">
        <v>480</v>
      </c>
      <c r="G28" s="89" t="n">
        <v>40</v>
      </c>
      <c r="H28" s="89" t="n">
        <v>20</v>
      </c>
      <c r="I28" s="89" t="n">
        <v>29</v>
      </c>
      <c r="J28" s="89" t="n">
        <v>0</v>
      </c>
      <c r="K28" s="89" t="n">
        <v>18</v>
      </c>
      <c r="L28" s="89" t="n">
        <v>0</v>
      </c>
      <c r="M28" s="89" t="n">
        <v>14</v>
      </c>
      <c r="N28" s="89" t="n">
        <v>1</v>
      </c>
      <c r="O28" s="90">
        <f>IF($E28="","",IFERROR(INDEX(PARAMETRES!$O$7:$O$36,MATCH($E28,PARAMETRES!$M$7:$M$36,0)),""))</f>
        <v/>
      </c>
      <c r="P28" s="89" t="n">
        <v>2504</v>
      </c>
      <c r="Q28" s="89" t="n">
        <v>2463</v>
      </c>
      <c r="R28" s="89" t="n">
        <v>18</v>
      </c>
      <c r="S28" s="89" t="n">
        <v>23</v>
      </c>
      <c r="T28" s="89" t="n">
        <v>2531</v>
      </c>
      <c r="U28" s="91" t="n">
        <v>8</v>
      </c>
      <c r="V28" s="91" t="n">
        <v>8</v>
      </c>
      <c r="W28" s="91" t="n">
        <v>4</v>
      </c>
      <c r="X28" s="89" t="n">
        <v>0</v>
      </c>
      <c r="Y28" s="89" t="n">
        <v>0</v>
      </c>
      <c r="Z28" s="88" t="inlineStr">
        <is>
          <t>CDS-02</t>
        </is>
      </c>
      <c r="AA28" s="88" t="inlineStr">
        <is>
          <t>Attente outillage ou moyen de contrôle — Usinage</t>
        </is>
      </c>
      <c r="AB28" s="92">
        <f>IF($A28="","",MAX(0,$F28-$G28))</f>
        <v/>
      </c>
      <c r="AC28" s="92">
        <f>IF($A28="","",SUM($H28:$M28))</f>
        <v/>
      </c>
      <c r="AD28" s="92">
        <f>IF($A28="","",MAX(0,$AB28-$AC28))</f>
        <v/>
      </c>
      <c r="AE28" s="92">
        <f>IF($A28="","",IFERROR($Q28/$O28,""))</f>
        <v/>
      </c>
      <c r="AF28" s="93">
        <f>IF($A28="","",IFERROR($AD28/$AB28,""))</f>
        <v/>
      </c>
      <c r="AG28" s="93">
        <f>IF($A28="","",IFERROR(($P28/$O28)/$AD28,""))</f>
        <v/>
      </c>
      <c r="AH28" s="93">
        <f>IF($A28="","",IFERROR($Q28/$P28,""))</f>
        <v/>
      </c>
      <c r="AI28" s="93">
        <f>IF($A28="","",IFERROR($AF28*$AG28*$AH28,""))</f>
        <v/>
      </c>
      <c r="AJ28" s="93">
        <f>IF($A28="","",IFERROR($AE28/$F28,""))</f>
        <v/>
      </c>
      <c r="AK28" s="92">
        <f>IF($A28="","",IFERROR($AD28/$N28,""))</f>
        <v/>
      </c>
      <c r="AL28" s="92">
        <f>IF($A28="","",IFERROR($H28/$N28,""))</f>
        <v/>
      </c>
      <c r="AM28" s="92">
        <f>IF($A28="","",IFERROR(($P28-$Q28)/$P28*1000000,""))</f>
        <v/>
      </c>
      <c r="AN28" s="93">
        <f>IF($A28="","",IFERROR(($Q28+$R28)/$T28,""))</f>
        <v/>
      </c>
      <c r="AO28" s="93">
        <f>IF($A28="","",IFERROR($V28/$U28,""))</f>
        <v/>
      </c>
      <c r="AP28" s="92">
        <f>IF($A28="","",IFERROR(MAX(0,$AD28-$P28/$O28),""))</f>
        <v/>
      </c>
      <c r="AQ28" s="92">
        <f>IF($A28="","",IFERROR(($P28-$Q28)/$O28,""))</f>
        <v/>
      </c>
      <c r="AR28" s="94">
        <f>IF($A28="","",IF($F28="","Temps d'ouverture manquant",IF($O28="","Cadence produit inconnue",IF($G28&gt;$F28,"Arrêts planifiés &gt; temps d'ouverture",IF($AC28&gt;$AB28,"Arrêts subis &gt; temps requis",IF($P28&lt;&gt;$Q28+$R28+$S28,"Produite ≠ conforme + retouchée + rebutée",IF($Q28&gt;$P28,"Conforme &gt; produite",IF($V28&gt;$U28,"Présents &gt; prévus","OK"))))))))</f>
        <v/>
      </c>
      <c r="AS28" s="95">
        <f>IF($A28="",0,IF(AND(OR(COCKPIT!$H$4="Toutes",$C28=COCKPIT!$H$4),OR(COCKPIT!$K$4="Toutes",$B28=COCKPIT!$K$4)),1,0))</f>
        <v/>
      </c>
    </row>
    <row r="29" ht="15" customHeight="1">
      <c r="A29" s="87" t="n">
        <v>46042</v>
      </c>
      <c r="B29" s="88" t="inlineStr">
        <is>
          <t>Équipe A (matin)</t>
        </is>
      </c>
      <c r="C29" s="88" t="inlineStr">
        <is>
          <t>Ligne 1 - Assemblage</t>
        </is>
      </c>
      <c r="D29" s="88" t="inlineStr">
        <is>
          <t>OF-01025</t>
        </is>
      </c>
      <c r="E29" s="88" t="inlineStr">
        <is>
          <t>REF-1001</t>
        </is>
      </c>
      <c r="F29" s="89" t="n">
        <v>480</v>
      </c>
      <c r="G29" s="89" t="n">
        <v>100</v>
      </c>
      <c r="H29" s="89" t="n">
        <v>32</v>
      </c>
      <c r="I29" s="89" t="n">
        <v>20</v>
      </c>
      <c r="J29" s="89" t="n">
        <v>0</v>
      </c>
      <c r="K29" s="89" t="n">
        <v>0</v>
      </c>
      <c r="L29" s="89" t="n">
        <v>0</v>
      </c>
      <c r="M29" s="89" t="n">
        <v>0</v>
      </c>
      <c r="N29" s="89" t="n">
        <v>1</v>
      </c>
      <c r="O29" s="90">
        <f>IF($E29="","",IFERROR(INDEX(PARAMETRES!$O$7:$O$36,MATCH($E29,PARAMETRES!$M$7:$M$36,0)),""))</f>
        <v/>
      </c>
      <c r="P29" s="89" t="n">
        <v>4329</v>
      </c>
      <c r="Q29" s="89" t="n">
        <v>4268</v>
      </c>
      <c r="R29" s="89" t="n">
        <v>27</v>
      </c>
      <c r="S29" s="89" t="n">
        <v>34</v>
      </c>
      <c r="T29" s="89" t="n">
        <v>4521</v>
      </c>
      <c r="U29" s="91" t="n">
        <v>12</v>
      </c>
      <c r="V29" s="91" t="n">
        <v>12</v>
      </c>
      <c r="W29" s="91" t="n">
        <v>4</v>
      </c>
      <c r="X29" s="89" t="n">
        <v>1</v>
      </c>
      <c r="Y29" s="89" t="n">
        <v>0</v>
      </c>
      <c r="Z29" s="88" t="inlineStr">
        <is>
          <t>PAN-01</t>
        </is>
      </c>
      <c r="AA29" s="88" t="inlineStr">
        <is>
          <t>Panne mécanique — Assemblage</t>
        </is>
      </c>
      <c r="AB29" s="92">
        <f>IF($A29="","",MAX(0,$F29-$G29))</f>
        <v/>
      </c>
      <c r="AC29" s="92">
        <f>IF($A29="","",SUM($H29:$M29))</f>
        <v/>
      </c>
      <c r="AD29" s="92">
        <f>IF($A29="","",MAX(0,$AB29-$AC29))</f>
        <v/>
      </c>
      <c r="AE29" s="92">
        <f>IF($A29="","",IFERROR($Q29/$O29,""))</f>
        <v/>
      </c>
      <c r="AF29" s="93">
        <f>IF($A29="","",IFERROR($AD29/$AB29,""))</f>
        <v/>
      </c>
      <c r="AG29" s="93">
        <f>IF($A29="","",IFERROR(($P29/$O29)/$AD29,""))</f>
        <v/>
      </c>
      <c r="AH29" s="93">
        <f>IF($A29="","",IFERROR($Q29/$P29,""))</f>
        <v/>
      </c>
      <c r="AI29" s="93">
        <f>IF($A29="","",IFERROR($AF29*$AG29*$AH29,""))</f>
        <v/>
      </c>
      <c r="AJ29" s="93">
        <f>IF($A29="","",IFERROR($AE29/$F29,""))</f>
        <v/>
      </c>
      <c r="AK29" s="92">
        <f>IF($A29="","",IFERROR($AD29/$N29,""))</f>
        <v/>
      </c>
      <c r="AL29" s="92">
        <f>IF($A29="","",IFERROR($H29/$N29,""))</f>
        <v/>
      </c>
      <c r="AM29" s="92">
        <f>IF($A29="","",IFERROR(($P29-$Q29)/$P29*1000000,""))</f>
        <v/>
      </c>
      <c r="AN29" s="93">
        <f>IF($A29="","",IFERROR(($Q29+$R29)/$T29,""))</f>
        <v/>
      </c>
      <c r="AO29" s="93">
        <f>IF($A29="","",IFERROR($V29/$U29,""))</f>
        <v/>
      </c>
      <c r="AP29" s="92">
        <f>IF($A29="","",IFERROR(MAX(0,$AD29-$P29/$O29),""))</f>
        <v/>
      </c>
      <c r="AQ29" s="92">
        <f>IF($A29="","",IFERROR(($P29-$Q29)/$O29,""))</f>
        <v/>
      </c>
      <c r="AR29" s="94">
        <f>IF($A29="","",IF($F29="","Temps d'ouverture manquant",IF($O29="","Cadence produit inconnue",IF($G29&gt;$F29,"Arrêts planifiés &gt; temps d'ouverture",IF($AC29&gt;$AB29,"Arrêts subis &gt; temps requis",IF($P29&lt;&gt;$Q29+$R29+$S29,"Produite ≠ conforme + retouchée + rebutée",IF($Q29&gt;$P29,"Conforme &gt; produite",IF($V29&gt;$U29,"Présents &gt; prévus","OK"))))))))</f>
        <v/>
      </c>
      <c r="AS29" s="95">
        <f>IF($A29="",0,IF(AND(OR(COCKPIT!$H$4="Toutes",$C29=COCKPIT!$H$4),OR(COCKPIT!$K$4="Toutes",$B29=COCKPIT!$K$4)),1,0))</f>
        <v/>
      </c>
    </row>
    <row r="30" ht="15" customHeight="1">
      <c r="A30" s="87" t="n">
        <v>46042</v>
      </c>
      <c r="B30" s="88" t="inlineStr">
        <is>
          <t>Équipe B (après-midi)</t>
        </is>
      </c>
      <c r="C30" s="88" t="inlineStr">
        <is>
          <t>Ligne 2 - Usinage</t>
        </is>
      </c>
      <c r="D30" s="88" t="inlineStr">
        <is>
          <t>OF-01026</t>
        </is>
      </c>
      <c r="E30" s="88" t="inlineStr">
        <is>
          <t>REF-2001</t>
        </is>
      </c>
      <c r="F30" s="89" t="n">
        <v>480</v>
      </c>
      <c r="G30" s="89" t="n">
        <v>100</v>
      </c>
      <c r="H30" s="89" t="n">
        <v>0</v>
      </c>
      <c r="I30" s="89" t="n">
        <v>0</v>
      </c>
      <c r="J30" s="89" t="n">
        <v>5</v>
      </c>
      <c r="K30" s="89" t="n">
        <v>21</v>
      </c>
      <c r="L30" s="89" t="n">
        <v>0</v>
      </c>
      <c r="M30" s="89" t="n">
        <v>16</v>
      </c>
      <c r="N30" s="89" t="n">
        <v>0</v>
      </c>
      <c r="O30" s="90">
        <f>IF($E30="","",IFERROR(INDEX(PARAMETRES!$O$7:$O$36,MATCH($E30,PARAMETRES!$M$7:$M$36,0)),""))</f>
        <v/>
      </c>
      <c r="P30" s="89" t="n">
        <v>2889</v>
      </c>
      <c r="Q30" s="89" t="n">
        <v>2857</v>
      </c>
      <c r="R30" s="89" t="n">
        <v>14</v>
      </c>
      <c r="S30" s="89" t="n">
        <v>18</v>
      </c>
      <c r="T30" s="89" t="n">
        <v>2990</v>
      </c>
      <c r="U30" s="91" t="n">
        <v>8</v>
      </c>
      <c r="V30" s="91" t="n">
        <v>8</v>
      </c>
      <c r="W30" s="91" t="n">
        <v>0</v>
      </c>
      <c r="X30" s="89" t="n">
        <v>0</v>
      </c>
      <c r="Y30" s="89" t="n">
        <v>0</v>
      </c>
      <c r="Z30" s="88" t="inlineStr">
        <is>
          <t>MAT-02</t>
        </is>
      </c>
      <c r="AA30" s="88" t="inlineStr">
        <is>
          <t>Matière non conforme (rebut fournisseur) — Usinage</t>
        </is>
      </c>
      <c r="AB30" s="92">
        <f>IF($A30="","",MAX(0,$F30-$G30))</f>
        <v/>
      </c>
      <c r="AC30" s="92">
        <f>IF($A30="","",SUM($H30:$M30))</f>
        <v/>
      </c>
      <c r="AD30" s="92">
        <f>IF($A30="","",MAX(0,$AB30-$AC30))</f>
        <v/>
      </c>
      <c r="AE30" s="92">
        <f>IF($A30="","",IFERROR($Q30/$O30,""))</f>
        <v/>
      </c>
      <c r="AF30" s="93">
        <f>IF($A30="","",IFERROR($AD30/$AB30,""))</f>
        <v/>
      </c>
      <c r="AG30" s="93">
        <f>IF($A30="","",IFERROR(($P30/$O30)/$AD30,""))</f>
        <v/>
      </c>
      <c r="AH30" s="93">
        <f>IF($A30="","",IFERROR($Q30/$P30,""))</f>
        <v/>
      </c>
      <c r="AI30" s="93">
        <f>IF($A30="","",IFERROR($AF30*$AG30*$AH30,""))</f>
        <v/>
      </c>
      <c r="AJ30" s="93">
        <f>IF($A30="","",IFERROR($AE30/$F30,""))</f>
        <v/>
      </c>
      <c r="AK30" s="92">
        <f>IF($A30="","",IFERROR($AD30/$N30,""))</f>
        <v/>
      </c>
      <c r="AL30" s="92">
        <f>IF($A30="","",IFERROR($H30/$N30,""))</f>
        <v/>
      </c>
      <c r="AM30" s="92">
        <f>IF($A30="","",IFERROR(($P30-$Q30)/$P30*1000000,""))</f>
        <v/>
      </c>
      <c r="AN30" s="93">
        <f>IF($A30="","",IFERROR(($Q30+$R30)/$T30,""))</f>
        <v/>
      </c>
      <c r="AO30" s="93">
        <f>IF($A30="","",IFERROR($V30/$U30,""))</f>
        <v/>
      </c>
      <c r="AP30" s="92">
        <f>IF($A30="","",IFERROR(MAX(0,$AD30-$P30/$O30),""))</f>
        <v/>
      </c>
      <c r="AQ30" s="92">
        <f>IF($A30="","",IFERROR(($P30-$Q30)/$O30,""))</f>
        <v/>
      </c>
      <c r="AR30" s="94">
        <f>IF($A30="","",IF($F30="","Temps d'ouverture manquant",IF($O30="","Cadence produit inconnue",IF($G30&gt;$F30,"Arrêts planifiés &gt; temps d'ouverture",IF($AC30&gt;$AB30,"Arrêts subis &gt; temps requis",IF($P30&lt;&gt;$Q30+$R30+$S30,"Produite ≠ conforme + retouchée + rebutée",IF($Q30&gt;$P30,"Conforme &gt; produite",IF($V30&gt;$U30,"Présents &gt; prévus","OK"))))))))</f>
        <v/>
      </c>
      <c r="AS30" s="95">
        <f>IF($A30="",0,IF(AND(OR(COCKPIT!$H$4="Toutes",$C30=COCKPIT!$H$4),OR(COCKPIT!$K$4="Toutes",$B30=COCKPIT!$K$4)),1,0))</f>
        <v/>
      </c>
    </row>
    <row r="31" ht="15" customHeight="1">
      <c r="A31" s="87" t="n">
        <v>46043</v>
      </c>
      <c r="B31" s="88" t="inlineStr">
        <is>
          <t>Équipe B (après-midi)</t>
        </is>
      </c>
      <c r="C31" s="88" t="inlineStr">
        <is>
          <t>Ligne 1 - Assemblage</t>
        </is>
      </c>
      <c r="D31" s="88" t="inlineStr">
        <is>
          <t>OF-01027</t>
        </is>
      </c>
      <c r="E31" s="88" t="inlineStr">
        <is>
          <t>REF-1002</t>
        </is>
      </c>
      <c r="F31" s="89" t="n">
        <v>480</v>
      </c>
      <c r="G31" s="89" t="n">
        <v>40</v>
      </c>
      <c r="H31" s="89" t="n">
        <v>47</v>
      </c>
      <c r="I31" s="89" t="n">
        <v>0</v>
      </c>
      <c r="J31" s="89" t="n">
        <v>14</v>
      </c>
      <c r="K31" s="89" t="n">
        <v>25</v>
      </c>
      <c r="L31" s="89" t="n">
        <v>29</v>
      </c>
      <c r="M31" s="89" t="n">
        <v>8</v>
      </c>
      <c r="N31" s="89" t="n">
        <v>1</v>
      </c>
      <c r="O31" s="90">
        <f>IF($E31="","",IFERROR(INDEX(PARAMETRES!$O$7:$O$36,MATCH($E31,PARAMETRES!$M$7:$M$36,0)),""))</f>
        <v/>
      </c>
      <c r="P31" s="89" t="n">
        <v>3566</v>
      </c>
      <c r="Q31" s="89" t="n">
        <v>3533</v>
      </c>
      <c r="R31" s="89" t="n">
        <v>14</v>
      </c>
      <c r="S31" s="89" t="n">
        <v>19</v>
      </c>
      <c r="T31" s="89" t="n">
        <v>3813</v>
      </c>
      <c r="U31" s="91" t="n">
        <v>12</v>
      </c>
      <c r="V31" s="91" t="n">
        <v>12</v>
      </c>
      <c r="W31" s="91" t="n">
        <v>0</v>
      </c>
      <c r="X31" s="89" t="n">
        <v>0</v>
      </c>
      <c r="Y31" s="89" t="n">
        <v>0</v>
      </c>
      <c r="Z31" s="88" t="inlineStr">
        <is>
          <t>PAN-03</t>
        </is>
      </c>
      <c r="AA31" s="88" t="inlineStr">
        <is>
          <t>Défaut automatisme / supervision — Assemblage</t>
        </is>
      </c>
      <c r="AB31" s="92">
        <f>IF($A31="","",MAX(0,$F31-$G31))</f>
        <v/>
      </c>
      <c r="AC31" s="92">
        <f>IF($A31="","",SUM($H31:$M31))</f>
        <v/>
      </c>
      <c r="AD31" s="92">
        <f>IF($A31="","",MAX(0,$AB31-$AC31))</f>
        <v/>
      </c>
      <c r="AE31" s="92">
        <f>IF($A31="","",IFERROR($Q31/$O31,""))</f>
        <v/>
      </c>
      <c r="AF31" s="93">
        <f>IF($A31="","",IFERROR($AD31/$AB31,""))</f>
        <v/>
      </c>
      <c r="AG31" s="93">
        <f>IF($A31="","",IFERROR(($P31/$O31)/$AD31,""))</f>
        <v/>
      </c>
      <c r="AH31" s="93">
        <f>IF($A31="","",IFERROR($Q31/$P31,""))</f>
        <v/>
      </c>
      <c r="AI31" s="93">
        <f>IF($A31="","",IFERROR($AF31*$AG31*$AH31,""))</f>
        <v/>
      </c>
      <c r="AJ31" s="93">
        <f>IF($A31="","",IFERROR($AE31/$F31,""))</f>
        <v/>
      </c>
      <c r="AK31" s="92">
        <f>IF($A31="","",IFERROR($AD31/$N31,""))</f>
        <v/>
      </c>
      <c r="AL31" s="92">
        <f>IF($A31="","",IFERROR($H31/$N31,""))</f>
        <v/>
      </c>
      <c r="AM31" s="92">
        <f>IF($A31="","",IFERROR(($P31-$Q31)/$P31*1000000,""))</f>
        <v/>
      </c>
      <c r="AN31" s="93">
        <f>IF($A31="","",IFERROR(($Q31+$R31)/$T31,""))</f>
        <v/>
      </c>
      <c r="AO31" s="93">
        <f>IF($A31="","",IFERROR($V31/$U31,""))</f>
        <v/>
      </c>
      <c r="AP31" s="92">
        <f>IF($A31="","",IFERROR(MAX(0,$AD31-$P31/$O31),""))</f>
        <v/>
      </c>
      <c r="AQ31" s="92">
        <f>IF($A31="","",IFERROR(($P31-$Q31)/$O31,""))</f>
        <v/>
      </c>
      <c r="AR31" s="94">
        <f>IF($A31="","",IF($F31="","Temps d'ouverture manquant",IF($O31="","Cadence produit inconnue",IF($G31&gt;$F31,"Arrêts planifiés &gt; temps d'ouverture",IF($AC31&gt;$AB31,"Arrêts subis &gt; temps requis",IF($P31&lt;&gt;$Q31+$R31+$S31,"Produite ≠ conforme + retouchée + rebutée",IF($Q31&gt;$P31,"Conforme &gt; produite",IF($V31&gt;$U31,"Présents &gt; prévus","OK"))))))))</f>
        <v/>
      </c>
      <c r="AS31" s="95">
        <f>IF($A31="",0,IF(AND(OR(COCKPIT!$H$4="Toutes",$C31=COCKPIT!$H$4),OR(COCKPIT!$K$4="Toutes",$B31=COCKPIT!$K$4)),1,0))</f>
        <v/>
      </c>
    </row>
    <row r="32" ht="15" customHeight="1">
      <c r="A32" s="87" t="n">
        <v>46043</v>
      </c>
      <c r="B32" s="88" t="inlineStr">
        <is>
          <t>Équipe A (matin)</t>
        </is>
      </c>
      <c r="C32" s="88" t="inlineStr">
        <is>
          <t>Ligne 2 - Usinage</t>
        </is>
      </c>
      <c r="D32" s="88" t="inlineStr">
        <is>
          <t>OF-01028</t>
        </is>
      </c>
      <c r="E32" s="88" t="inlineStr">
        <is>
          <t>REF-2002</t>
        </is>
      </c>
      <c r="F32" s="89" t="n">
        <v>480</v>
      </c>
      <c r="G32" s="89" t="n">
        <v>40</v>
      </c>
      <c r="H32" s="89" t="n">
        <v>49</v>
      </c>
      <c r="I32" s="89" t="n">
        <v>0</v>
      </c>
      <c r="J32" s="89" t="n">
        <v>0</v>
      </c>
      <c r="K32" s="89" t="n">
        <v>0</v>
      </c>
      <c r="L32" s="89" t="n">
        <v>0</v>
      </c>
      <c r="M32" s="89" t="n">
        <v>11</v>
      </c>
      <c r="N32" s="89" t="n">
        <v>1</v>
      </c>
      <c r="O32" s="90">
        <f>IF($E32="","",IFERROR(INDEX(PARAMETRES!$O$7:$O$36,MATCH($E32,PARAMETRES!$M$7:$M$36,0)),""))</f>
        <v/>
      </c>
      <c r="P32" s="89" t="n">
        <v>2451</v>
      </c>
      <c r="Q32" s="89" t="n">
        <v>2436</v>
      </c>
      <c r="R32" s="89" t="n">
        <v>6</v>
      </c>
      <c r="S32" s="89" t="n">
        <v>9</v>
      </c>
      <c r="T32" s="89" t="n">
        <v>2597</v>
      </c>
      <c r="U32" s="91" t="n">
        <v>8</v>
      </c>
      <c r="V32" s="91" t="n">
        <v>8</v>
      </c>
      <c r="W32" s="91" t="n">
        <v>0</v>
      </c>
      <c r="X32" s="89" t="n">
        <v>0</v>
      </c>
      <c r="Y32" s="89" t="n">
        <v>1</v>
      </c>
      <c r="Z32" s="88" t="inlineStr">
        <is>
          <t>PAN-02</t>
        </is>
      </c>
      <c r="AA32" s="88" t="inlineStr">
        <is>
          <t>Panne électrique ou capteur — Usinage</t>
        </is>
      </c>
      <c r="AB32" s="92">
        <f>IF($A32="","",MAX(0,$F32-$G32))</f>
        <v/>
      </c>
      <c r="AC32" s="92">
        <f>IF($A32="","",SUM($H32:$M32))</f>
        <v/>
      </c>
      <c r="AD32" s="92">
        <f>IF($A32="","",MAX(0,$AB32-$AC32))</f>
        <v/>
      </c>
      <c r="AE32" s="92">
        <f>IF($A32="","",IFERROR($Q32/$O32,""))</f>
        <v/>
      </c>
      <c r="AF32" s="93">
        <f>IF($A32="","",IFERROR($AD32/$AB32,""))</f>
        <v/>
      </c>
      <c r="AG32" s="93">
        <f>IF($A32="","",IFERROR(($P32/$O32)/$AD32,""))</f>
        <v/>
      </c>
      <c r="AH32" s="93">
        <f>IF($A32="","",IFERROR($Q32/$P32,""))</f>
        <v/>
      </c>
      <c r="AI32" s="93">
        <f>IF($A32="","",IFERROR($AF32*$AG32*$AH32,""))</f>
        <v/>
      </c>
      <c r="AJ32" s="93">
        <f>IF($A32="","",IFERROR($AE32/$F32,""))</f>
        <v/>
      </c>
      <c r="AK32" s="92">
        <f>IF($A32="","",IFERROR($AD32/$N32,""))</f>
        <v/>
      </c>
      <c r="AL32" s="92">
        <f>IF($A32="","",IFERROR($H32/$N32,""))</f>
        <v/>
      </c>
      <c r="AM32" s="92">
        <f>IF($A32="","",IFERROR(($P32-$Q32)/$P32*1000000,""))</f>
        <v/>
      </c>
      <c r="AN32" s="93">
        <f>IF($A32="","",IFERROR(($Q32+$R32)/$T32,""))</f>
        <v/>
      </c>
      <c r="AO32" s="93">
        <f>IF($A32="","",IFERROR($V32/$U32,""))</f>
        <v/>
      </c>
      <c r="AP32" s="92">
        <f>IF($A32="","",IFERROR(MAX(0,$AD32-$P32/$O32),""))</f>
        <v/>
      </c>
      <c r="AQ32" s="92">
        <f>IF($A32="","",IFERROR(($P32-$Q32)/$O32,""))</f>
        <v/>
      </c>
      <c r="AR32" s="94">
        <f>IF($A32="","",IF($F32="","Temps d'ouverture manquant",IF($O32="","Cadence produit inconnue",IF($G32&gt;$F32,"Arrêts planifiés &gt; temps d'ouverture",IF($AC32&gt;$AB32,"Arrêts subis &gt; temps requis",IF($P32&lt;&gt;$Q32+$R32+$S32,"Produite ≠ conforme + retouchée + rebutée",IF($Q32&gt;$P32,"Conforme &gt; produite",IF($V32&gt;$U32,"Présents &gt; prévus","OK"))))))))</f>
        <v/>
      </c>
      <c r="AS32" s="95">
        <f>IF($A32="",0,IF(AND(OR(COCKPIT!$H$4="Toutes",$C32=COCKPIT!$H$4),OR(COCKPIT!$K$4="Toutes",$B32=COCKPIT!$K$4)),1,0))</f>
        <v/>
      </c>
    </row>
    <row r="33" ht="15" customHeight="1">
      <c r="A33" s="87" t="n">
        <v>46044</v>
      </c>
      <c r="B33" s="88" t="inlineStr">
        <is>
          <t>Équipe A (matin)</t>
        </is>
      </c>
      <c r="C33" s="88" t="inlineStr">
        <is>
          <t>Ligne 1 - Assemblage</t>
        </is>
      </c>
      <c r="D33" s="88" t="inlineStr">
        <is>
          <t>OF-01029</t>
        </is>
      </c>
      <c r="E33" s="88" t="inlineStr">
        <is>
          <t>REF-1001</t>
        </is>
      </c>
      <c r="F33" s="89" t="n">
        <v>480</v>
      </c>
      <c r="G33" s="89" t="n">
        <v>40</v>
      </c>
      <c r="H33" s="89" t="n">
        <v>36</v>
      </c>
      <c r="I33" s="89" t="n">
        <v>33</v>
      </c>
      <c r="J33" s="89" t="n">
        <v>12</v>
      </c>
      <c r="K33" s="89" t="n">
        <v>0</v>
      </c>
      <c r="L33" s="89" t="n">
        <v>25</v>
      </c>
      <c r="M33" s="89" t="n">
        <v>0</v>
      </c>
      <c r="N33" s="89" t="n">
        <v>1</v>
      </c>
      <c r="O33" s="90">
        <f>IF($E33="","",IFERROR(INDEX(PARAMETRES!$O$7:$O$36,MATCH($E33,PARAMETRES!$M$7:$M$36,0)),""))</f>
        <v/>
      </c>
      <c r="P33" s="89" t="n">
        <v>4609</v>
      </c>
      <c r="Q33" s="89" t="n">
        <v>4526</v>
      </c>
      <c r="R33" s="89" t="n">
        <v>37</v>
      </c>
      <c r="S33" s="89" t="n">
        <v>46</v>
      </c>
      <c r="T33" s="89" t="n">
        <v>4563</v>
      </c>
      <c r="U33" s="91" t="n">
        <v>12</v>
      </c>
      <c r="V33" s="91" t="n">
        <v>11</v>
      </c>
      <c r="W33" s="91" t="n">
        <v>0</v>
      </c>
      <c r="X33" s="89" t="n">
        <v>0</v>
      </c>
      <c r="Y33" s="89" t="n">
        <v>0</v>
      </c>
      <c r="Z33" s="88" t="inlineStr">
        <is>
          <t>PAN-01</t>
        </is>
      </c>
      <c r="AA33" s="88" t="inlineStr">
        <is>
          <t>Panne mécanique — Assemblage</t>
        </is>
      </c>
      <c r="AB33" s="92">
        <f>IF($A33="","",MAX(0,$F33-$G33))</f>
        <v/>
      </c>
      <c r="AC33" s="92">
        <f>IF($A33="","",SUM($H33:$M33))</f>
        <v/>
      </c>
      <c r="AD33" s="92">
        <f>IF($A33="","",MAX(0,$AB33-$AC33))</f>
        <v/>
      </c>
      <c r="AE33" s="92">
        <f>IF($A33="","",IFERROR($Q33/$O33,""))</f>
        <v/>
      </c>
      <c r="AF33" s="93">
        <f>IF($A33="","",IFERROR($AD33/$AB33,""))</f>
        <v/>
      </c>
      <c r="AG33" s="93">
        <f>IF($A33="","",IFERROR(($P33/$O33)/$AD33,""))</f>
        <v/>
      </c>
      <c r="AH33" s="93">
        <f>IF($A33="","",IFERROR($Q33/$P33,""))</f>
        <v/>
      </c>
      <c r="AI33" s="93">
        <f>IF($A33="","",IFERROR($AF33*$AG33*$AH33,""))</f>
        <v/>
      </c>
      <c r="AJ33" s="93">
        <f>IF($A33="","",IFERROR($AE33/$F33,""))</f>
        <v/>
      </c>
      <c r="AK33" s="92">
        <f>IF($A33="","",IFERROR($AD33/$N33,""))</f>
        <v/>
      </c>
      <c r="AL33" s="92">
        <f>IF($A33="","",IFERROR($H33/$N33,""))</f>
        <v/>
      </c>
      <c r="AM33" s="92">
        <f>IF($A33="","",IFERROR(($P33-$Q33)/$P33*1000000,""))</f>
        <v/>
      </c>
      <c r="AN33" s="93">
        <f>IF($A33="","",IFERROR(($Q33+$R33)/$T33,""))</f>
        <v/>
      </c>
      <c r="AO33" s="93">
        <f>IF($A33="","",IFERROR($V33/$U33,""))</f>
        <v/>
      </c>
      <c r="AP33" s="92">
        <f>IF($A33="","",IFERROR(MAX(0,$AD33-$P33/$O33),""))</f>
        <v/>
      </c>
      <c r="AQ33" s="92">
        <f>IF($A33="","",IFERROR(($P33-$Q33)/$O33,""))</f>
        <v/>
      </c>
      <c r="AR33" s="94">
        <f>IF($A33="","",IF($F33="","Temps d'ouverture manquant",IF($O33="","Cadence produit inconnue",IF($G33&gt;$F33,"Arrêts planifiés &gt; temps d'ouverture",IF($AC33&gt;$AB33,"Arrêts subis &gt; temps requis",IF($P33&lt;&gt;$Q33+$R33+$S33,"Produite ≠ conforme + retouchée + rebutée",IF($Q33&gt;$P33,"Conforme &gt; produite",IF($V33&gt;$U33,"Présents &gt; prévus","OK"))))))))</f>
        <v/>
      </c>
      <c r="AS33" s="95">
        <f>IF($A33="",0,IF(AND(OR(COCKPIT!$H$4="Toutes",$C33=COCKPIT!$H$4),OR(COCKPIT!$K$4="Toutes",$B33=COCKPIT!$K$4)),1,0))</f>
        <v/>
      </c>
    </row>
    <row r="34" ht="15" customHeight="1">
      <c r="A34" s="87" t="n">
        <v>46044</v>
      </c>
      <c r="B34" s="88" t="inlineStr">
        <is>
          <t>Équipe B (après-midi)</t>
        </is>
      </c>
      <c r="C34" s="88" t="inlineStr">
        <is>
          <t>Ligne 2 - Usinage</t>
        </is>
      </c>
      <c r="D34" s="88" t="inlineStr">
        <is>
          <t>OF-01030</t>
        </is>
      </c>
      <c r="E34" s="88" t="inlineStr">
        <is>
          <t>REF-2001</t>
        </is>
      </c>
      <c r="F34" s="89" t="n">
        <v>480</v>
      </c>
      <c r="G34" s="89" t="n">
        <v>40</v>
      </c>
      <c r="H34" s="89" t="n">
        <v>50</v>
      </c>
      <c r="I34" s="89" t="n">
        <v>20</v>
      </c>
      <c r="J34" s="89" t="n">
        <v>13</v>
      </c>
      <c r="K34" s="89" t="n">
        <v>29</v>
      </c>
      <c r="L34" s="89" t="n">
        <v>0</v>
      </c>
      <c r="M34" s="89" t="n">
        <v>9</v>
      </c>
      <c r="N34" s="89" t="n">
        <v>1</v>
      </c>
      <c r="O34" s="90">
        <f>IF($E34="","",IFERROR(INDEX(PARAMETRES!$O$7:$O$36,MATCH($E34,PARAMETRES!$M$7:$M$36,0)),""))</f>
        <v/>
      </c>
      <c r="P34" s="89" t="n">
        <v>2526</v>
      </c>
      <c r="Q34" s="89" t="n">
        <v>2488</v>
      </c>
      <c r="R34" s="89" t="n">
        <v>17</v>
      </c>
      <c r="S34" s="89" t="n">
        <v>21</v>
      </c>
      <c r="T34" s="89" t="n">
        <v>2722</v>
      </c>
      <c r="U34" s="91" t="n">
        <v>8</v>
      </c>
      <c r="V34" s="91" t="n">
        <v>8</v>
      </c>
      <c r="W34" s="91" t="n">
        <v>0</v>
      </c>
      <c r="X34" s="89" t="n">
        <v>0</v>
      </c>
      <c r="Y34" s="89" t="n">
        <v>0</v>
      </c>
      <c r="Z34" s="88" t="inlineStr">
        <is>
          <t>PAN-01</t>
        </is>
      </c>
      <c r="AA34" s="88" t="inlineStr">
        <is>
          <t>Panne mécanique — Usinage</t>
        </is>
      </c>
      <c r="AB34" s="92">
        <f>IF($A34="","",MAX(0,$F34-$G34))</f>
        <v/>
      </c>
      <c r="AC34" s="92">
        <f>IF($A34="","",SUM($H34:$M34))</f>
        <v/>
      </c>
      <c r="AD34" s="92">
        <f>IF($A34="","",MAX(0,$AB34-$AC34))</f>
        <v/>
      </c>
      <c r="AE34" s="92">
        <f>IF($A34="","",IFERROR($Q34/$O34,""))</f>
        <v/>
      </c>
      <c r="AF34" s="93">
        <f>IF($A34="","",IFERROR($AD34/$AB34,""))</f>
        <v/>
      </c>
      <c r="AG34" s="93">
        <f>IF($A34="","",IFERROR(($P34/$O34)/$AD34,""))</f>
        <v/>
      </c>
      <c r="AH34" s="93">
        <f>IF($A34="","",IFERROR($Q34/$P34,""))</f>
        <v/>
      </c>
      <c r="AI34" s="93">
        <f>IF($A34="","",IFERROR($AF34*$AG34*$AH34,""))</f>
        <v/>
      </c>
      <c r="AJ34" s="93">
        <f>IF($A34="","",IFERROR($AE34/$F34,""))</f>
        <v/>
      </c>
      <c r="AK34" s="92">
        <f>IF($A34="","",IFERROR($AD34/$N34,""))</f>
        <v/>
      </c>
      <c r="AL34" s="92">
        <f>IF($A34="","",IFERROR($H34/$N34,""))</f>
        <v/>
      </c>
      <c r="AM34" s="92">
        <f>IF($A34="","",IFERROR(($P34-$Q34)/$P34*1000000,""))</f>
        <v/>
      </c>
      <c r="AN34" s="93">
        <f>IF($A34="","",IFERROR(($Q34+$R34)/$T34,""))</f>
        <v/>
      </c>
      <c r="AO34" s="93">
        <f>IF($A34="","",IFERROR($V34/$U34,""))</f>
        <v/>
      </c>
      <c r="AP34" s="92">
        <f>IF($A34="","",IFERROR(MAX(0,$AD34-$P34/$O34),""))</f>
        <v/>
      </c>
      <c r="AQ34" s="92">
        <f>IF($A34="","",IFERROR(($P34-$Q34)/$O34,""))</f>
        <v/>
      </c>
      <c r="AR34" s="94">
        <f>IF($A34="","",IF($F34="","Temps d'ouverture manquant",IF($O34="","Cadence produit inconnue",IF($G34&gt;$F34,"Arrêts planifiés &gt; temps d'ouverture",IF($AC34&gt;$AB34,"Arrêts subis &gt; temps requis",IF($P34&lt;&gt;$Q34+$R34+$S34,"Produite ≠ conforme + retouchée + rebutée",IF($Q34&gt;$P34,"Conforme &gt; produite",IF($V34&gt;$U34,"Présents &gt; prévus","OK"))))))))</f>
        <v/>
      </c>
      <c r="AS34" s="95">
        <f>IF($A34="",0,IF(AND(OR(COCKPIT!$H$4="Toutes",$C34=COCKPIT!$H$4),OR(COCKPIT!$K$4="Toutes",$B34=COCKPIT!$K$4)),1,0))</f>
        <v/>
      </c>
    </row>
    <row r="35" ht="15" customHeight="1">
      <c r="A35" s="87" t="n">
        <v>46045</v>
      </c>
      <c r="B35" s="88" t="inlineStr">
        <is>
          <t>Équipe B (après-midi)</t>
        </is>
      </c>
      <c r="C35" s="88" t="inlineStr">
        <is>
          <t>Ligne 1 - Assemblage</t>
        </is>
      </c>
      <c r="D35" s="88" t="inlineStr">
        <is>
          <t>OF-01031</t>
        </is>
      </c>
      <c r="E35" s="88" t="inlineStr">
        <is>
          <t>REF-1002</t>
        </is>
      </c>
      <c r="F35" s="89" t="n">
        <v>480</v>
      </c>
      <c r="G35" s="89" t="n">
        <v>40</v>
      </c>
      <c r="H35" s="89" t="n">
        <v>0</v>
      </c>
      <c r="I35" s="89" t="n">
        <v>0</v>
      </c>
      <c r="J35" s="89" t="n">
        <v>0</v>
      </c>
      <c r="K35" s="89" t="n">
        <v>15</v>
      </c>
      <c r="L35" s="89" t="n">
        <v>31</v>
      </c>
      <c r="M35" s="89" t="n">
        <v>19</v>
      </c>
      <c r="N35" s="89" t="n">
        <v>0</v>
      </c>
      <c r="O35" s="90">
        <f>IF($E35="","",IFERROR(INDEX(PARAMETRES!$O$7:$O$36,MATCH($E35,PARAMETRES!$M$7:$M$36,0)),""))</f>
        <v/>
      </c>
      <c r="P35" s="89" t="n">
        <v>4406</v>
      </c>
      <c r="Q35" s="89" t="n">
        <v>4348</v>
      </c>
      <c r="R35" s="89" t="n">
        <v>26</v>
      </c>
      <c r="S35" s="89" t="n">
        <v>32</v>
      </c>
      <c r="T35" s="89" t="n">
        <v>4463</v>
      </c>
      <c r="U35" s="91" t="n">
        <v>12</v>
      </c>
      <c r="V35" s="91" t="n">
        <v>12</v>
      </c>
      <c r="W35" s="91" t="n">
        <v>0</v>
      </c>
      <c r="X35" s="89" t="n">
        <v>0</v>
      </c>
      <c r="Y35" s="89" t="n">
        <v>0</v>
      </c>
      <c r="Z35" s="88" t="inlineStr">
        <is>
          <t>PER-02</t>
        </is>
      </c>
      <c r="AA35" s="88" t="inlineStr">
        <is>
          <t>Accompagnement / montée en compétence — Assemblage</t>
        </is>
      </c>
      <c r="AB35" s="92">
        <f>IF($A35="","",MAX(0,$F35-$G35))</f>
        <v/>
      </c>
      <c r="AC35" s="92">
        <f>IF($A35="","",SUM($H35:$M35))</f>
        <v/>
      </c>
      <c r="AD35" s="92">
        <f>IF($A35="","",MAX(0,$AB35-$AC35))</f>
        <v/>
      </c>
      <c r="AE35" s="92">
        <f>IF($A35="","",IFERROR($Q35/$O35,""))</f>
        <v/>
      </c>
      <c r="AF35" s="93">
        <f>IF($A35="","",IFERROR($AD35/$AB35,""))</f>
        <v/>
      </c>
      <c r="AG35" s="93">
        <f>IF($A35="","",IFERROR(($P35/$O35)/$AD35,""))</f>
        <v/>
      </c>
      <c r="AH35" s="93">
        <f>IF($A35="","",IFERROR($Q35/$P35,""))</f>
        <v/>
      </c>
      <c r="AI35" s="93">
        <f>IF($A35="","",IFERROR($AF35*$AG35*$AH35,""))</f>
        <v/>
      </c>
      <c r="AJ35" s="93">
        <f>IF($A35="","",IFERROR($AE35/$F35,""))</f>
        <v/>
      </c>
      <c r="AK35" s="92">
        <f>IF($A35="","",IFERROR($AD35/$N35,""))</f>
        <v/>
      </c>
      <c r="AL35" s="92">
        <f>IF($A35="","",IFERROR($H35/$N35,""))</f>
        <v/>
      </c>
      <c r="AM35" s="92">
        <f>IF($A35="","",IFERROR(($P35-$Q35)/$P35*1000000,""))</f>
        <v/>
      </c>
      <c r="AN35" s="93">
        <f>IF($A35="","",IFERROR(($Q35+$R35)/$T35,""))</f>
        <v/>
      </c>
      <c r="AO35" s="93">
        <f>IF($A35="","",IFERROR($V35/$U35,""))</f>
        <v/>
      </c>
      <c r="AP35" s="92">
        <f>IF($A35="","",IFERROR(MAX(0,$AD35-$P35/$O35),""))</f>
        <v/>
      </c>
      <c r="AQ35" s="92">
        <f>IF($A35="","",IFERROR(($P35-$Q35)/$O35,""))</f>
        <v/>
      </c>
      <c r="AR35" s="94">
        <f>IF($A35="","",IF($F35="","Temps d'ouverture manquant",IF($O35="","Cadence produit inconnue",IF($G35&gt;$F35,"Arrêts planifiés &gt; temps d'ouverture",IF($AC35&gt;$AB35,"Arrêts subis &gt; temps requis",IF($P35&lt;&gt;$Q35+$R35+$S35,"Produite ≠ conforme + retouchée + rebutée",IF($Q35&gt;$P35,"Conforme &gt; produite",IF($V35&gt;$U35,"Présents &gt; prévus","OK"))))))))</f>
        <v/>
      </c>
      <c r="AS35" s="95">
        <f>IF($A35="",0,IF(AND(OR(COCKPIT!$H$4="Toutes",$C35=COCKPIT!$H$4),OR(COCKPIT!$K$4="Toutes",$B35=COCKPIT!$K$4)),1,0))</f>
        <v/>
      </c>
    </row>
    <row r="36" ht="15" customHeight="1">
      <c r="A36" s="87" t="n">
        <v>46045</v>
      </c>
      <c r="B36" s="88" t="inlineStr">
        <is>
          <t>Équipe A (matin)</t>
        </is>
      </c>
      <c r="C36" s="88" t="inlineStr">
        <is>
          <t>Ligne 2 - Usinage</t>
        </is>
      </c>
      <c r="D36" s="88" t="inlineStr">
        <is>
          <t>OF-01032</t>
        </is>
      </c>
      <c r="E36" s="88" t="inlineStr">
        <is>
          <t>REF-2002</t>
        </is>
      </c>
      <c r="F36" s="89" t="n">
        <v>480</v>
      </c>
      <c r="G36" s="89" t="n">
        <v>40</v>
      </c>
      <c r="H36" s="89" t="n">
        <v>90</v>
      </c>
      <c r="I36" s="89" t="n">
        <v>22</v>
      </c>
      <c r="J36" s="89" t="n">
        <v>0</v>
      </c>
      <c r="K36" s="89" t="n">
        <v>11</v>
      </c>
      <c r="L36" s="89" t="n">
        <v>0</v>
      </c>
      <c r="M36" s="89" t="n">
        <v>18</v>
      </c>
      <c r="N36" s="89" t="n">
        <v>1</v>
      </c>
      <c r="O36" s="90">
        <f>IF($E36="","",IFERROR(INDEX(PARAMETRES!$O$7:$O$36,MATCH($E36,PARAMETRES!$M$7:$M$36,0)),""))</f>
        <v/>
      </c>
      <c r="P36" s="89" t="n">
        <v>2018</v>
      </c>
      <c r="Q36" s="89" t="n">
        <v>1997</v>
      </c>
      <c r="R36" s="89" t="n">
        <v>9</v>
      </c>
      <c r="S36" s="89" t="n">
        <v>12</v>
      </c>
      <c r="T36" s="89" t="n">
        <v>2026</v>
      </c>
      <c r="U36" s="91" t="n">
        <v>8</v>
      </c>
      <c r="V36" s="91" t="n">
        <v>8</v>
      </c>
      <c r="W36" s="91" t="n">
        <v>0</v>
      </c>
      <c r="X36" s="89" t="n">
        <v>0</v>
      </c>
      <c r="Y36" s="89" t="n">
        <v>0</v>
      </c>
      <c r="Z36" s="88" t="inlineStr">
        <is>
          <t>PAN-02</t>
        </is>
      </c>
      <c r="AA36" s="88" t="inlineStr">
        <is>
          <t>Panne électrique ou capteur — Usinage</t>
        </is>
      </c>
      <c r="AB36" s="92">
        <f>IF($A36="","",MAX(0,$F36-$G36))</f>
        <v/>
      </c>
      <c r="AC36" s="92">
        <f>IF($A36="","",SUM($H36:$M36))</f>
        <v/>
      </c>
      <c r="AD36" s="92">
        <f>IF($A36="","",MAX(0,$AB36-$AC36))</f>
        <v/>
      </c>
      <c r="AE36" s="92">
        <f>IF($A36="","",IFERROR($Q36/$O36,""))</f>
        <v/>
      </c>
      <c r="AF36" s="93">
        <f>IF($A36="","",IFERROR($AD36/$AB36,""))</f>
        <v/>
      </c>
      <c r="AG36" s="93">
        <f>IF($A36="","",IFERROR(($P36/$O36)/$AD36,""))</f>
        <v/>
      </c>
      <c r="AH36" s="93">
        <f>IF($A36="","",IFERROR($Q36/$P36,""))</f>
        <v/>
      </c>
      <c r="AI36" s="93">
        <f>IF($A36="","",IFERROR($AF36*$AG36*$AH36,""))</f>
        <v/>
      </c>
      <c r="AJ36" s="93">
        <f>IF($A36="","",IFERROR($AE36/$F36,""))</f>
        <v/>
      </c>
      <c r="AK36" s="92">
        <f>IF($A36="","",IFERROR($AD36/$N36,""))</f>
        <v/>
      </c>
      <c r="AL36" s="92">
        <f>IF($A36="","",IFERROR($H36/$N36,""))</f>
        <v/>
      </c>
      <c r="AM36" s="92">
        <f>IF($A36="","",IFERROR(($P36-$Q36)/$P36*1000000,""))</f>
        <v/>
      </c>
      <c r="AN36" s="93">
        <f>IF($A36="","",IFERROR(($Q36+$R36)/$T36,""))</f>
        <v/>
      </c>
      <c r="AO36" s="93">
        <f>IF($A36="","",IFERROR($V36/$U36,""))</f>
        <v/>
      </c>
      <c r="AP36" s="92">
        <f>IF($A36="","",IFERROR(MAX(0,$AD36-$P36/$O36),""))</f>
        <v/>
      </c>
      <c r="AQ36" s="92">
        <f>IF($A36="","",IFERROR(($P36-$Q36)/$O36,""))</f>
        <v/>
      </c>
      <c r="AR36" s="94">
        <f>IF($A36="","",IF($F36="","Temps d'ouverture manquant",IF($O36="","Cadence produit inconnue",IF($G36&gt;$F36,"Arrêts planifiés &gt; temps d'ouverture",IF($AC36&gt;$AB36,"Arrêts subis &gt; temps requis",IF($P36&lt;&gt;$Q36+$R36+$S36,"Produite ≠ conforme + retouchée + rebutée",IF($Q36&gt;$P36,"Conforme &gt; produite",IF($V36&gt;$U36,"Présents &gt; prévus","OK"))))))))</f>
        <v/>
      </c>
      <c r="AS36" s="95">
        <f>IF($A36="",0,IF(AND(OR(COCKPIT!$H$4="Toutes",$C36=COCKPIT!$H$4),OR(COCKPIT!$K$4="Toutes",$B36=COCKPIT!$K$4)),1,0))</f>
        <v/>
      </c>
    </row>
    <row r="37" ht="15" customHeight="1">
      <c r="A37" s="87" t="n">
        <v>46048</v>
      </c>
      <c r="B37" s="88" t="inlineStr">
        <is>
          <t>Équipe A (matin)</t>
        </is>
      </c>
      <c r="C37" s="88" t="inlineStr">
        <is>
          <t>Ligne 1 - Assemblage</t>
        </is>
      </c>
      <c r="D37" s="88" t="inlineStr">
        <is>
          <t>OF-01033</t>
        </is>
      </c>
      <c r="E37" s="88" t="inlineStr">
        <is>
          <t>REF-1001</t>
        </is>
      </c>
      <c r="F37" s="89" t="n">
        <v>480</v>
      </c>
      <c r="G37" s="89" t="n">
        <v>85</v>
      </c>
      <c r="H37" s="89" t="n">
        <v>38</v>
      </c>
      <c r="I37" s="89" t="n">
        <v>20</v>
      </c>
      <c r="J37" s="89" t="n">
        <v>0</v>
      </c>
      <c r="K37" s="89" t="n">
        <v>0</v>
      </c>
      <c r="L37" s="89" t="n">
        <v>0</v>
      </c>
      <c r="M37" s="89" t="n">
        <v>0</v>
      </c>
      <c r="N37" s="89" t="n">
        <v>1</v>
      </c>
      <c r="O37" s="90">
        <f>IF($E37="","",IFERROR(INDEX(PARAMETRES!$O$7:$O$36,MATCH($E37,PARAMETRES!$M$7:$M$36,0)),""))</f>
        <v/>
      </c>
      <c r="P37" s="89" t="n">
        <v>4852</v>
      </c>
      <c r="Q37" s="89" t="n">
        <v>4813</v>
      </c>
      <c r="R37" s="89" t="n">
        <v>17</v>
      </c>
      <c r="S37" s="89" t="n">
        <v>22</v>
      </c>
      <c r="T37" s="89" t="n">
        <v>5031</v>
      </c>
      <c r="U37" s="91" t="n">
        <v>12</v>
      </c>
      <c r="V37" s="91" t="n">
        <v>12</v>
      </c>
      <c r="W37" s="91" t="n">
        <v>0</v>
      </c>
      <c r="X37" s="89" t="n">
        <v>0</v>
      </c>
      <c r="Y37" s="89" t="n">
        <v>0</v>
      </c>
      <c r="Z37" s="88" t="inlineStr">
        <is>
          <t>PAN-01</t>
        </is>
      </c>
      <c r="AA37" s="88" t="inlineStr">
        <is>
          <t>Panne mécanique — Assemblage</t>
        </is>
      </c>
      <c r="AB37" s="92">
        <f>IF($A37="","",MAX(0,$F37-$G37))</f>
        <v/>
      </c>
      <c r="AC37" s="92">
        <f>IF($A37="","",SUM($H37:$M37))</f>
        <v/>
      </c>
      <c r="AD37" s="92">
        <f>IF($A37="","",MAX(0,$AB37-$AC37))</f>
        <v/>
      </c>
      <c r="AE37" s="92">
        <f>IF($A37="","",IFERROR($Q37/$O37,""))</f>
        <v/>
      </c>
      <c r="AF37" s="93">
        <f>IF($A37="","",IFERROR($AD37/$AB37,""))</f>
        <v/>
      </c>
      <c r="AG37" s="93">
        <f>IF($A37="","",IFERROR(($P37/$O37)/$AD37,""))</f>
        <v/>
      </c>
      <c r="AH37" s="93">
        <f>IF($A37="","",IFERROR($Q37/$P37,""))</f>
        <v/>
      </c>
      <c r="AI37" s="93">
        <f>IF($A37="","",IFERROR($AF37*$AG37*$AH37,""))</f>
        <v/>
      </c>
      <c r="AJ37" s="93">
        <f>IF($A37="","",IFERROR($AE37/$F37,""))</f>
        <v/>
      </c>
      <c r="AK37" s="92">
        <f>IF($A37="","",IFERROR($AD37/$N37,""))</f>
        <v/>
      </c>
      <c r="AL37" s="92">
        <f>IF($A37="","",IFERROR($H37/$N37,""))</f>
        <v/>
      </c>
      <c r="AM37" s="92">
        <f>IF($A37="","",IFERROR(($P37-$Q37)/$P37*1000000,""))</f>
        <v/>
      </c>
      <c r="AN37" s="93">
        <f>IF($A37="","",IFERROR(($Q37+$R37)/$T37,""))</f>
        <v/>
      </c>
      <c r="AO37" s="93">
        <f>IF($A37="","",IFERROR($V37/$U37,""))</f>
        <v/>
      </c>
      <c r="AP37" s="92">
        <f>IF($A37="","",IFERROR(MAX(0,$AD37-$P37/$O37),""))</f>
        <v/>
      </c>
      <c r="AQ37" s="92">
        <f>IF($A37="","",IFERROR(($P37-$Q37)/$O37,""))</f>
        <v/>
      </c>
      <c r="AR37" s="94">
        <f>IF($A37="","",IF($F37="","Temps d'ouverture manquant",IF($O37="","Cadence produit inconnue",IF($G37&gt;$F37,"Arrêts planifiés &gt; temps d'ouverture",IF($AC37&gt;$AB37,"Arrêts subis &gt; temps requis",IF($P37&lt;&gt;$Q37+$R37+$S37,"Produite ≠ conforme + retouchée + rebutée",IF($Q37&gt;$P37,"Conforme &gt; produite",IF($V37&gt;$U37,"Présents &gt; prévus","OK"))))))))</f>
        <v/>
      </c>
      <c r="AS37" s="95">
        <f>IF($A37="",0,IF(AND(OR(COCKPIT!$H$4="Toutes",$C37=COCKPIT!$H$4),OR(COCKPIT!$K$4="Toutes",$B37=COCKPIT!$K$4)),1,0))</f>
        <v/>
      </c>
    </row>
    <row r="38" ht="15" customHeight="1">
      <c r="A38" s="87" t="n">
        <v>46048</v>
      </c>
      <c r="B38" s="88" t="inlineStr">
        <is>
          <t>Équipe B (après-midi)</t>
        </is>
      </c>
      <c r="C38" s="88" t="inlineStr">
        <is>
          <t>Ligne 2 - Usinage</t>
        </is>
      </c>
      <c r="D38" s="88" t="inlineStr">
        <is>
          <t>OF-01034</t>
        </is>
      </c>
      <c r="E38" s="88" t="inlineStr">
        <is>
          <t>REF-2001</t>
        </is>
      </c>
      <c r="F38" s="89" t="n">
        <v>480</v>
      </c>
      <c r="G38" s="89" t="n">
        <v>85</v>
      </c>
      <c r="H38" s="89" t="n">
        <v>0</v>
      </c>
      <c r="I38" s="89" t="n">
        <v>0</v>
      </c>
      <c r="J38" s="89" t="n">
        <v>12</v>
      </c>
      <c r="K38" s="89" t="n">
        <v>18</v>
      </c>
      <c r="L38" s="89" t="n">
        <v>0</v>
      </c>
      <c r="M38" s="89" t="n">
        <v>17</v>
      </c>
      <c r="N38" s="89" t="n">
        <v>0</v>
      </c>
      <c r="O38" s="90">
        <f>IF($E38="","",IFERROR(INDEX(PARAMETRES!$O$7:$O$36,MATCH($E38,PARAMETRES!$M$7:$M$36,0)),""))</f>
        <v/>
      </c>
      <c r="P38" s="89" t="n">
        <v>2881</v>
      </c>
      <c r="Q38" s="89" t="n">
        <v>2866</v>
      </c>
      <c r="R38" s="89" t="n">
        <v>6</v>
      </c>
      <c r="S38" s="89" t="n">
        <v>9</v>
      </c>
      <c r="T38" s="89" t="n">
        <v>2960</v>
      </c>
      <c r="U38" s="91" t="n">
        <v>8</v>
      </c>
      <c r="V38" s="91" t="n">
        <v>7</v>
      </c>
      <c r="W38" s="91" t="n">
        <v>0</v>
      </c>
      <c r="X38" s="89" t="n">
        <v>0</v>
      </c>
      <c r="Y38" s="89" t="n">
        <v>0</v>
      </c>
      <c r="Z38" s="88" t="inlineStr">
        <is>
          <t>MAT-02</t>
        </is>
      </c>
      <c r="AA38" s="88" t="inlineStr">
        <is>
          <t>Matière non conforme (rebut fournisseur) — Usinage</t>
        </is>
      </c>
      <c r="AB38" s="92">
        <f>IF($A38="","",MAX(0,$F38-$G38))</f>
        <v/>
      </c>
      <c r="AC38" s="92">
        <f>IF($A38="","",SUM($H38:$M38))</f>
        <v/>
      </c>
      <c r="AD38" s="92">
        <f>IF($A38="","",MAX(0,$AB38-$AC38))</f>
        <v/>
      </c>
      <c r="AE38" s="92">
        <f>IF($A38="","",IFERROR($Q38/$O38,""))</f>
        <v/>
      </c>
      <c r="AF38" s="93">
        <f>IF($A38="","",IFERROR($AD38/$AB38,""))</f>
        <v/>
      </c>
      <c r="AG38" s="93">
        <f>IF($A38="","",IFERROR(($P38/$O38)/$AD38,""))</f>
        <v/>
      </c>
      <c r="AH38" s="93">
        <f>IF($A38="","",IFERROR($Q38/$P38,""))</f>
        <v/>
      </c>
      <c r="AI38" s="93">
        <f>IF($A38="","",IFERROR($AF38*$AG38*$AH38,""))</f>
        <v/>
      </c>
      <c r="AJ38" s="93">
        <f>IF($A38="","",IFERROR($AE38/$F38,""))</f>
        <v/>
      </c>
      <c r="AK38" s="92">
        <f>IF($A38="","",IFERROR($AD38/$N38,""))</f>
        <v/>
      </c>
      <c r="AL38" s="92">
        <f>IF($A38="","",IFERROR($H38/$N38,""))</f>
        <v/>
      </c>
      <c r="AM38" s="92">
        <f>IF($A38="","",IFERROR(($P38-$Q38)/$P38*1000000,""))</f>
        <v/>
      </c>
      <c r="AN38" s="93">
        <f>IF($A38="","",IFERROR(($Q38+$R38)/$T38,""))</f>
        <v/>
      </c>
      <c r="AO38" s="93">
        <f>IF($A38="","",IFERROR($V38/$U38,""))</f>
        <v/>
      </c>
      <c r="AP38" s="92">
        <f>IF($A38="","",IFERROR(MAX(0,$AD38-$P38/$O38),""))</f>
        <v/>
      </c>
      <c r="AQ38" s="92">
        <f>IF($A38="","",IFERROR(($P38-$Q38)/$O38,""))</f>
        <v/>
      </c>
      <c r="AR38" s="94">
        <f>IF($A38="","",IF($F38="","Temps d'ouverture manquant",IF($O38="","Cadence produit inconnue",IF($G38&gt;$F38,"Arrêts planifiés &gt; temps d'ouverture",IF($AC38&gt;$AB38,"Arrêts subis &gt; temps requis",IF($P38&lt;&gt;$Q38+$R38+$S38,"Produite ≠ conforme + retouchée + rebutée",IF($Q38&gt;$P38,"Conforme &gt; produite",IF($V38&gt;$U38,"Présents &gt; prévus","OK"))))))))</f>
        <v/>
      </c>
      <c r="AS38" s="95">
        <f>IF($A38="",0,IF(AND(OR(COCKPIT!$H$4="Toutes",$C38=COCKPIT!$H$4),OR(COCKPIT!$K$4="Toutes",$B38=COCKPIT!$K$4)),1,0))</f>
        <v/>
      </c>
    </row>
    <row r="39" ht="15" customHeight="1">
      <c r="A39" s="87" t="n">
        <v>46049</v>
      </c>
      <c r="B39" s="88" t="inlineStr">
        <is>
          <t>Équipe B (après-midi)</t>
        </is>
      </c>
      <c r="C39" s="88" t="inlineStr">
        <is>
          <t>Ligne 1 - Assemblage</t>
        </is>
      </c>
      <c r="D39" s="88" t="inlineStr">
        <is>
          <t>OF-01035</t>
        </is>
      </c>
      <c r="E39" s="88" t="inlineStr">
        <is>
          <t>REF-1002</t>
        </is>
      </c>
      <c r="F39" s="89" t="n">
        <v>480</v>
      </c>
      <c r="G39" s="89" t="n">
        <v>100</v>
      </c>
      <c r="H39" s="89" t="n">
        <v>19</v>
      </c>
      <c r="I39" s="89" t="n">
        <v>0</v>
      </c>
      <c r="J39" s="89" t="n">
        <v>14</v>
      </c>
      <c r="K39" s="89" t="n">
        <v>26</v>
      </c>
      <c r="L39" s="89" t="n">
        <v>31</v>
      </c>
      <c r="M39" s="89" t="n">
        <v>13</v>
      </c>
      <c r="N39" s="89" t="n">
        <v>1</v>
      </c>
      <c r="O39" s="90">
        <f>IF($E39="","",IFERROR(INDEX(PARAMETRES!$O$7:$O$36,MATCH($E39,PARAMETRES!$M$7:$M$36,0)),""))</f>
        <v/>
      </c>
      <c r="P39" s="89" t="n">
        <v>3012</v>
      </c>
      <c r="Q39" s="89" t="n">
        <v>2960</v>
      </c>
      <c r="R39" s="89" t="n">
        <v>23</v>
      </c>
      <c r="S39" s="89" t="n">
        <v>29</v>
      </c>
      <c r="T39" s="89" t="n">
        <v>3173</v>
      </c>
      <c r="U39" s="91" t="n">
        <v>12</v>
      </c>
      <c r="V39" s="91" t="n">
        <v>12</v>
      </c>
      <c r="W39" s="91" t="n">
        <v>0</v>
      </c>
      <c r="X39" s="89" t="n">
        <v>0</v>
      </c>
      <c r="Y39" s="89" t="n">
        <v>0</v>
      </c>
      <c r="Z39" s="88" t="inlineStr">
        <is>
          <t>PER-02</t>
        </is>
      </c>
      <c r="AA39" s="88" t="inlineStr">
        <is>
          <t>Accompagnement / montée en compétence — Assemblage</t>
        </is>
      </c>
      <c r="AB39" s="92">
        <f>IF($A39="","",MAX(0,$F39-$G39))</f>
        <v/>
      </c>
      <c r="AC39" s="92">
        <f>IF($A39="","",SUM($H39:$M39))</f>
        <v/>
      </c>
      <c r="AD39" s="92">
        <f>IF($A39="","",MAX(0,$AB39-$AC39))</f>
        <v/>
      </c>
      <c r="AE39" s="92">
        <f>IF($A39="","",IFERROR($Q39/$O39,""))</f>
        <v/>
      </c>
      <c r="AF39" s="93">
        <f>IF($A39="","",IFERROR($AD39/$AB39,""))</f>
        <v/>
      </c>
      <c r="AG39" s="93">
        <f>IF($A39="","",IFERROR(($P39/$O39)/$AD39,""))</f>
        <v/>
      </c>
      <c r="AH39" s="93">
        <f>IF($A39="","",IFERROR($Q39/$P39,""))</f>
        <v/>
      </c>
      <c r="AI39" s="93">
        <f>IF($A39="","",IFERROR($AF39*$AG39*$AH39,""))</f>
        <v/>
      </c>
      <c r="AJ39" s="93">
        <f>IF($A39="","",IFERROR($AE39/$F39,""))</f>
        <v/>
      </c>
      <c r="AK39" s="92">
        <f>IF($A39="","",IFERROR($AD39/$N39,""))</f>
        <v/>
      </c>
      <c r="AL39" s="92">
        <f>IF($A39="","",IFERROR($H39/$N39,""))</f>
        <v/>
      </c>
      <c r="AM39" s="92">
        <f>IF($A39="","",IFERROR(($P39-$Q39)/$P39*1000000,""))</f>
        <v/>
      </c>
      <c r="AN39" s="93">
        <f>IF($A39="","",IFERROR(($Q39+$R39)/$T39,""))</f>
        <v/>
      </c>
      <c r="AO39" s="93">
        <f>IF($A39="","",IFERROR($V39/$U39,""))</f>
        <v/>
      </c>
      <c r="AP39" s="92">
        <f>IF($A39="","",IFERROR(MAX(0,$AD39-$P39/$O39),""))</f>
        <v/>
      </c>
      <c r="AQ39" s="92">
        <f>IF($A39="","",IFERROR(($P39-$Q39)/$O39,""))</f>
        <v/>
      </c>
      <c r="AR39" s="94">
        <f>IF($A39="","",IF($F39="","Temps d'ouverture manquant",IF($O39="","Cadence produit inconnue",IF($G39&gt;$F39,"Arrêts planifiés &gt; temps d'ouverture",IF($AC39&gt;$AB39,"Arrêts subis &gt; temps requis",IF($P39&lt;&gt;$Q39+$R39+$S39,"Produite ≠ conforme + retouchée + rebutée",IF($Q39&gt;$P39,"Conforme &gt; produite",IF($V39&gt;$U39,"Présents &gt; prévus","OK"))))))))</f>
        <v/>
      </c>
      <c r="AS39" s="95">
        <f>IF($A39="",0,IF(AND(OR(COCKPIT!$H$4="Toutes",$C39=COCKPIT!$H$4),OR(COCKPIT!$K$4="Toutes",$B39=COCKPIT!$K$4)),1,0))</f>
        <v/>
      </c>
    </row>
    <row r="40" ht="15" customHeight="1">
      <c r="A40" s="87" t="n">
        <v>46049</v>
      </c>
      <c r="B40" s="88" t="inlineStr">
        <is>
          <t>Équipe A (matin)</t>
        </is>
      </c>
      <c r="C40" s="88" t="inlineStr">
        <is>
          <t>Ligne 2 - Usinage</t>
        </is>
      </c>
      <c r="D40" s="88" t="inlineStr">
        <is>
          <t>OF-01036</t>
        </is>
      </c>
      <c r="E40" s="88" t="inlineStr">
        <is>
          <t>REF-2002</t>
        </is>
      </c>
      <c r="F40" s="89" t="n">
        <v>480</v>
      </c>
      <c r="G40" s="89" t="n">
        <v>100</v>
      </c>
      <c r="H40" s="89" t="n">
        <v>25</v>
      </c>
      <c r="I40" s="89" t="n">
        <v>0</v>
      </c>
      <c r="J40" s="89" t="n">
        <v>0</v>
      </c>
      <c r="K40" s="89" t="n">
        <v>0</v>
      </c>
      <c r="L40" s="89" t="n">
        <v>0</v>
      </c>
      <c r="M40" s="89" t="n">
        <v>14</v>
      </c>
      <c r="N40" s="89" t="n">
        <v>1</v>
      </c>
      <c r="O40" s="90">
        <f>IF($E40="","",IFERROR(INDEX(PARAMETRES!$O$7:$O$36,MATCH($E40,PARAMETRES!$M$7:$M$36,0)),""))</f>
        <v/>
      </c>
      <c r="P40" s="89" t="n">
        <v>2404</v>
      </c>
      <c r="Q40" s="89" t="n">
        <v>2370</v>
      </c>
      <c r="R40" s="89" t="n">
        <v>15</v>
      </c>
      <c r="S40" s="89" t="n">
        <v>19</v>
      </c>
      <c r="T40" s="89" t="n">
        <v>2510</v>
      </c>
      <c r="U40" s="91" t="n">
        <v>8</v>
      </c>
      <c r="V40" s="91" t="n">
        <v>8</v>
      </c>
      <c r="W40" s="91" t="n">
        <v>4</v>
      </c>
      <c r="X40" s="89" t="n">
        <v>0</v>
      </c>
      <c r="Y40" s="89" t="n">
        <v>0</v>
      </c>
      <c r="Z40" s="88" t="inlineStr">
        <is>
          <t>PAN-02</t>
        </is>
      </c>
      <c r="AA40" s="88" t="inlineStr">
        <is>
          <t>Panne électrique ou capteur — Usinage</t>
        </is>
      </c>
      <c r="AB40" s="92">
        <f>IF($A40="","",MAX(0,$F40-$G40))</f>
        <v/>
      </c>
      <c r="AC40" s="92">
        <f>IF($A40="","",SUM($H40:$M40))</f>
        <v/>
      </c>
      <c r="AD40" s="92">
        <f>IF($A40="","",MAX(0,$AB40-$AC40))</f>
        <v/>
      </c>
      <c r="AE40" s="92">
        <f>IF($A40="","",IFERROR($Q40/$O40,""))</f>
        <v/>
      </c>
      <c r="AF40" s="93">
        <f>IF($A40="","",IFERROR($AD40/$AB40,""))</f>
        <v/>
      </c>
      <c r="AG40" s="93">
        <f>IF($A40="","",IFERROR(($P40/$O40)/$AD40,""))</f>
        <v/>
      </c>
      <c r="AH40" s="93">
        <f>IF($A40="","",IFERROR($Q40/$P40,""))</f>
        <v/>
      </c>
      <c r="AI40" s="93">
        <f>IF($A40="","",IFERROR($AF40*$AG40*$AH40,""))</f>
        <v/>
      </c>
      <c r="AJ40" s="93">
        <f>IF($A40="","",IFERROR($AE40/$F40,""))</f>
        <v/>
      </c>
      <c r="AK40" s="92">
        <f>IF($A40="","",IFERROR($AD40/$N40,""))</f>
        <v/>
      </c>
      <c r="AL40" s="92">
        <f>IF($A40="","",IFERROR($H40/$N40,""))</f>
        <v/>
      </c>
      <c r="AM40" s="92">
        <f>IF($A40="","",IFERROR(($P40-$Q40)/$P40*1000000,""))</f>
        <v/>
      </c>
      <c r="AN40" s="93">
        <f>IF($A40="","",IFERROR(($Q40+$R40)/$T40,""))</f>
        <v/>
      </c>
      <c r="AO40" s="93">
        <f>IF($A40="","",IFERROR($V40/$U40,""))</f>
        <v/>
      </c>
      <c r="AP40" s="92">
        <f>IF($A40="","",IFERROR(MAX(0,$AD40-$P40/$O40),""))</f>
        <v/>
      </c>
      <c r="AQ40" s="92">
        <f>IF($A40="","",IFERROR(($P40-$Q40)/$O40,""))</f>
        <v/>
      </c>
      <c r="AR40" s="94">
        <f>IF($A40="","",IF($F40="","Temps d'ouverture manquant",IF($O40="","Cadence produit inconnue",IF($G40&gt;$F40,"Arrêts planifiés &gt; temps d'ouverture",IF($AC40&gt;$AB40,"Arrêts subis &gt; temps requis",IF($P40&lt;&gt;$Q40+$R40+$S40,"Produite ≠ conforme + retouchée + rebutée",IF($Q40&gt;$P40,"Conforme &gt; produite",IF($V40&gt;$U40,"Présents &gt; prévus","OK"))))))))</f>
        <v/>
      </c>
      <c r="AS40" s="95">
        <f>IF($A40="",0,IF(AND(OR(COCKPIT!$H$4="Toutes",$C40=COCKPIT!$H$4),OR(COCKPIT!$K$4="Toutes",$B40=COCKPIT!$K$4)),1,0))</f>
        <v/>
      </c>
    </row>
    <row r="41" ht="15" customHeight="1">
      <c r="A41" s="87" t="n">
        <v>46050</v>
      </c>
      <c r="B41" s="88" t="inlineStr">
        <is>
          <t>Équipe A (matin)</t>
        </is>
      </c>
      <c r="C41" s="88" t="inlineStr">
        <is>
          <t>Ligne 1 - Assemblage</t>
        </is>
      </c>
      <c r="D41" s="88" t="inlineStr">
        <is>
          <t>OF-01037</t>
        </is>
      </c>
      <c r="E41" s="88" t="inlineStr">
        <is>
          <t>REF-1001</t>
        </is>
      </c>
      <c r="F41" s="89" t="n">
        <v>480</v>
      </c>
      <c r="G41" s="89" t="n">
        <v>40</v>
      </c>
      <c r="H41" s="89" t="n">
        <v>21</v>
      </c>
      <c r="I41" s="89" t="n">
        <v>37</v>
      </c>
      <c r="J41" s="89" t="n">
        <v>11</v>
      </c>
      <c r="K41" s="89" t="n">
        <v>0</v>
      </c>
      <c r="L41" s="89" t="n">
        <v>13</v>
      </c>
      <c r="M41" s="89" t="n">
        <v>0</v>
      </c>
      <c r="N41" s="89" t="n">
        <v>1</v>
      </c>
      <c r="O41" s="90">
        <f>IF($E41="","",IFERROR(INDEX(PARAMETRES!$O$7:$O$36,MATCH($E41,PARAMETRES!$M$7:$M$36,0)),""))</f>
        <v/>
      </c>
      <c r="P41" s="89" t="n">
        <v>4779</v>
      </c>
      <c r="Q41" s="89" t="n">
        <v>4721</v>
      </c>
      <c r="R41" s="89" t="n">
        <v>26</v>
      </c>
      <c r="S41" s="89" t="n">
        <v>32</v>
      </c>
      <c r="T41" s="89" t="n">
        <v>5159</v>
      </c>
      <c r="U41" s="91" t="n">
        <v>12</v>
      </c>
      <c r="V41" s="91" t="n">
        <v>12</v>
      </c>
      <c r="W41" s="91" t="n">
        <v>4</v>
      </c>
      <c r="X41" s="89" t="n">
        <v>0</v>
      </c>
      <c r="Y41" s="89" t="n">
        <v>1</v>
      </c>
      <c r="Z41" s="88" t="inlineStr">
        <is>
          <t>CDS-01</t>
        </is>
      </c>
      <c r="AA41" s="88" t="inlineStr">
        <is>
          <t>Changement de série (outillage) — Assemblage</t>
        </is>
      </c>
      <c r="AB41" s="92">
        <f>IF($A41="","",MAX(0,$F41-$G41))</f>
        <v/>
      </c>
      <c r="AC41" s="92">
        <f>IF($A41="","",SUM($H41:$M41))</f>
        <v/>
      </c>
      <c r="AD41" s="92">
        <f>IF($A41="","",MAX(0,$AB41-$AC41))</f>
        <v/>
      </c>
      <c r="AE41" s="92">
        <f>IF($A41="","",IFERROR($Q41/$O41,""))</f>
        <v/>
      </c>
      <c r="AF41" s="93">
        <f>IF($A41="","",IFERROR($AD41/$AB41,""))</f>
        <v/>
      </c>
      <c r="AG41" s="93">
        <f>IF($A41="","",IFERROR(($P41/$O41)/$AD41,""))</f>
        <v/>
      </c>
      <c r="AH41" s="93">
        <f>IF($A41="","",IFERROR($Q41/$P41,""))</f>
        <v/>
      </c>
      <c r="AI41" s="93">
        <f>IF($A41="","",IFERROR($AF41*$AG41*$AH41,""))</f>
        <v/>
      </c>
      <c r="AJ41" s="93">
        <f>IF($A41="","",IFERROR($AE41/$F41,""))</f>
        <v/>
      </c>
      <c r="AK41" s="92">
        <f>IF($A41="","",IFERROR($AD41/$N41,""))</f>
        <v/>
      </c>
      <c r="AL41" s="92">
        <f>IF($A41="","",IFERROR($H41/$N41,""))</f>
        <v/>
      </c>
      <c r="AM41" s="92">
        <f>IF($A41="","",IFERROR(($P41-$Q41)/$P41*1000000,""))</f>
        <v/>
      </c>
      <c r="AN41" s="93">
        <f>IF($A41="","",IFERROR(($Q41+$R41)/$T41,""))</f>
        <v/>
      </c>
      <c r="AO41" s="93">
        <f>IF($A41="","",IFERROR($V41/$U41,""))</f>
        <v/>
      </c>
      <c r="AP41" s="92">
        <f>IF($A41="","",IFERROR(MAX(0,$AD41-$P41/$O41),""))</f>
        <v/>
      </c>
      <c r="AQ41" s="92">
        <f>IF($A41="","",IFERROR(($P41-$Q41)/$O41,""))</f>
        <v/>
      </c>
      <c r="AR41" s="94">
        <f>IF($A41="","",IF($F41="","Temps d'ouverture manquant",IF($O41="","Cadence produit inconnue",IF($G41&gt;$F41,"Arrêts planifiés &gt; temps d'ouverture",IF($AC41&gt;$AB41,"Arrêts subis &gt; temps requis",IF($P41&lt;&gt;$Q41+$R41+$S41,"Produite ≠ conforme + retouchée + rebutée",IF($Q41&gt;$P41,"Conforme &gt; produite",IF($V41&gt;$U41,"Présents &gt; prévus","OK"))))))))</f>
        <v/>
      </c>
      <c r="AS41" s="95">
        <f>IF($A41="",0,IF(AND(OR(COCKPIT!$H$4="Toutes",$C41=COCKPIT!$H$4),OR(COCKPIT!$K$4="Toutes",$B41=COCKPIT!$K$4)),1,0))</f>
        <v/>
      </c>
    </row>
    <row r="42" ht="15" customHeight="1">
      <c r="A42" s="87" t="n">
        <v>46050</v>
      </c>
      <c r="B42" s="88" t="inlineStr">
        <is>
          <t>Équipe B (après-midi)</t>
        </is>
      </c>
      <c r="C42" s="88" t="inlineStr">
        <is>
          <t>Ligne 2 - Usinage</t>
        </is>
      </c>
      <c r="D42" s="88" t="inlineStr">
        <is>
          <t>OF-01038</t>
        </is>
      </c>
      <c r="E42" s="88" t="inlineStr">
        <is>
          <t>REF-2001</t>
        </is>
      </c>
      <c r="F42" s="89" t="n">
        <v>480</v>
      </c>
      <c r="G42" s="89" t="n">
        <v>40</v>
      </c>
      <c r="H42" s="89" t="n">
        <v>35</v>
      </c>
      <c r="I42" s="89" t="n">
        <v>20</v>
      </c>
      <c r="J42" s="89" t="n">
        <v>5</v>
      </c>
      <c r="K42" s="89" t="n">
        <v>15</v>
      </c>
      <c r="L42" s="89" t="n">
        <v>0</v>
      </c>
      <c r="M42" s="89" t="n">
        <v>19</v>
      </c>
      <c r="N42" s="89" t="n">
        <v>1</v>
      </c>
      <c r="O42" s="90">
        <f>IF($E42="","",IFERROR(INDEX(PARAMETRES!$O$7:$O$36,MATCH($E42,PARAMETRES!$M$7:$M$36,0)),""))</f>
        <v/>
      </c>
      <c r="P42" s="89" t="n">
        <v>2989</v>
      </c>
      <c r="Q42" s="89" t="n">
        <v>2962</v>
      </c>
      <c r="R42" s="89" t="n">
        <v>12</v>
      </c>
      <c r="S42" s="89" t="n">
        <v>15</v>
      </c>
      <c r="T42" s="89" t="n">
        <v>3197</v>
      </c>
      <c r="U42" s="91" t="n">
        <v>8</v>
      </c>
      <c r="V42" s="91" t="n">
        <v>8</v>
      </c>
      <c r="W42" s="91" t="n">
        <v>0</v>
      </c>
      <c r="X42" s="89" t="n">
        <v>0</v>
      </c>
      <c r="Y42" s="89" t="n">
        <v>0</v>
      </c>
      <c r="Z42" s="88" t="inlineStr">
        <is>
          <t>PAN-01</t>
        </is>
      </c>
      <c r="AA42" s="88" t="inlineStr">
        <is>
          <t>Panne mécanique — Usinage</t>
        </is>
      </c>
      <c r="AB42" s="92">
        <f>IF($A42="","",MAX(0,$F42-$G42))</f>
        <v/>
      </c>
      <c r="AC42" s="92">
        <f>IF($A42="","",SUM($H42:$M42))</f>
        <v/>
      </c>
      <c r="AD42" s="92">
        <f>IF($A42="","",MAX(0,$AB42-$AC42))</f>
        <v/>
      </c>
      <c r="AE42" s="92">
        <f>IF($A42="","",IFERROR($Q42/$O42,""))</f>
        <v/>
      </c>
      <c r="AF42" s="93">
        <f>IF($A42="","",IFERROR($AD42/$AB42,""))</f>
        <v/>
      </c>
      <c r="AG42" s="93">
        <f>IF($A42="","",IFERROR(($P42/$O42)/$AD42,""))</f>
        <v/>
      </c>
      <c r="AH42" s="93">
        <f>IF($A42="","",IFERROR($Q42/$P42,""))</f>
        <v/>
      </c>
      <c r="AI42" s="93">
        <f>IF($A42="","",IFERROR($AF42*$AG42*$AH42,""))</f>
        <v/>
      </c>
      <c r="AJ42" s="93">
        <f>IF($A42="","",IFERROR($AE42/$F42,""))</f>
        <v/>
      </c>
      <c r="AK42" s="92">
        <f>IF($A42="","",IFERROR($AD42/$N42,""))</f>
        <v/>
      </c>
      <c r="AL42" s="92">
        <f>IF($A42="","",IFERROR($H42/$N42,""))</f>
        <v/>
      </c>
      <c r="AM42" s="92">
        <f>IF($A42="","",IFERROR(($P42-$Q42)/$P42*1000000,""))</f>
        <v/>
      </c>
      <c r="AN42" s="93">
        <f>IF($A42="","",IFERROR(($Q42+$R42)/$T42,""))</f>
        <v/>
      </c>
      <c r="AO42" s="93">
        <f>IF($A42="","",IFERROR($V42/$U42,""))</f>
        <v/>
      </c>
      <c r="AP42" s="92">
        <f>IF($A42="","",IFERROR(MAX(0,$AD42-$P42/$O42),""))</f>
        <v/>
      </c>
      <c r="AQ42" s="92">
        <f>IF($A42="","",IFERROR(($P42-$Q42)/$O42,""))</f>
        <v/>
      </c>
      <c r="AR42" s="94">
        <f>IF($A42="","",IF($F42="","Temps d'ouverture manquant",IF($O42="","Cadence produit inconnue",IF($G42&gt;$F42,"Arrêts planifiés &gt; temps d'ouverture",IF($AC42&gt;$AB42,"Arrêts subis &gt; temps requis",IF($P42&lt;&gt;$Q42+$R42+$S42,"Produite ≠ conforme + retouchée + rebutée",IF($Q42&gt;$P42,"Conforme &gt; produite",IF($V42&gt;$U42,"Présents &gt; prévus","OK"))))))))</f>
        <v/>
      </c>
      <c r="AS42" s="95">
        <f>IF($A42="",0,IF(AND(OR(COCKPIT!$H$4="Toutes",$C42=COCKPIT!$H$4),OR(COCKPIT!$K$4="Toutes",$B42=COCKPIT!$K$4)),1,0))</f>
        <v/>
      </c>
    </row>
    <row r="43" ht="15" customHeight="1">
      <c r="A43" s="87" t="n">
        <v>46051</v>
      </c>
      <c r="B43" s="88" t="inlineStr">
        <is>
          <t>Équipe B (après-midi)</t>
        </is>
      </c>
      <c r="C43" s="88" t="inlineStr">
        <is>
          <t>Ligne 1 - Assemblage</t>
        </is>
      </c>
      <c r="D43" s="88" t="inlineStr">
        <is>
          <t>OF-01039</t>
        </is>
      </c>
      <c r="E43" s="88" t="inlineStr">
        <is>
          <t>REF-1002</t>
        </is>
      </c>
      <c r="F43" s="89" t="n">
        <v>480</v>
      </c>
      <c r="G43" s="89" t="n">
        <v>40</v>
      </c>
      <c r="H43" s="89" t="n">
        <v>0</v>
      </c>
      <c r="I43" s="89" t="n">
        <v>0</v>
      </c>
      <c r="J43" s="89" t="n">
        <v>0</v>
      </c>
      <c r="K43" s="89" t="n">
        <v>20</v>
      </c>
      <c r="L43" s="89" t="n">
        <v>24</v>
      </c>
      <c r="M43" s="89" t="n">
        <v>23</v>
      </c>
      <c r="N43" s="89" t="n">
        <v>0</v>
      </c>
      <c r="O43" s="90">
        <f>IF($E43="","",IFERROR(INDEX(PARAMETRES!$O$7:$O$36,MATCH($E43,PARAMETRES!$M$7:$M$36,0)),""))</f>
        <v/>
      </c>
      <c r="P43" s="89" t="n">
        <v>4242</v>
      </c>
      <c r="Q43" s="89" t="n">
        <v>4212</v>
      </c>
      <c r="R43" s="89" t="n">
        <v>13</v>
      </c>
      <c r="S43" s="89" t="n">
        <v>17</v>
      </c>
      <c r="T43" s="89" t="n">
        <v>4267</v>
      </c>
      <c r="U43" s="91" t="n">
        <v>12</v>
      </c>
      <c r="V43" s="91" t="n">
        <v>12</v>
      </c>
      <c r="W43" s="91" t="n">
        <v>0</v>
      </c>
      <c r="X43" s="89" t="n">
        <v>0</v>
      </c>
      <c r="Y43" s="89" t="n">
        <v>0</v>
      </c>
      <c r="Z43" s="88" t="inlineStr">
        <is>
          <t>PER-02</t>
        </is>
      </c>
      <c r="AA43" s="88" t="inlineStr">
        <is>
          <t>Accompagnement / montée en compétence — Assemblage</t>
        </is>
      </c>
      <c r="AB43" s="92">
        <f>IF($A43="","",MAX(0,$F43-$G43))</f>
        <v/>
      </c>
      <c r="AC43" s="92">
        <f>IF($A43="","",SUM($H43:$M43))</f>
        <v/>
      </c>
      <c r="AD43" s="92">
        <f>IF($A43="","",MAX(0,$AB43-$AC43))</f>
        <v/>
      </c>
      <c r="AE43" s="92">
        <f>IF($A43="","",IFERROR($Q43/$O43,""))</f>
        <v/>
      </c>
      <c r="AF43" s="93">
        <f>IF($A43="","",IFERROR($AD43/$AB43,""))</f>
        <v/>
      </c>
      <c r="AG43" s="93">
        <f>IF($A43="","",IFERROR(($P43/$O43)/$AD43,""))</f>
        <v/>
      </c>
      <c r="AH43" s="93">
        <f>IF($A43="","",IFERROR($Q43/$P43,""))</f>
        <v/>
      </c>
      <c r="AI43" s="93">
        <f>IF($A43="","",IFERROR($AF43*$AG43*$AH43,""))</f>
        <v/>
      </c>
      <c r="AJ43" s="93">
        <f>IF($A43="","",IFERROR($AE43/$F43,""))</f>
        <v/>
      </c>
      <c r="AK43" s="92">
        <f>IF($A43="","",IFERROR($AD43/$N43,""))</f>
        <v/>
      </c>
      <c r="AL43" s="92">
        <f>IF($A43="","",IFERROR($H43/$N43,""))</f>
        <v/>
      </c>
      <c r="AM43" s="92">
        <f>IF($A43="","",IFERROR(($P43-$Q43)/$P43*1000000,""))</f>
        <v/>
      </c>
      <c r="AN43" s="93">
        <f>IF($A43="","",IFERROR(($Q43+$R43)/$T43,""))</f>
        <v/>
      </c>
      <c r="AO43" s="93">
        <f>IF($A43="","",IFERROR($V43/$U43,""))</f>
        <v/>
      </c>
      <c r="AP43" s="92">
        <f>IF($A43="","",IFERROR(MAX(0,$AD43-$P43/$O43),""))</f>
        <v/>
      </c>
      <c r="AQ43" s="92">
        <f>IF($A43="","",IFERROR(($P43-$Q43)/$O43,""))</f>
        <v/>
      </c>
      <c r="AR43" s="94">
        <f>IF($A43="","",IF($F43="","Temps d'ouverture manquant",IF($O43="","Cadence produit inconnue",IF($G43&gt;$F43,"Arrêts planifiés &gt; temps d'ouverture",IF($AC43&gt;$AB43,"Arrêts subis &gt; temps requis",IF($P43&lt;&gt;$Q43+$R43+$S43,"Produite ≠ conforme + retouchée + rebutée",IF($Q43&gt;$P43,"Conforme &gt; produite",IF($V43&gt;$U43,"Présents &gt; prévus","OK"))))))))</f>
        <v/>
      </c>
      <c r="AS43" s="95">
        <f>IF($A43="",0,IF(AND(OR(COCKPIT!$H$4="Toutes",$C43=COCKPIT!$H$4),OR(COCKPIT!$K$4="Toutes",$B43=COCKPIT!$K$4)),1,0))</f>
        <v/>
      </c>
    </row>
    <row r="44" ht="15" customHeight="1">
      <c r="A44" s="87" t="n">
        <v>46051</v>
      </c>
      <c r="B44" s="88" t="inlineStr">
        <is>
          <t>Équipe A (matin)</t>
        </is>
      </c>
      <c r="C44" s="88" t="inlineStr">
        <is>
          <t>Ligne 2 - Usinage</t>
        </is>
      </c>
      <c r="D44" s="88" t="inlineStr">
        <is>
          <t>OF-01040</t>
        </is>
      </c>
      <c r="E44" s="88" t="inlineStr">
        <is>
          <t>REF-2002</t>
        </is>
      </c>
      <c r="F44" s="89" t="n">
        <v>480</v>
      </c>
      <c r="G44" s="89" t="n">
        <v>40</v>
      </c>
      <c r="H44" s="89" t="n">
        <v>31</v>
      </c>
      <c r="I44" s="89" t="n">
        <v>33</v>
      </c>
      <c r="J44" s="89" t="n">
        <v>0</v>
      </c>
      <c r="K44" s="89" t="n">
        <v>17</v>
      </c>
      <c r="L44" s="89" t="n">
        <v>0</v>
      </c>
      <c r="M44" s="89" t="n">
        <v>13</v>
      </c>
      <c r="N44" s="89" t="n">
        <v>1</v>
      </c>
      <c r="O44" s="90">
        <f>IF($E44="","",IFERROR(INDEX(PARAMETRES!$O$7:$O$36,MATCH($E44,PARAMETRES!$M$7:$M$36,0)),""))</f>
        <v/>
      </c>
      <c r="P44" s="89" t="n">
        <v>2257</v>
      </c>
      <c r="Q44" s="89" t="n">
        <v>2216</v>
      </c>
      <c r="R44" s="89" t="n">
        <v>18</v>
      </c>
      <c r="S44" s="89" t="n">
        <v>23</v>
      </c>
      <c r="T44" s="89" t="n">
        <v>2234</v>
      </c>
      <c r="U44" s="91" t="n">
        <v>8</v>
      </c>
      <c r="V44" s="91" t="n">
        <v>8</v>
      </c>
      <c r="W44" s="91" t="n">
        <v>0</v>
      </c>
      <c r="X44" s="89" t="n">
        <v>0</v>
      </c>
      <c r="Y44" s="89" t="n">
        <v>0</v>
      </c>
      <c r="Z44" s="88" t="inlineStr">
        <is>
          <t>CDS-02</t>
        </is>
      </c>
      <c r="AA44" s="88" t="inlineStr">
        <is>
          <t>Attente outillage ou moyen de contrôle — Usinage</t>
        </is>
      </c>
      <c r="AB44" s="92">
        <f>IF($A44="","",MAX(0,$F44-$G44))</f>
        <v/>
      </c>
      <c r="AC44" s="92">
        <f>IF($A44="","",SUM($H44:$M44))</f>
        <v/>
      </c>
      <c r="AD44" s="92">
        <f>IF($A44="","",MAX(0,$AB44-$AC44))</f>
        <v/>
      </c>
      <c r="AE44" s="92">
        <f>IF($A44="","",IFERROR($Q44/$O44,""))</f>
        <v/>
      </c>
      <c r="AF44" s="93">
        <f>IF($A44="","",IFERROR($AD44/$AB44,""))</f>
        <v/>
      </c>
      <c r="AG44" s="93">
        <f>IF($A44="","",IFERROR(($P44/$O44)/$AD44,""))</f>
        <v/>
      </c>
      <c r="AH44" s="93">
        <f>IF($A44="","",IFERROR($Q44/$P44,""))</f>
        <v/>
      </c>
      <c r="AI44" s="93">
        <f>IF($A44="","",IFERROR($AF44*$AG44*$AH44,""))</f>
        <v/>
      </c>
      <c r="AJ44" s="93">
        <f>IF($A44="","",IFERROR($AE44/$F44,""))</f>
        <v/>
      </c>
      <c r="AK44" s="92">
        <f>IF($A44="","",IFERROR($AD44/$N44,""))</f>
        <v/>
      </c>
      <c r="AL44" s="92">
        <f>IF($A44="","",IFERROR($H44/$N44,""))</f>
        <v/>
      </c>
      <c r="AM44" s="92">
        <f>IF($A44="","",IFERROR(($P44-$Q44)/$P44*1000000,""))</f>
        <v/>
      </c>
      <c r="AN44" s="93">
        <f>IF($A44="","",IFERROR(($Q44+$R44)/$T44,""))</f>
        <v/>
      </c>
      <c r="AO44" s="93">
        <f>IF($A44="","",IFERROR($V44/$U44,""))</f>
        <v/>
      </c>
      <c r="AP44" s="92">
        <f>IF($A44="","",IFERROR(MAX(0,$AD44-$P44/$O44),""))</f>
        <v/>
      </c>
      <c r="AQ44" s="92">
        <f>IF($A44="","",IFERROR(($P44-$Q44)/$O44,""))</f>
        <v/>
      </c>
      <c r="AR44" s="94">
        <f>IF($A44="","",IF($F44="","Temps d'ouverture manquant",IF($O44="","Cadence produit inconnue",IF($G44&gt;$F44,"Arrêts planifiés &gt; temps d'ouverture",IF($AC44&gt;$AB44,"Arrêts subis &gt; temps requis",IF($P44&lt;&gt;$Q44+$R44+$S44,"Produite ≠ conforme + retouchée + rebutée",IF($Q44&gt;$P44,"Conforme &gt; produite",IF($V44&gt;$U44,"Présents &gt; prévus","OK"))))))))</f>
        <v/>
      </c>
      <c r="AS44" s="95">
        <f>IF($A44="",0,IF(AND(OR(COCKPIT!$H$4="Toutes",$C44=COCKPIT!$H$4),OR(COCKPIT!$K$4="Toutes",$B44=COCKPIT!$K$4)),1,0))</f>
        <v/>
      </c>
    </row>
    <row r="45" ht="15" customHeight="1">
      <c r="A45" s="87" t="n">
        <v>46052</v>
      </c>
      <c r="B45" s="88" t="inlineStr">
        <is>
          <t>Équipe A (matin)</t>
        </is>
      </c>
      <c r="C45" s="88" t="inlineStr">
        <is>
          <t>Ligne 1 - Assemblage</t>
        </is>
      </c>
      <c r="D45" s="88" t="inlineStr">
        <is>
          <t>OF-01041</t>
        </is>
      </c>
      <c r="E45" s="88" t="inlineStr">
        <is>
          <t>REF-1001</t>
        </is>
      </c>
      <c r="F45" s="89" t="n">
        <v>480</v>
      </c>
      <c r="G45" s="89" t="n">
        <v>40</v>
      </c>
      <c r="H45" s="89" t="n">
        <v>53</v>
      </c>
      <c r="I45" s="89" t="n">
        <v>27</v>
      </c>
      <c r="J45" s="89" t="n">
        <v>0</v>
      </c>
      <c r="K45" s="89" t="n">
        <v>0</v>
      </c>
      <c r="L45" s="89" t="n">
        <v>0</v>
      </c>
      <c r="M45" s="89" t="n">
        <v>0</v>
      </c>
      <c r="N45" s="89" t="n">
        <v>1</v>
      </c>
      <c r="O45" s="90">
        <f>IF($E45="","",IFERROR(INDEX(PARAMETRES!$O$7:$O$36,MATCH($E45,PARAMETRES!$M$7:$M$36,0)),""))</f>
        <v/>
      </c>
      <c r="P45" s="89" t="n">
        <v>5022</v>
      </c>
      <c r="Q45" s="89" t="n">
        <v>4941</v>
      </c>
      <c r="R45" s="89" t="n">
        <v>36</v>
      </c>
      <c r="S45" s="89" t="n">
        <v>45</v>
      </c>
      <c r="T45" s="89" t="n">
        <v>5130</v>
      </c>
      <c r="U45" s="91" t="n">
        <v>12</v>
      </c>
      <c r="V45" s="91" t="n">
        <v>12</v>
      </c>
      <c r="W45" s="91" t="n">
        <v>0</v>
      </c>
      <c r="X45" s="89" t="n">
        <v>0</v>
      </c>
      <c r="Y45" s="89" t="n">
        <v>0</v>
      </c>
      <c r="Z45" s="88" t="inlineStr">
        <is>
          <t>PAN-01</t>
        </is>
      </c>
      <c r="AA45" s="88" t="inlineStr">
        <is>
          <t>Panne mécanique — Assemblage</t>
        </is>
      </c>
      <c r="AB45" s="92">
        <f>IF($A45="","",MAX(0,$F45-$G45))</f>
        <v/>
      </c>
      <c r="AC45" s="92">
        <f>IF($A45="","",SUM($H45:$M45))</f>
        <v/>
      </c>
      <c r="AD45" s="92">
        <f>IF($A45="","",MAX(0,$AB45-$AC45))</f>
        <v/>
      </c>
      <c r="AE45" s="92">
        <f>IF($A45="","",IFERROR($Q45/$O45,""))</f>
        <v/>
      </c>
      <c r="AF45" s="93">
        <f>IF($A45="","",IFERROR($AD45/$AB45,""))</f>
        <v/>
      </c>
      <c r="AG45" s="93">
        <f>IF($A45="","",IFERROR(($P45/$O45)/$AD45,""))</f>
        <v/>
      </c>
      <c r="AH45" s="93">
        <f>IF($A45="","",IFERROR($Q45/$P45,""))</f>
        <v/>
      </c>
      <c r="AI45" s="93">
        <f>IF($A45="","",IFERROR($AF45*$AG45*$AH45,""))</f>
        <v/>
      </c>
      <c r="AJ45" s="93">
        <f>IF($A45="","",IFERROR($AE45/$F45,""))</f>
        <v/>
      </c>
      <c r="AK45" s="92">
        <f>IF($A45="","",IFERROR($AD45/$N45,""))</f>
        <v/>
      </c>
      <c r="AL45" s="92">
        <f>IF($A45="","",IFERROR($H45/$N45,""))</f>
        <v/>
      </c>
      <c r="AM45" s="92">
        <f>IF($A45="","",IFERROR(($P45-$Q45)/$P45*1000000,""))</f>
        <v/>
      </c>
      <c r="AN45" s="93">
        <f>IF($A45="","",IFERROR(($Q45+$R45)/$T45,""))</f>
        <v/>
      </c>
      <c r="AO45" s="93">
        <f>IF($A45="","",IFERROR($V45/$U45,""))</f>
        <v/>
      </c>
      <c r="AP45" s="92">
        <f>IF($A45="","",IFERROR(MAX(0,$AD45-$P45/$O45),""))</f>
        <v/>
      </c>
      <c r="AQ45" s="92">
        <f>IF($A45="","",IFERROR(($P45-$Q45)/$O45,""))</f>
        <v/>
      </c>
      <c r="AR45" s="94">
        <f>IF($A45="","",IF($F45="","Temps d'ouverture manquant",IF($O45="","Cadence produit inconnue",IF($G45&gt;$F45,"Arrêts planifiés &gt; temps d'ouverture",IF($AC45&gt;$AB45,"Arrêts subis &gt; temps requis",IF($P45&lt;&gt;$Q45+$R45+$S45,"Produite ≠ conforme + retouchée + rebutée",IF($Q45&gt;$P45,"Conforme &gt; produite",IF($V45&gt;$U45,"Présents &gt; prévus","OK"))))))))</f>
        <v/>
      </c>
      <c r="AS45" s="95">
        <f>IF($A45="",0,IF(AND(OR(COCKPIT!$H$4="Toutes",$C45=COCKPIT!$H$4),OR(COCKPIT!$K$4="Toutes",$B45=COCKPIT!$K$4)),1,0))</f>
        <v/>
      </c>
    </row>
    <row r="46" ht="15" customHeight="1">
      <c r="A46" s="87" t="n">
        <v>46052</v>
      </c>
      <c r="B46" s="88" t="inlineStr">
        <is>
          <t>Équipe B (après-midi)</t>
        </is>
      </c>
      <c r="C46" s="88" t="inlineStr">
        <is>
          <t>Ligne 2 - Usinage</t>
        </is>
      </c>
      <c r="D46" s="88" t="inlineStr">
        <is>
          <t>OF-01042</t>
        </is>
      </c>
      <c r="E46" s="88" t="inlineStr">
        <is>
          <t>REF-2001</t>
        </is>
      </c>
      <c r="F46" s="89" t="n">
        <v>480</v>
      </c>
      <c r="G46" s="89" t="n">
        <v>40</v>
      </c>
      <c r="H46" s="89" t="n">
        <v>0</v>
      </c>
      <c r="I46" s="89" t="n">
        <v>0</v>
      </c>
      <c r="J46" s="89" t="n">
        <v>8</v>
      </c>
      <c r="K46" s="89" t="n">
        <v>20</v>
      </c>
      <c r="L46" s="89" t="n">
        <v>0</v>
      </c>
      <c r="M46" s="89" t="n">
        <v>11</v>
      </c>
      <c r="N46" s="89" t="n">
        <v>0</v>
      </c>
      <c r="O46" s="90">
        <f>IF($E46="","",IFERROR(INDEX(PARAMETRES!$O$7:$O$36,MATCH($E46,PARAMETRES!$M$7:$M$36,0)),""))</f>
        <v/>
      </c>
      <c r="P46" s="89" t="n">
        <v>3212</v>
      </c>
      <c r="Q46" s="89" t="n">
        <v>3170</v>
      </c>
      <c r="R46" s="89" t="n">
        <v>18</v>
      </c>
      <c r="S46" s="89" t="n">
        <v>24</v>
      </c>
      <c r="T46" s="89" t="n">
        <v>3253</v>
      </c>
      <c r="U46" s="91" t="n">
        <v>8</v>
      </c>
      <c r="V46" s="91" t="n">
        <v>8</v>
      </c>
      <c r="W46" s="91" t="n">
        <v>0</v>
      </c>
      <c r="X46" s="89" t="n">
        <v>0</v>
      </c>
      <c r="Y46" s="89" t="n">
        <v>0</v>
      </c>
      <c r="Z46" s="88" t="inlineStr">
        <is>
          <t>MAT-02</t>
        </is>
      </c>
      <c r="AA46" s="88" t="inlineStr">
        <is>
          <t>Matière non conforme (rebut fournisseur) — Usinage</t>
        </is>
      </c>
      <c r="AB46" s="92">
        <f>IF($A46="","",MAX(0,$F46-$G46))</f>
        <v/>
      </c>
      <c r="AC46" s="92">
        <f>IF($A46="","",SUM($H46:$M46))</f>
        <v/>
      </c>
      <c r="AD46" s="92">
        <f>IF($A46="","",MAX(0,$AB46-$AC46))</f>
        <v/>
      </c>
      <c r="AE46" s="92">
        <f>IF($A46="","",IFERROR($Q46/$O46,""))</f>
        <v/>
      </c>
      <c r="AF46" s="93">
        <f>IF($A46="","",IFERROR($AD46/$AB46,""))</f>
        <v/>
      </c>
      <c r="AG46" s="93">
        <f>IF($A46="","",IFERROR(($P46/$O46)/$AD46,""))</f>
        <v/>
      </c>
      <c r="AH46" s="93">
        <f>IF($A46="","",IFERROR($Q46/$P46,""))</f>
        <v/>
      </c>
      <c r="AI46" s="93">
        <f>IF($A46="","",IFERROR($AF46*$AG46*$AH46,""))</f>
        <v/>
      </c>
      <c r="AJ46" s="93">
        <f>IF($A46="","",IFERROR($AE46/$F46,""))</f>
        <v/>
      </c>
      <c r="AK46" s="92">
        <f>IF($A46="","",IFERROR($AD46/$N46,""))</f>
        <v/>
      </c>
      <c r="AL46" s="92">
        <f>IF($A46="","",IFERROR($H46/$N46,""))</f>
        <v/>
      </c>
      <c r="AM46" s="92">
        <f>IF($A46="","",IFERROR(($P46-$Q46)/$P46*1000000,""))</f>
        <v/>
      </c>
      <c r="AN46" s="93">
        <f>IF($A46="","",IFERROR(($Q46+$R46)/$T46,""))</f>
        <v/>
      </c>
      <c r="AO46" s="93">
        <f>IF($A46="","",IFERROR($V46/$U46,""))</f>
        <v/>
      </c>
      <c r="AP46" s="92">
        <f>IF($A46="","",IFERROR(MAX(0,$AD46-$P46/$O46),""))</f>
        <v/>
      </c>
      <c r="AQ46" s="92">
        <f>IF($A46="","",IFERROR(($P46-$Q46)/$O46,""))</f>
        <v/>
      </c>
      <c r="AR46" s="94">
        <f>IF($A46="","",IF($F46="","Temps d'ouverture manquant",IF($O46="","Cadence produit inconnue",IF($G46&gt;$F46,"Arrêts planifiés &gt; temps d'ouverture",IF($AC46&gt;$AB46,"Arrêts subis &gt; temps requis",IF($P46&lt;&gt;$Q46+$R46+$S46,"Produite ≠ conforme + retouchée + rebutée",IF($Q46&gt;$P46,"Conforme &gt; produite",IF($V46&gt;$U46,"Présents &gt; prévus","OK"))))))))</f>
        <v/>
      </c>
      <c r="AS46" s="95">
        <f>IF($A46="",0,IF(AND(OR(COCKPIT!$H$4="Toutes",$C46=COCKPIT!$H$4),OR(COCKPIT!$K$4="Toutes",$B46=COCKPIT!$K$4)),1,0))</f>
        <v/>
      </c>
    </row>
    <row r="47" ht="15" customHeight="1">
      <c r="A47" s="87" t="n"/>
      <c r="B47" s="88" t="n"/>
      <c r="C47" s="88" t="n"/>
      <c r="D47" s="88" t="n"/>
      <c r="E47" s="88" t="n"/>
      <c r="F47" s="89" t="n"/>
      <c r="G47" s="89" t="n"/>
      <c r="H47" s="89" t="n"/>
      <c r="I47" s="89" t="n"/>
      <c r="J47" s="89" t="n"/>
      <c r="K47" s="89" t="n"/>
      <c r="L47" s="89" t="n"/>
      <c r="M47" s="89" t="n"/>
      <c r="N47" s="89" t="n"/>
      <c r="O47" s="90">
        <f>IF($E47="","",IFERROR(INDEX(PARAMETRES!$O$7:$O$36,MATCH($E47,PARAMETRES!$M$7:$M$36,0)),""))</f>
        <v/>
      </c>
      <c r="P47" s="89" t="n"/>
      <c r="Q47" s="89" t="n"/>
      <c r="R47" s="89" t="n"/>
      <c r="S47" s="89" t="n"/>
      <c r="T47" s="89" t="n"/>
      <c r="U47" s="91" t="n"/>
      <c r="V47" s="91" t="n"/>
      <c r="W47" s="91" t="n"/>
      <c r="X47" s="89" t="n"/>
      <c r="Y47" s="89" t="n"/>
      <c r="Z47" s="88" t="n"/>
      <c r="AA47" s="88" t="n"/>
      <c r="AB47" s="92">
        <f>IF($A47="","",MAX(0,$F47-$G47))</f>
        <v/>
      </c>
      <c r="AC47" s="92">
        <f>IF($A47="","",SUM($H47:$M47))</f>
        <v/>
      </c>
      <c r="AD47" s="92">
        <f>IF($A47="","",MAX(0,$AB47-$AC47))</f>
        <v/>
      </c>
      <c r="AE47" s="92">
        <f>IF($A47="","",IFERROR($Q47/$O47,""))</f>
        <v/>
      </c>
      <c r="AF47" s="93">
        <f>IF($A47="","",IFERROR($AD47/$AB47,""))</f>
        <v/>
      </c>
      <c r="AG47" s="93">
        <f>IF($A47="","",IFERROR(($P47/$O47)/$AD47,""))</f>
        <v/>
      </c>
      <c r="AH47" s="93">
        <f>IF($A47="","",IFERROR($Q47/$P47,""))</f>
        <v/>
      </c>
      <c r="AI47" s="93">
        <f>IF($A47="","",IFERROR($AF47*$AG47*$AH47,""))</f>
        <v/>
      </c>
      <c r="AJ47" s="93">
        <f>IF($A47="","",IFERROR($AE47/$F47,""))</f>
        <v/>
      </c>
      <c r="AK47" s="92">
        <f>IF($A47="","",IFERROR($AD47/$N47,""))</f>
        <v/>
      </c>
      <c r="AL47" s="92">
        <f>IF($A47="","",IFERROR($H47/$N47,""))</f>
        <v/>
      </c>
      <c r="AM47" s="92">
        <f>IF($A47="","",IFERROR(($P47-$Q47)/$P47*1000000,""))</f>
        <v/>
      </c>
      <c r="AN47" s="93">
        <f>IF($A47="","",IFERROR(($Q47+$R47)/$T47,""))</f>
        <v/>
      </c>
      <c r="AO47" s="93">
        <f>IF($A47="","",IFERROR($V47/$U47,""))</f>
        <v/>
      </c>
      <c r="AP47" s="92">
        <f>IF($A47="","",IFERROR(MAX(0,$AD47-$P47/$O47),""))</f>
        <v/>
      </c>
      <c r="AQ47" s="92">
        <f>IF($A47="","",IFERROR(($P47-$Q47)/$O47,""))</f>
        <v/>
      </c>
      <c r="AR47" s="94">
        <f>IF($A47="","",IF($F47="","Temps d'ouverture manquant",IF($O47="","Cadence produit inconnue",IF($G47&gt;$F47,"Arrêts planifiés &gt; temps d'ouverture",IF($AC47&gt;$AB47,"Arrêts subis &gt; temps requis",IF($P47&lt;&gt;$Q47+$R47+$S47,"Produite ≠ conforme + retouchée + rebutée",IF($Q47&gt;$P47,"Conforme &gt; produite",IF($V47&gt;$U47,"Présents &gt; prévus","OK"))))))))</f>
        <v/>
      </c>
      <c r="AS47" s="95">
        <f>IF($A47="",0,IF(AND(OR(COCKPIT!$H$4="Toutes",$C47=COCKPIT!$H$4),OR(COCKPIT!$K$4="Toutes",$B47=COCKPIT!$K$4)),1,0))</f>
        <v/>
      </c>
    </row>
    <row r="48" ht="15" customHeight="1">
      <c r="A48" s="87" t="n"/>
      <c r="B48" s="88" t="n"/>
      <c r="C48" s="88" t="n"/>
      <c r="D48" s="88" t="n"/>
      <c r="E48" s="88" t="n"/>
      <c r="F48" s="89" t="n"/>
      <c r="G48" s="89" t="n"/>
      <c r="H48" s="89" t="n"/>
      <c r="I48" s="89" t="n"/>
      <c r="J48" s="89" t="n"/>
      <c r="K48" s="89" t="n"/>
      <c r="L48" s="89" t="n"/>
      <c r="M48" s="89" t="n"/>
      <c r="N48" s="89" t="n"/>
      <c r="O48" s="90">
        <f>IF($E48="","",IFERROR(INDEX(PARAMETRES!$O$7:$O$36,MATCH($E48,PARAMETRES!$M$7:$M$36,0)),""))</f>
        <v/>
      </c>
      <c r="P48" s="89" t="n"/>
      <c r="Q48" s="89" t="n"/>
      <c r="R48" s="89" t="n"/>
      <c r="S48" s="89" t="n"/>
      <c r="T48" s="89" t="n"/>
      <c r="U48" s="91" t="n"/>
      <c r="V48" s="91" t="n"/>
      <c r="W48" s="91" t="n"/>
      <c r="X48" s="89" t="n"/>
      <c r="Y48" s="89" t="n"/>
      <c r="Z48" s="88" t="n"/>
      <c r="AA48" s="88" t="n"/>
      <c r="AB48" s="92">
        <f>IF($A48="","",MAX(0,$F48-$G48))</f>
        <v/>
      </c>
      <c r="AC48" s="92">
        <f>IF($A48="","",SUM($H48:$M48))</f>
        <v/>
      </c>
      <c r="AD48" s="92">
        <f>IF($A48="","",MAX(0,$AB48-$AC48))</f>
        <v/>
      </c>
      <c r="AE48" s="92">
        <f>IF($A48="","",IFERROR($Q48/$O48,""))</f>
        <v/>
      </c>
      <c r="AF48" s="93">
        <f>IF($A48="","",IFERROR($AD48/$AB48,""))</f>
        <v/>
      </c>
      <c r="AG48" s="93">
        <f>IF($A48="","",IFERROR(($P48/$O48)/$AD48,""))</f>
        <v/>
      </c>
      <c r="AH48" s="93">
        <f>IF($A48="","",IFERROR($Q48/$P48,""))</f>
        <v/>
      </c>
      <c r="AI48" s="93">
        <f>IF($A48="","",IFERROR($AF48*$AG48*$AH48,""))</f>
        <v/>
      </c>
      <c r="AJ48" s="93">
        <f>IF($A48="","",IFERROR($AE48/$F48,""))</f>
        <v/>
      </c>
      <c r="AK48" s="92">
        <f>IF($A48="","",IFERROR($AD48/$N48,""))</f>
        <v/>
      </c>
      <c r="AL48" s="92">
        <f>IF($A48="","",IFERROR($H48/$N48,""))</f>
        <v/>
      </c>
      <c r="AM48" s="92">
        <f>IF($A48="","",IFERROR(($P48-$Q48)/$P48*1000000,""))</f>
        <v/>
      </c>
      <c r="AN48" s="93">
        <f>IF($A48="","",IFERROR(($Q48+$R48)/$T48,""))</f>
        <v/>
      </c>
      <c r="AO48" s="93">
        <f>IF($A48="","",IFERROR($V48/$U48,""))</f>
        <v/>
      </c>
      <c r="AP48" s="92">
        <f>IF($A48="","",IFERROR(MAX(0,$AD48-$P48/$O48),""))</f>
        <v/>
      </c>
      <c r="AQ48" s="92">
        <f>IF($A48="","",IFERROR(($P48-$Q48)/$O48,""))</f>
        <v/>
      </c>
      <c r="AR48" s="94">
        <f>IF($A48="","",IF($F48="","Temps d'ouverture manquant",IF($O48="","Cadence produit inconnue",IF($G48&gt;$F48,"Arrêts planifiés &gt; temps d'ouverture",IF($AC48&gt;$AB48,"Arrêts subis &gt; temps requis",IF($P48&lt;&gt;$Q48+$R48+$S48,"Produite ≠ conforme + retouchée + rebutée",IF($Q48&gt;$P48,"Conforme &gt; produite",IF($V48&gt;$U48,"Présents &gt; prévus","OK"))))))))</f>
        <v/>
      </c>
      <c r="AS48" s="95">
        <f>IF($A48="",0,IF(AND(OR(COCKPIT!$H$4="Toutes",$C48=COCKPIT!$H$4),OR(COCKPIT!$K$4="Toutes",$B48=COCKPIT!$K$4)),1,0))</f>
        <v/>
      </c>
    </row>
    <row r="49" ht="15" customHeight="1">
      <c r="A49" s="87" t="n"/>
      <c r="B49" s="88" t="n"/>
      <c r="C49" s="88" t="n"/>
      <c r="D49" s="88" t="n"/>
      <c r="E49" s="88" t="n"/>
      <c r="F49" s="89" t="n"/>
      <c r="G49" s="89" t="n"/>
      <c r="H49" s="89" t="n"/>
      <c r="I49" s="89" t="n"/>
      <c r="J49" s="89" t="n"/>
      <c r="K49" s="89" t="n"/>
      <c r="L49" s="89" t="n"/>
      <c r="M49" s="89" t="n"/>
      <c r="N49" s="89" t="n"/>
      <c r="O49" s="90">
        <f>IF($E49="","",IFERROR(INDEX(PARAMETRES!$O$7:$O$36,MATCH($E49,PARAMETRES!$M$7:$M$36,0)),""))</f>
        <v/>
      </c>
      <c r="P49" s="89" t="n"/>
      <c r="Q49" s="89" t="n"/>
      <c r="R49" s="89" t="n"/>
      <c r="S49" s="89" t="n"/>
      <c r="T49" s="89" t="n"/>
      <c r="U49" s="91" t="n"/>
      <c r="V49" s="91" t="n"/>
      <c r="W49" s="91" t="n"/>
      <c r="X49" s="89" t="n"/>
      <c r="Y49" s="89" t="n"/>
      <c r="Z49" s="88" t="n"/>
      <c r="AA49" s="88" t="n"/>
      <c r="AB49" s="92">
        <f>IF($A49="","",MAX(0,$F49-$G49))</f>
        <v/>
      </c>
      <c r="AC49" s="92">
        <f>IF($A49="","",SUM($H49:$M49))</f>
        <v/>
      </c>
      <c r="AD49" s="92">
        <f>IF($A49="","",MAX(0,$AB49-$AC49))</f>
        <v/>
      </c>
      <c r="AE49" s="92">
        <f>IF($A49="","",IFERROR($Q49/$O49,""))</f>
        <v/>
      </c>
      <c r="AF49" s="93">
        <f>IF($A49="","",IFERROR($AD49/$AB49,""))</f>
        <v/>
      </c>
      <c r="AG49" s="93">
        <f>IF($A49="","",IFERROR(($P49/$O49)/$AD49,""))</f>
        <v/>
      </c>
      <c r="AH49" s="93">
        <f>IF($A49="","",IFERROR($Q49/$P49,""))</f>
        <v/>
      </c>
      <c r="AI49" s="93">
        <f>IF($A49="","",IFERROR($AF49*$AG49*$AH49,""))</f>
        <v/>
      </c>
      <c r="AJ49" s="93">
        <f>IF($A49="","",IFERROR($AE49/$F49,""))</f>
        <v/>
      </c>
      <c r="AK49" s="92">
        <f>IF($A49="","",IFERROR($AD49/$N49,""))</f>
        <v/>
      </c>
      <c r="AL49" s="92">
        <f>IF($A49="","",IFERROR($H49/$N49,""))</f>
        <v/>
      </c>
      <c r="AM49" s="92">
        <f>IF($A49="","",IFERROR(($P49-$Q49)/$P49*1000000,""))</f>
        <v/>
      </c>
      <c r="AN49" s="93">
        <f>IF($A49="","",IFERROR(($Q49+$R49)/$T49,""))</f>
        <v/>
      </c>
      <c r="AO49" s="93">
        <f>IF($A49="","",IFERROR($V49/$U49,""))</f>
        <v/>
      </c>
      <c r="AP49" s="92">
        <f>IF($A49="","",IFERROR(MAX(0,$AD49-$P49/$O49),""))</f>
        <v/>
      </c>
      <c r="AQ49" s="92">
        <f>IF($A49="","",IFERROR(($P49-$Q49)/$O49,""))</f>
        <v/>
      </c>
      <c r="AR49" s="94">
        <f>IF($A49="","",IF($F49="","Temps d'ouverture manquant",IF($O49="","Cadence produit inconnue",IF($G49&gt;$F49,"Arrêts planifiés &gt; temps d'ouverture",IF($AC49&gt;$AB49,"Arrêts subis &gt; temps requis",IF($P49&lt;&gt;$Q49+$R49+$S49,"Produite ≠ conforme + retouchée + rebutée",IF($Q49&gt;$P49,"Conforme &gt; produite",IF($V49&gt;$U49,"Présents &gt; prévus","OK"))))))))</f>
        <v/>
      </c>
      <c r="AS49" s="95">
        <f>IF($A49="",0,IF(AND(OR(COCKPIT!$H$4="Toutes",$C49=COCKPIT!$H$4),OR(COCKPIT!$K$4="Toutes",$B49=COCKPIT!$K$4)),1,0))</f>
        <v/>
      </c>
    </row>
    <row r="50" ht="15" customHeight="1">
      <c r="A50" s="87" t="n"/>
      <c r="B50" s="88" t="n"/>
      <c r="C50" s="88" t="n"/>
      <c r="D50" s="88" t="n"/>
      <c r="E50" s="88" t="n"/>
      <c r="F50" s="89" t="n"/>
      <c r="G50" s="89" t="n"/>
      <c r="H50" s="89" t="n"/>
      <c r="I50" s="89" t="n"/>
      <c r="J50" s="89" t="n"/>
      <c r="K50" s="89" t="n"/>
      <c r="L50" s="89" t="n"/>
      <c r="M50" s="89" t="n"/>
      <c r="N50" s="89" t="n"/>
      <c r="O50" s="90">
        <f>IF($E50="","",IFERROR(INDEX(PARAMETRES!$O$7:$O$36,MATCH($E50,PARAMETRES!$M$7:$M$36,0)),""))</f>
        <v/>
      </c>
      <c r="P50" s="89" t="n"/>
      <c r="Q50" s="89" t="n"/>
      <c r="R50" s="89" t="n"/>
      <c r="S50" s="89" t="n"/>
      <c r="T50" s="89" t="n"/>
      <c r="U50" s="91" t="n"/>
      <c r="V50" s="91" t="n"/>
      <c r="W50" s="91" t="n"/>
      <c r="X50" s="89" t="n"/>
      <c r="Y50" s="89" t="n"/>
      <c r="Z50" s="88" t="n"/>
      <c r="AA50" s="88" t="n"/>
      <c r="AB50" s="92">
        <f>IF($A50="","",MAX(0,$F50-$G50))</f>
        <v/>
      </c>
      <c r="AC50" s="92">
        <f>IF($A50="","",SUM($H50:$M50))</f>
        <v/>
      </c>
      <c r="AD50" s="92">
        <f>IF($A50="","",MAX(0,$AB50-$AC50))</f>
        <v/>
      </c>
      <c r="AE50" s="92">
        <f>IF($A50="","",IFERROR($Q50/$O50,""))</f>
        <v/>
      </c>
      <c r="AF50" s="93">
        <f>IF($A50="","",IFERROR($AD50/$AB50,""))</f>
        <v/>
      </c>
      <c r="AG50" s="93">
        <f>IF($A50="","",IFERROR(($P50/$O50)/$AD50,""))</f>
        <v/>
      </c>
      <c r="AH50" s="93">
        <f>IF($A50="","",IFERROR($Q50/$P50,""))</f>
        <v/>
      </c>
      <c r="AI50" s="93">
        <f>IF($A50="","",IFERROR($AF50*$AG50*$AH50,""))</f>
        <v/>
      </c>
      <c r="AJ50" s="93">
        <f>IF($A50="","",IFERROR($AE50/$F50,""))</f>
        <v/>
      </c>
      <c r="AK50" s="92">
        <f>IF($A50="","",IFERROR($AD50/$N50,""))</f>
        <v/>
      </c>
      <c r="AL50" s="92">
        <f>IF($A50="","",IFERROR($H50/$N50,""))</f>
        <v/>
      </c>
      <c r="AM50" s="92">
        <f>IF($A50="","",IFERROR(($P50-$Q50)/$P50*1000000,""))</f>
        <v/>
      </c>
      <c r="AN50" s="93">
        <f>IF($A50="","",IFERROR(($Q50+$R50)/$T50,""))</f>
        <v/>
      </c>
      <c r="AO50" s="93">
        <f>IF($A50="","",IFERROR($V50/$U50,""))</f>
        <v/>
      </c>
      <c r="AP50" s="92">
        <f>IF($A50="","",IFERROR(MAX(0,$AD50-$P50/$O50),""))</f>
        <v/>
      </c>
      <c r="AQ50" s="92">
        <f>IF($A50="","",IFERROR(($P50-$Q50)/$O50,""))</f>
        <v/>
      </c>
      <c r="AR50" s="94">
        <f>IF($A50="","",IF($F50="","Temps d'ouverture manquant",IF($O50="","Cadence produit inconnue",IF($G50&gt;$F50,"Arrêts planifiés &gt; temps d'ouverture",IF($AC50&gt;$AB50,"Arrêts subis &gt; temps requis",IF($P50&lt;&gt;$Q50+$R50+$S50,"Produite ≠ conforme + retouchée + rebutée",IF($Q50&gt;$P50,"Conforme &gt; produite",IF($V50&gt;$U50,"Présents &gt; prévus","OK"))))))))</f>
        <v/>
      </c>
      <c r="AS50" s="95">
        <f>IF($A50="",0,IF(AND(OR(COCKPIT!$H$4="Toutes",$C50=COCKPIT!$H$4),OR(COCKPIT!$K$4="Toutes",$B50=COCKPIT!$K$4)),1,0))</f>
        <v/>
      </c>
    </row>
    <row r="51" ht="15" customHeight="1">
      <c r="A51" s="87" t="n"/>
      <c r="B51" s="88" t="n"/>
      <c r="C51" s="88" t="n"/>
      <c r="D51" s="88" t="n"/>
      <c r="E51" s="88" t="n"/>
      <c r="F51" s="89" t="n"/>
      <c r="G51" s="89" t="n"/>
      <c r="H51" s="89" t="n"/>
      <c r="I51" s="89" t="n"/>
      <c r="J51" s="89" t="n"/>
      <c r="K51" s="89" t="n"/>
      <c r="L51" s="89" t="n"/>
      <c r="M51" s="89" t="n"/>
      <c r="N51" s="89" t="n"/>
      <c r="O51" s="90">
        <f>IF($E51="","",IFERROR(INDEX(PARAMETRES!$O$7:$O$36,MATCH($E51,PARAMETRES!$M$7:$M$36,0)),""))</f>
        <v/>
      </c>
      <c r="P51" s="89" t="n"/>
      <c r="Q51" s="89" t="n"/>
      <c r="R51" s="89" t="n"/>
      <c r="S51" s="89" t="n"/>
      <c r="T51" s="89" t="n"/>
      <c r="U51" s="91" t="n"/>
      <c r="V51" s="91" t="n"/>
      <c r="W51" s="91" t="n"/>
      <c r="X51" s="89" t="n"/>
      <c r="Y51" s="89" t="n"/>
      <c r="Z51" s="88" t="n"/>
      <c r="AA51" s="88" t="n"/>
      <c r="AB51" s="92">
        <f>IF($A51="","",MAX(0,$F51-$G51))</f>
        <v/>
      </c>
      <c r="AC51" s="92">
        <f>IF($A51="","",SUM($H51:$M51))</f>
        <v/>
      </c>
      <c r="AD51" s="92">
        <f>IF($A51="","",MAX(0,$AB51-$AC51))</f>
        <v/>
      </c>
      <c r="AE51" s="92">
        <f>IF($A51="","",IFERROR($Q51/$O51,""))</f>
        <v/>
      </c>
      <c r="AF51" s="93">
        <f>IF($A51="","",IFERROR($AD51/$AB51,""))</f>
        <v/>
      </c>
      <c r="AG51" s="93">
        <f>IF($A51="","",IFERROR(($P51/$O51)/$AD51,""))</f>
        <v/>
      </c>
      <c r="AH51" s="93">
        <f>IF($A51="","",IFERROR($Q51/$P51,""))</f>
        <v/>
      </c>
      <c r="AI51" s="93">
        <f>IF($A51="","",IFERROR($AF51*$AG51*$AH51,""))</f>
        <v/>
      </c>
      <c r="AJ51" s="93">
        <f>IF($A51="","",IFERROR($AE51/$F51,""))</f>
        <v/>
      </c>
      <c r="AK51" s="92">
        <f>IF($A51="","",IFERROR($AD51/$N51,""))</f>
        <v/>
      </c>
      <c r="AL51" s="92">
        <f>IF($A51="","",IFERROR($H51/$N51,""))</f>
        <v/>
      </c>
      <c r="AM51" s="92">
        <f>IF($A51="","",IFERROR(($P51-$Q51)/$P51*1000000,""))</f>
        <v/>
      </c>
      <c r="AN51" s="93">
        <f>IF($A51="","",IFERROR(($Q51+$R51)/$T51,""))</f>
        <v/>
      </c>
      <c r="AO51" s="93">
        <f>IF($A51="","",IFERROR($V51/$U51,""))</f>
        <v/>
      </c>
      <c r="AP51" s="92">
        <f>IF($A51="","",IFERROR(MAX(0,$AD51-$P51/$O51),""))</f>
        <v/>
      </c>
      <c r="AQ51" s="92">
        <f>IF($A51="","",IFERROR(($P51-$Q51)/$O51,""))</f>
        <v/>
      </c>
      <c r="AR51" s="94">
        <f>IF($A51="","",IF($F51="","Temps d'ouverture manquant",IF($O51="","Cadence produit inconnue",IF($G51&gt;$F51,"Arrêts planifiés &gt; temps d'ouverture",IF($AC51&gt;$AB51,"Arrêts subis &gt; temps requis",IF($P51&lt;&gt;$Q51+$R51+$S51,"Produite ≠ conforme + retouchée + rebutée",IF($Q51&gt;$P51,"Conforme &gt; produite",IF($V51&gt;$U51,"Présents &gt; prévus","OK"))))))))</f>
        <v/>
      </c>
      <c r="AS51" s="95">
        <f>IF($A51="",0,IF(AND(OR(COCKPIT!$H$4="Toutes",$C51=COCKPIT!$H$4),OR(COCKPIT!$K$4="Toutes",$B51=COCKPIT!$K$4)),1,0))</f>
        <v/>
      </c>
    </row>
    <row r="52" ht="15" customHeight="1">
      <c r="A52" s="87" t="n"/>
      <c r="B52" s="88" t="n"/>
      <c r="C52" s="88" t="n"/>
      <c r="D52" s="88" t="n"/>
      <c r="E52" s="88" t="n"/>
      <c r="F52" s="89" t="n"/>
      <c r="G52" s="89" t="n"/>
      <c r="H52" s="89" t="n"/>
      <c r="I52" s="89" t="n"/>
      <c r="J52" s="89" t="n"/>
      <c r="K52" s="89" t="n"/>
      <c r="L52" s="89" t="n"/>
      <c r="M52" s="89" t="n"/>
      <c r="N52" s="89" t="n"/>
      <c r="O52" s="90">
        <f>IF($E52="","",IFERROR(INDEX(PARAMETRES!$O$7:$O$36,MATCH($E52,PARAMETRES!$M$7:$M$36,0)),""))</f>
        <v/>
      </c>
      <c r="P52" s="89" t="n"/>
      <c r="Q52" s="89" t="n"/>
      <c r="R52" s="89" t="n"/>
      <c r="S52" s="89" t="n"/>
      <c r="T52" s="89" t="n"/>
      <c r="U52" s="91" t="n"/>
      <c r="V52" s="91" t="n"/>
      <c r="W52" s="91" t="n"/>
      <c r="X52" s="89" t="n"/>
      <c r="Y52" s="89" t="n"/>
      <c r="Z52" s="88" t="n"/>
      <c r="AA52" s="88" t="n"/>
      <c r="AB52" s="92">
        <f>IF($A52="","",MAX(0,$F52-$G52))</f>
        <v/>
      </c>
      <c r="AC52" s="92">
        <f>IF($A52="","",SUM($H52:$M52))</f>
        <v/>
      </c>
      <c r="AD52" s="92">
        <f>IF($A52="","",MAX(0,$AB52-$AC52))</f>
        <v/>
      </c>
      <c r="AE52" s="92">
        <f>IF($A52="","",IFERROR($Q52/$O52,""))</f>
        <v/>
      </c>
      <c r="AF52" s="93">
        <f>IF($A52="","",IFERROR($AD52/$AB52,""))</f>
        <v/>
      </c>
      <c r="AG52" s="93">
        <f>IF($A52="","",IFERROR(($P52/$O52)/$AD52,""))</f>
        <v/>
      </c>
      <c r="AH52" s="93">
        <f>IF($A52="","",IFERROR($Q52/$P52,""))</f>
        <v/>
      </c>
      <c r="AI52" s="93">
        <f>IF($A52="","",IFERROR($AF52*$AG52*$AH52,""))</f>
        <v/>
      </c>
      <c r="AJ52" s="93">
        <f>IF($A52="","",IFERROR($AE52/$F52,""))</f>
        <v/>
      </c>
      <c r="AK52" s="92">
        <f>IF($A52="","",IFERROR($AD52/$N52,""))</f>
        <v/>
      </c>
      <c r="AL52" s="92">
        <f>IF($A52="","",IFERROR($H52/$N52,""))</f>
        <v/>
      </c>
      <c r="AM52" s="92">
        <f>IF($A52="","",IFERROR(($P52-$Q52)/$P52*1000000,""))</f>
        <v/>
      </c>
      <c r="AN52" s="93">
        <f>IF($A52="","",IFERROR(($Q52+$R52)/$T52,""))</f>
        <v/>
      </c>
      <c r="AO52" s="93">
        <f>IF($A52="","",IFERROR($V52/$U52,""))</f>
        <v/>
      </c>
      <c r="AP52" s="92">
        <f>IF($A52="","",IFERROR(MAX(0,$AD52-$P52/$O52),""))</f>
        <v/>
      </c>
      <c r="AQ52" s="92">
        <f>IF($A52="","",IFERROR(($P52-$Q52)/$O52,""))</f>
        <v/>
      </c>
      <c r="AR52" s="94">
        <f>IF($A52="","",IF($F52="","Temps d'ouverture manquant",IF($O52="","Cadence produit inconnue",IF($G52&gt;$F52,"Arrêts planifiés &gt; temps d'ouverture",IF($AC52&gt;$AB52,"Arrêts subis &gt; temps requis",IF($P52&lt;&gt;$Q52+$R52+$S52,"Produite ≠ conforme + retouchée + rebutée",IF($Q52&gt;$P52,"Conforme &gt; produite",IF($V52&gt;$U52,"Présents &gt; prévus","OK"))))))))</f>
        <v/>
      </c>
      <c r="AS52" s="95">
        <f>IF($A52="",0,IF(AND(OR(COCKPIT!$H$4="Toutes",$C52=COCKPIT!$H$4),OR(COCKPIT!$K$4="Toutes",$B52=COCKPIT!$K$4)),1,0))</f>
        <v/>
      </c>
    </row>
    <row r="53" ht="15" customHeight="1">
      <c r="A53" s="87" t="n"/>
      <c r="B53" s="88" t="n"/>
      <c r="C53" s="88" t="n"/>
      <c r="D53" s="88" t="n"/>
      <c r="E53" s="88" t="n"/>
      <c r="F53" s="89" t="n"/>
      <c r="G53" s="89" t="n"/>
      <c r="H53" s="89" t="n"/>
      <c r="I53" s="89" t="n"/>
      <c r="J53" s="89" t="n"/>
      <c r="K53" s="89" t="n"/>
      <c r="L53" s="89" t="n"/>
      <c r="M53" s="89" t="n"/>
      <c r="N53" s="89" t="n"/>
      <c r="O53" s="90">
        <f>IF($E53="","",IFERROR(INDEX(PARAMETRES!$O$7:$O$36,MATCH($E53,PARAMETRES!$M$7:$M$36,0)),""))</f>
        <v/>
      </c>
      <c r="P53" s="89" t="n"/>
      <c r="Q53" s="89" t="n"/>
      <c r="R53" s="89" t="n"/>
      <c r="S53" s="89" t="n"/>
      <c r="T53" s="89" t="n"/>
      <c r="U53" s="91" t="n"/>
      <c r="V53" s="91" t="n"/>
      <c r="W53" s="91" t="n"/>
      <c r="X53" s="89" t="n"/>
      <c r="Y53" s="89" t="n"/>
      <c r="Z53" s="88" t="n"/>
      <c r="AA53" s="88" t="n"/>
      <c r="AB53" s="92">
        <f>IF($A53="","",MAX(0,$F53-$G53))</f>
        <v/>
      </c>
      <c r="AC53" s="92">
        <f>IF($A53="","",SUM($H53:$M53))</f>
        <v/>
      </c>
      <c r="AD53" s="92">
        <f>IF($A53="","",MAX(0,$AB53-$AC53))</f>
        <v/>
      </c>
      <c r="AE53" s="92">
        <f>IF($A53="","",IFERROR($Q53/$O53,""))</f>
        <v/>
      </c>
      <c r="AF53" s="93">
        <f>IF($A53="","",IFERROR($AD53/$AB53,""))</f>
        <v/>
      </c>
      <c r="AG53" s="93">
        <f>IF($A53="","",IFERROR(($P53/$O53)/$AD53,""))</f>
        <v/>
      </c>
      <c r="AH53" s="93">
        <f>IF($A53="","",IFERROR($Q53/$P53,""))</f>
        <v/>
      </c>
      <c r="AI53" s="93">
        <f>IF($A53="","",IFERROR($AF53*$AG53*$AH53,""))</f>
        <v/>
      </c>
      <c r="AJ53" s="93">
        <f>IF($A53="","",IFERROR($AE53/$F53,""))</f>
        <v/>
      </c>
      <c r="AK53" s="92">
        <f>IF($A53="","",IFERROR($AD53/$N53,""))</f>
        <v/>
      </c>
      <c r="AL53" s="92">
        <f>IF($A53="","",IFERROR($H53/$N53,""))</f>
        <v/>
      </c>
      <c r="AM53" s="92">
        <f>IF($A53="","",IFERROR(($P53-$Q53)/$P53*1000000,""))</f>
        <v/>
      </c>
      <c r="AN53" s="93">
        <f>IF($A53="","",IFERROR(($Q53+$R53)/$T53,""))</f>
        <v/>
      </c>
      <c r="AO53" s="93">
        <f>IF($A53="","",IFERROR($V53/$U53,""))</f>
        <v/>
      </c>
      <c r="AP53" s="92">
        <f>IF($A53="","",IFERROR(MAX(0,$AD53-$P53/$O53),""))</f>
        <v/>
      </c>
      <c r="AQ53" s="92">
        <f>IF($A53="","",IFERROR(($P53-$Q53)/$O53,""))</f>
        <v/>
      </c>
      <c r="AR53" s="94">
        <f>IF($A53="","",IF($F53="","Temps d'ouverture manquant",IF($O53="","Cadence produit inconnue",IF($G53&gt;$F53,"Arrêts planifiés &gt; temps d'ouverture",IF($AC53&gt;$AB53,"Arrêts subis &gt; temps requis",IF($P53&lt;&gt;$Q53+$R53+$S53,"Produite ≠ conforme + retouchée + rebutée",IF($Q53&gt;$P53,"Conforme &gt; produite",IF($V53&gt;$U53,"Présents &gt; prévus","OK"))))))))</f>
        <v/>
      </c>
      <c r="AS53" s="95">
        <f>IF($A53="",0,IF(AND(OR(COCKPIT!$H$4="Toutes",$C53=COCKPIT!$H$4),OR(COCKPIT!$K$4="Toutes",$B53=COCKPIT!$K$4)),1,0))</f>
        <v/>
      </c>
    </row>
    <row r="54" ht="15" customHeight="1">
      <c r="A54" s="87" t="n"/>
      <c r="B54" s="88" t="n"/>
      <c r="C54" s="88" t="n"/>
      <c r="D54" s="88" t="n"/>
      <c r="E54" s="88" t="n"/>
      <c r="F54" s="89" t="n"/>
      <c r="G54" s="89" t="n"/>
      <c r="H54" s="89" t="n"/>
      <c r="I54" s="89" t="n"/>
      <c r="J54" s="89" t="n"/>
      <c r="K54" s="89" t="n"/>
      <c r="L54" s="89" t="n"/>
      <c r="M54" s="89" t="n"/>
      <c r="N54" s="89" t="n"/>
      <c r="O54" s="90">
        <f>IF($E54="","",IFERROR(INDEX(PARAMETRES!$O$7:$O$36,MATCH($E54,PARAMETRES!$M$7:$M$36,0)),""))</f>
        <v/>
      </c>
      <c r="P54" s="89" t="n"/>
      <c r="Q54" s="89" t="n"/>
      <c r="R54" s="89" t="n"/>
      <c r="S54" s="89" t="n"/>
      <c r="T54" s="89" t="n"/>
      <c r="U54" s="91" t="n"/>
      <c r="V54" s="91" t="n"/>
      <c r="W54" s="91" t="n"/>
      <c r="X54" s="89" t="n"/>
      <c r="Y54" s="89" t="n"/>
      <c r="Z54" s="88" t="n"/>
      <c r="AA54" s="88" t="n"/>
      <c r="AB54" s="92">
        <f>IF($A54="","",MAX(0,$F54-$G54))</f>
        <v/>
      </c>
      <c r="AC54" s="92">
        <f>IF($A54="","",SUM($H54:$M54))</f>
        <v/>
      </c>
      <c r="AD54" s="92">
        <f>IF($A54="","",MAX(0,$AB54-$AC54))</f>
        <v/>
      </c>
      <c r="AE54" s="92">
        <f>IF($A54="","",IFERROR($Q54/$O54,""))</f>
        <v/>
      </c>
      <c r="AF54" s="93">
        <f>IF($A54="","",IFERROR($AD54/$AB54,""))</f>
        <v/>
      </c>
      <c r="AG54" s="93">
        <f>IF($A54="","",IFERROR(($P54/$O54)/$AD54,""))</f>
        <v/>
      </c>
      <c r="AH54" s="93">
        <f>IF($A54="","",IFERROR($Q54/$P54,""))</f>
        <v/>
      </c>
      <c r="AI54" s="93">
        <f>IF($A54="","",IFERROR($AF54*$AG54*$AH54,""))</f>
        <v/>
      </c>
      <c r="AJ54" s="93">
        <f>IF($A54="","",IFERROR($AE54/$F54,""))</f>
        <v/>
      </c>
      <c r="AK54" s="92">
        <f>IF($A54="","",IFERROR($AD54/$N54,""))</f>
        <v/>
      </c>
      <c r="AL54" s="92">
        <f>IF($A54="","",IFERROR($H54/$N54,""))</f>
        <v/>
      </c>
      <c r="AM54" s="92">
        <f>IF($A54="","",IFERROR(($P54-$Q54)/$P54*1000000,""))</f>
        <v/>
      </c>
      <c r="AN54" s="93">
        <f>IF($A54="","",IFERROR(($Q54+$R54)/$T54,""))</f>
        <v/>
      </c>
      <c r="AO54" s="93">
        <f>IF($A54="","",IFERROR($V54/$U54,""))</f>
        <v/>
      </c>
      <c r="AP54" s="92">
        <f>IF($A54="","",IFERROR(MAX(0,$AD54-$P54/$O54),""))</f>
        <v/>
      </c>
      <c r="AQ54" s="92">
        <f>IF($A54="","",IFERROR(($P54-$Q54)/$O54,""))</f>
        <v/>
      </c>
      <c r="AR54" s="94">
        <f>IF($A54="","",IF($F54="","Temps d'ouverture manquant",IF($O54="","Cadence produit inconnue",IF($G54&gt;$F54,"Arrêts planifiés &gt; temps d'ouverture",IF($AC54&gt;$AB54,"Arrêts subis &gt; temps requis",IF($P54&lt;&gt;$Q54+$R54+$S54,"Produite ≠ conforme + retouchée + rebutée",IF($Q54&gt;$P54,"Conforme &gt; produite",IF($V54&gt;$U54,"Présents &gt; prévus","OK"))))))))</f>
        <v/>
      </c>
      <c r="AS54" s="95">
        <f>IF($A54="",0,IF(AND(OR(COCKPIT!$H$4="Toutes",$C54=COCKPIT!$H$4),OR(COCKPIT!$K$4="Toutes",$B54=COCKPIT!$K$4)),1,0))</f>
        <v/>
      </c>
    </row>
    <row r="55" ht="15" customHeight="1">
      <c r="A55" s="87" t="n"/>
      <c r="B55" s="88" t="n"/>
      <c r="C55" s="88" t="n"/>
      <c r="D55" s="88" t="n"/>
      <c r="E55" s="88" t="n"/>
      <c r="F55" s="89" t="n"/>
      <c r="G55" s="89" t="n"/>
      <c r="H55" s="89" t="n"/>
      <c r="I55" s="89" t="n"/>
      <c r="J55" s="89" t="n"/>
      <c r="K55" s="89" t="n"/>
      <c r="L55" s="89" t="n"/>
      <c r="M55" s="89" t="n"/>
      <c r="N55" s="89" t="n"/>
      <c r="O55" s="90">
        <f>IF($E55="","",IFERROR(INDEX(PARAMETRES!$O$7:$O$36,MATCH($E55,PARAMETRES!$M$7:$M$36,0)),""))</f>
        <v/>
      </c>
      <c r="P55" s="89" t="n"/>
      <c r="Q55" s="89" t="n"/>
      <c r="R55" s="89" t="n"/>
      <c r="S55" s="89" t="n"/>
      <c r="T55" s="89" t="n"/>
      <c r="U55" s="91" t="n"/>
      <c r="V55" s="91" t="n"/>
      <c r="W55" s="91" t="n"/>
      <c r="X55" s="89" t="n"/>
      <c r="Y55" s="89" t="n"/>
      <c r="Z55" s="88" t="n"/>
      <c r="AA55" s="88" t="n"/>
      <c r="AB55" s="92">
        <f>IF($A55="","",MAX(0,$F55-$G55))</f>
        <v/>
      </c>
      <c r="AC55" s="92">
        <f>IF($A55="","",SUM($H55:$M55))</f>
        <v/>
      </c>
      <c r="AD55" s="92">
        <f>IF($A55="","",MAX(0,$AB55-$AC55))</f>
        <v/>
      </c>
      <c r="AE55" s="92">
        <f>IF($A55="","",IFERROR($Q55/$O55,""))</f>
        <v/>
      </c>
      <c r="AF55" s="93">
        <f>IF($A55="","",IFERROR($AD55/$AB55,""))</f>
        <v/>
      </c>
      <c r="AG55" s="93">
        <f>IF($A55="","",IFERROR(($P55/$O55)/$AD55,""))</f>
        <v/>
      </c>
      <c r="AH55" s="93">
        <f>IF($A55="","",IFERROR($Q55/$P55,""))</f>
        <v/>
      </c>
      <c r="AI55" s="93">
        <f>IF($A55="","",IFERROR($AF55*$AG55*$AH55,""))</f>
        <v/>
      </c>
      <c r="AJ55" s="93">
        <f>IF($A55="","",IFERROR($AE55/$F55,""))</f>
        <v/>
      </c>
      <c r="AK55" s="92">
        <f>IF($A55="","",IFERROR($AD55/$N55,""))</f>
        <v/>
      </c>
      <c r="AL55" s="92">
        <f>IF($A55="","",IFERROR($H55/$N55,""))</f>
        <v/>
      </c>
      <c r="AM55" s="92">
        <f>IF($A55="","",IFERROR(($P55-$Q55)/$P55*1000000,""))</f>
        <v/>
      </c>
      <c r="AN55" s="93">
        <f>IF($A55="","",IFERROR(($Q55+$R55)/$T55,""))</f>
        <v/>
      </c>
      <c r="AO55" s="93">
        <f>IF($A55="","",IFERROR($V55/$U55,""))</f>
        <v/>
      </c>
      <c r="AP55" s="92">
        <f>IF($A55="","",IFERROR(MAX(0,$AD55-$P55/$O55),""))</f>
        <v/>
      </c>
      <c r="AQ55" s="92">
        <f>IF($A55="","",IFERROR(($P55-$Q55)/$O55,""))</f>
        <v/>
      </c>
      <c r="AR55" s="94">
        <f>IF($A55="","",IF($F55="","Temps d'ouverture manquant",IF($O55="","Cadence produit inconnue",IF($G55&gt;$F55,"Arrêts planifiés &gt; temps d'ouverture",IF($AC55&gt;$AB55,"Arrêts subis &gt; temps requis",IF($P55&lt;&gt;$Q55+$R55+$S55,"Produite ≠ conforme + retouchée + rebutée",IF($Q55&gt;$P55,"Conforme &gt; produite",IF($V55&gt;$U55,"Présents &gt; prévus","OK"))))))))</f>
        <v/>
      </c>
      <c r="AS55" s="95">
        <f>IF($A55="",0,IF(AND(OR(COCKPIT!$H$4="Toutes",$C55=COCKPIT!$H$4),OR(COCKPIT!$K$4="Toutes",$B55=COCKPIT!$K$4)),1,0))</f>
        <v/>
      </c>
    </row>
    <row r="56" ht="15" customHeight="1">
      <c r="A56" s="87" t="n"/>
      <c r="B56" s="88" t="n"/>
      <c r="C56" s="88" t="n"/>
      <c r="D56" s="88" t="n"/>
      <c r="E56" s="88" t="n"/>
      <c r="F56" s="89" t="n"/>
      <c r="G56" s="89" t="n"/>
      <c r="H56" s="89" t="n"/>
      <c r="I56" s="89" t="n"/>
      <c r="J56" s="89" t="n"/>
      <c r="K56" s="89" t="n"/>
      <c r="L56" s="89" t="n"/>
      <c r="M56" s="89" t="n"/>
      <c r="N56" s="89" t="n"/>
      <c r="O56" s="90">
        <f>IF($E56="","",IFERROR(INDEX(PARAMETRES!$O$7:$O$36,MATCH($E56,PARAMETRES!$M$7:$M$36,0)),""))</f>
        <v/>
      </c>
      <c r="P56" s="89" t="n"/>
      <c r="Q56" s="89" t="n"/>
      <c r="R56" s="89" t="n"/>
      <c r="S56" s="89" t="n"/>
      <c r="T56" s="89" t="n"/>
      <c r="U56" s="91" t="n"/>
      <c r="V56" s="91" t="n"/>
      <c r="W56" s="91" t="n"/>
      <c r="X56" s="89" t="n"/>
      <c r="Y56" s="89" t="n"/>
      <c r="Z56" s="88" t="n"/>
      <c r="AA56" s="88" t="n"/>
      <c r="AB56" s="92">
        <f>IF($A56="","",MAX(0,$F56-$G56))</f>
        <v/>
      </c>
      <c r="AC56" s="92">
        <f>IF($A56="","",SUM($H56:$M56))</f>
        <v/>
      </c>
      <c r="AD56" s="92">
        <f>IF($A56="","",MAX(0,$AB56-$AC56))</f>
        <v/>
      </c>
      <c r="AE56" s="92">
        <f>IF($A56="","",IFERROR($Q56/$O56,""))</f>
        <v/>
      </c>
      <c r="AF56" s="93">
        <f>IF($A56="","",IFERROR($AD56/$AB56,""))</f>
        <v/>
      </c>
      <c r="AG56" s="93">
        <f>IF($A56="","",IFERROR(($P56/$O56)/$AD56,""))</f>
        <v/>
      </c>
      <c r="AH56" s="93">
        <f>IF($A56="","",IFERROR($Q56/$P56,""))</f>
        <v/>
      </c>
      <c r="AI56" s="93">
        <f>IF($A56="","",IFERROR($AF56*$AG56*$AH56,""))</f>
        <v/>
      </c>
      <c r="AJ56" s="93">
        <f>IF($A56="","",IFERROR($AE56/$F56,""))</f>
        <v/>
      </c>
      <c r="AK56" s="92">
        <f>IF($A56="","",IFERROR($AD56/$N56,""))</f>
        <v/>
      </c>
      <c r="AL56" s="92">
        <f>IF($A56="","",IFERROR($H56/$N56,""))</f>
        <v/>
      </c>
      <c r="AM56" s="92">
        <f>IF($A56="","",IFERROR(($P56-$Q56)/$P56*1000000,""))</f>
        <v/>
      </c>
      <c r="AN56" s="93">
        <f>IF($A56="","",IFERROR(($Q56+$R56)/$T56,""))</f>
        <v/>
      </c>
      <c r="AO56" s="93">
        <f>IF($A56="","",IFERROR($V56/$U56,""))</f>
        <v/>
      </c>
      <c r="AP56" s="92">
        <f>IF($A56="","",IFERROR(MAX(0,$AD56-$P56/$O56),""))</f>
        <v/>
      </c>
      <c r="AQ56" s="92">
        <f>IF($A56="","",IFERROR(($P56-$Q56)/$O56,""))</f>
        <v/>
      </c>
      <c r="AR56" s="94">
        <f>IF($A56="","",IF($F56="","Temps d'ouverture manquant",IF($O56="","Cadence produit inconnue",IF($G56&gt;$F56,"Arrêts planifiés &gt; temps d'ouverture",IF($AC56&gt;$AB56,"Arrêts subis &gt; temps requis",IF($P56&lt;&gt;$Q56+$R56+$S56,"Produite ≠ conforme + retouchée + rebutée",IF($Q56&gt;$P56,"Conforme &gt; produite",IF($V56&gt;$U56,"Présents &gt; prévus","OK"))))))))</f>
        <v/>
      </c>
      <c r="AS56" s="95">
        <f>IF($A56="",0,IF(AND(OR(COCKPIT!$H$4="Toutes",$C56=COCKPIT!$H$4),OR(COCKPIT!$K$4="Toutes",$B56=COCKPIT!$K$4)),1,0))</f>
        <v/>
      </c>
    </row>
    <row r="57" ht="15" customHeight="1">
      <c r="A57" s="87" t="n"/>
      <c r="B57" s="88" t="n"/>
      <c r="C57" s="88" t="n"/>
      <c r="D57" s="88" t="n"/>
      <c r="E57" s="88" t="n"/>
      <c r="F57" s="89" t="n"/>
      <c r="G57" s="89" t="n"/>
      <c r="H57" s="89" t="n"/>
      <c r="I57" s="89" t="n"/>
      <c r="J57" s="89" t="n"/>
      <c r="K57" s="89" t="n"/>
      <c r="L57" s="89" t="n"/>
      <c r="M57" s="89" t="n"/>
      <c r="N57" s="89" t="n"/>
      <c r="O57" s="90">
        <f>IF($E57="","",IFERROR(INDEX(PARAMETRES!$O$7:$O$36,MATCH($E57,PARAMETRES!$M$7:$M$36,0)),""))</f>
        <v/>
      </c>
      <c r="P57" s="89" t="n"/>
      <c r="Q57" s="89" t="n"/>
      <c r="R57" s="89" t="n"/>
      <c r="S57" s="89" t="n"/>
      <c r="T57" s="89" t="n"/>
      <c r="U57" s="91" t="n"/>
      <c r="V57" s="91" t="n"/>
      <c r="W57" s="91" t="n"/>
      <c r="X57" s="89" t="n"/>
      <c r="Y57" s="89" t="n"/>
      <c r="Z57" s="88" t="n"/>
      <c r="AA57" s="88" t="n"/>
      <c r="AB57" s="92">
        <f>IF($A57="","",MAX(0,$F57-$G57))</f>
        <v/>
      </c>
      <c r="AC57" s="92">
        <f>IF($A57="","",SUM($H57:$M57))</f>
        <v/>
      </c>
      <c r="AD57" s="92">
        <f>IF($A57="","",MAX(0,$AB57-$AC57))</f>
        <v/>
      </c>
      <c r="AE57" s="92">
        <f>IF($A57="","",IFERROR($Q57/$O57,""))</f>
        <v/>
      </c>
      <c r="AF57" s="93">
        <f>IF($A57="","",IFERROR($AD57/$AB57,""))</f>
        <v/>
      </c>
      <c r="AG57" s="93">
        <f>IF($A57="","",IFERROR(($P57/$O57)/$AD57,""))</f>
        <v/>
      </c>
      <c r="AH57" s="93">
        <f>IF($A57="","",IFERROR($Q57/$P57,""))</f>
        <v/>
      </c>
      <c r="AI57" s="93">
        <f>IF($A57="","",IFERROR($AF57*$AG57*$AH57,""))</f>
        <v/>
      </c>
      <c r="AJ57" s="93">
        <f>IF($A57="","",IFERROR($AE57/$F57,""))</f>
        <v/>
      </c>
      <c r="AK57" s="92">
        <f>IF($A57="","",IFERROR($AD57/$N57,""))</f>
        <v/>
      </c>
      <c r="AL57" s="92">
        <f>IF($A57="","",IFERROR($H57/$N57,""))</f>
        <v/>
      </c>
      <c r="AM57" s="92">
        <f>IF($A57="","",IFERROR(($P57-$Q57)/$P57*1000000,""))</f>
        <v/>
      </c>
      <c r="AN57" s="93">
        <f>IF($A57="","",IFERROR(($Q57+$R57)/$T57,""))</f>
        <v/>
      </c>
      <c r="AO57" s="93">
        <f>IF($A57="","",IFERROR($V57/$U57,""))</f>
        <v/>
      </c>
      <c r="AP57" s="92">
        <f>IF($A57="","",IFERROR(MAX(0,$AD57-$P57/$O57),""))</f>
        <v/>
      </c>
      <c r="AQ57" s="92">
        <f>IF($A57="","",IFERROR(($P57-$Q57)/$O57,""))</f>
        <v/>
      </c>
      <c r="AR57" s="94">
        <f>IF($A57="","",IF($F57="","Temps d'ouverture manquant",IF($O57="","Cadence produit inconnue",IF($G57&gt;$F57,"Arrêts planifiés &gt; temps d'ouverture",IF($AC57&gt;$AB57,"Arrêts subis &gt; temps requis",IF($P57&lt;&gt;$Q57+$R57+$S57,"Produite ≠ conforme + retouchée + rebutée",IF($Q57&gt;$P57,"Conforme &gt; produite",IF($V57&gt;$U57,"Présents &gt; prévus","OK"))))))))</f>
        <v/>
      </c>
      <c r="AS57" s="95">
        <f>IF($A57="",0,IF(AND(OR(COCKPIT!$H$4="Toutes",$C57=COCKPIT!$H$4),OR(COCKPIT!$K$4="Toutes",$B57=COCKPIT!$K$4)),1,0))</f>
        <v/>
      </c>
    </row>
    <row r="58" ht="15" customHeight="1">
      <c r="A58" s="87" t="n"/>
      <c r="B58" s="88" t="n"/>
      <c r="C58" s="88" t="n"/>
      <c r="D58" s="88" t="n"/>
      <c r="E58" s="88" t="n"/>
      <c r="F58" s="89" t="n"/>
      <c r="G58" s="89" t="n"/>
      <c r="H58" s="89" t="n"/>
      <c r="I58" s="89" t="n"/>
      <c r="J58" s="89" t="n"/>
      <c r="K58" s="89" t="n"/>
      <c r="L58" s="89" t="n"/>
      <c r="M58" s="89" t="n"/>
      <c r="N58" s="89" t="n"/>
      <c r="O58" s="90">
        <f>IF($E58="","",IFERROR(INDEX(PARAMETRES!$O$7:$O$36,MATCH($E58,PARAMETRES!$M$7:$M$36,0)),""))</f>
        <v/>
      </c>
      <c r="P58" s="89" t="n"/>
      <c r="Q58" s="89" t="n"/>
      <c r="R58" s="89" t="n"/>
      <c r="S58" s="89" t="n"/>
      <c r="T58" s="89" t="n"/>
      <c r="U58" s="91" t="n"/>
      <c r="V58" s="91" t="n"/>
      <c r="W58" s="91" t="n"/>
      <c r="X58" s="89" t="n"/>
      <c r="Y58" s="89" t="n"/>
      <c r="Z58" s="88" t="n"/>
      <c r="AA58" s="88" t="n"/>
      <c r="AB58" s="92">
        <f>IF($A58="","",MAX(0,$F58-$G58))</f>
        <v/>
      </c>
      <c r="AC58" s="92">
        <f>IF($A58="","",SUM($H58:$M58))</f>
        <v/>
      </c>
      <c r="AD58" s="92">
        <f>IF($A58="","",MAX(0,$AB58-$AC58))</f>
        <v/>
      </c>
      <c r="AE58" s="92">
        <f>IF($A58="","",IFERROR($Q58/$O58,""))</f>
        <v/>
      </c>
      <c r="AF58" s="93">
        <f>IF($A58="","",IFERROR($AD58/$AB58,""))</f>
        <v/>
      </c>
      <c r="AG58" s="93">
        <f>IF($A58="","",IFERROR(($P58/$O58)/$AD58,""))</f>
        <v/>
      </c>
      <c r="AH58" s="93">
        <f>IF($A58="","",IFERROR($Q58/$P58,""))</f>
        <v/>
      </c>
      <c r="AI58" s="93">
        <f>IF($A58="","",IFERROR($AF58*$AG58*$AH58,""))</f>
        <v/>
      </c>
      <c r="AJ58" s="93">
        <f>IF($A58="","",IFERROR($AE58/$F58,""))</f>
        <v/>
      </c>
      <c r="AK58" s="92">
        <f>IF($A58="","",IFERROR($AD58/$N58,""))</f>
        <v/>
      </c>
      <c r="AL58" s="92">
        <f>IF($A58="","",IFERROR($H58/$N58,""))</f>
        <v/>
      </c>
      <c r="AM58" s="92">
        <f>IF($A58="","",IFERROR(($P58-$Q58)/$P58*1000000,""))</f>
        <v/>
      </c>
      <c r="AN58" s="93">
        <f>IF($A58="","",IFERROR(($Q58+$R58)/$T58,""))</f>
        <v/>
      </c>
      <c r="AO58" s="93">
        <f>IF($A58="","",IFERROR($V58/$U58,""))</f>
        <v/>
      </c>
      <c r="AP58" s="92">
        <f>IF($A58="","",IFERROR(MAX(0,$AD58-$P58/$O58),""))</f>
        <v/>
      </c>
      <c r="AQ58" s="92">
        <f>IF($A58="","",IFERROR(($P58-$Q58)/$O58,""))</f>
        <v/>
      </c>
      <c r="AR58" s="94">
        <f>IF($A58="","",IF($F58="","Temps d'ouverture manquant",IF($O58="","Cadence produit inconnue",IF($G58&gt;$F58,"Arrêts planifiés &gt; temps d'ouverture",IF($AC58&gt;$AB58,"Arrêts subis &gt; temps requis",IF($P58&lt;&gt;$Q58+$R58+$S58,"Produite ≠ conforme + retouchée + rebutée",IF($Q58&gt;$P58,"Conforme &gt; produite",IF($V58&gt;$U58,"Présents &gt; prévus","OK"))))))))</f>
        <v/>
      </c>
      <c r="AS58" s="95">
        <f>IF($A58="",0,IF(AND(OR(COCKPIT!$H$4="Toutes",$C58=COCKPIT!$H$4),OR(COCKPIT!$K$4="Toutes",$B58=COCKPIT!$K$4)),1,0))</f>
        <v/>
      </c>
    </row>
    <row r="59" ht="15" customHeight="1">
      <c r="A59" s="87" t="n"/>
      <c r="B59" s="88" t="n"/>
      <c r="C59" s="88" t="n"/>
      <c r="D59" s="88" t="n"/>
      <c r="E59" s="88" t="n"/>
      <c r="F59" s="89" t="n"/>
      <c r="G59" s="89" t="n"/>
      <c r="H59" s="89" t="n"/>
      <c r="I59" s="89" t="n"/>
      <c r="J59" s="89" t="n"/>
      <c r="K59" s="89" t="n"/>
      <c r="L59" s="89" t="n"/>
      <c r="M59" s="89" t="n"/>
      <c r="N59" s="89" t="n"/>
      <c r="O59" s="90">
        <f>IF($E59="","",IFERROR(INDEX(PARAMETRES!$O$7:$O$36,MATCH($E59,PARAMETRES!$M$7:$M$36,0)),""))</f>
        <v/>
      </c>
      <c r="P59" s="89" t="n"/>
      <c r="Q59" s="89" t="n"/>
      <c r="R59" s="89" t="n"/>
      <c r="S59" s="89" t="n"/>
      <c r="T59" s="89" t="n"/>
      <c r="U59" s="91" t="n"/>
      <c r="V59" s="91" t="n"/>
      <c r="W59" s="91" t="n"/>
      <c r="X59" s="89" t="n"/>
      <c r="Y59" s="89" t="n"/>
      <c r="Z59" s="88" t="n"/>
      <c r="AA59" s="88" t="n"/>
      <c r="AB59" s="92">
        <f>IF($A59="","",MAX(0,$F59-$G59))</f>
        <v/>
      </c>
      <c r="AC59" s="92">
        <f>IF($A59="","",SUM($H59:$M59))</f>
        <v/>
      </c>
      <c r="AD59" s="92">
        <f>IF($A59="","",MAX(0,$AB59-$AC59))</f>
        <v/>
      </c>
      <c r="AE59" s="92">
        <f>IF($A59="","",IFERROR($Q59/$O59,""))</f>
        <v/>
      </c>
      <c r="AF59" s="93">
        <f>IF($A59="","",IFERROR($AD59/$AB59,""))</f>
        <v/>
      </c>
      <c r="AG59" s="93">
        <f>IF($A59="","",IFERROR(($P59/$O59)/$AD59,""))</f>
        <v/>
      </c>
      <c r="AH59" s="93">
        <f>IF($A59="","",IFERROR($Q59/$P59,""))</f>
        <v/>
      </c>
      <c r="AI59" s="93">
        <f>IF($A59="","",IFERROR($AF59*$AG59*$AH59,""))</f>
        <v/>
      </c>
      <c r="AJ59" s="93">
        <f>IF($A59="","",IFERROR($AE59/$F59,""))</f>
        <v/>
      </c>
      <c r="AK59" s="92">
        <f>IF($A59="","",IFERROR($AD59/$N59,""))</f>
        <v/>
      </c>
      <c r="AL59" s="92">
        <f>IF($A59="","",IFERROR($H59/$N59,""))</f>
        <v/>
      </c>
      <c r="AM59" s="92">
        <f>IF($A59="","",IFERROR(($P59-$Q59)/$P59*1000000,""))</f>
        <v/>
      </c>
      <c r="AN59" s="93">
        <f>IF($A59="","",IFERROR(($Q59+$R59)/$T59,""))</f>
        <v/>
      </c>
      <c r="AO59" s="93">
        <f>IF($A59="","",IFERROR($V59/$U59,""))</f>
        <v/>
      </c>
      <c r="AP59" s="92">
        <f>IF($A59="","",IFERROR(MAX(0,$AD59-$P59/$O59),""))</f>
        <v/>
      </c>
      <c r="AQ59" s="92">
        <f>IF($A59="","",IFERROR(($P59-$Q59)/$O59,""))</f>
        <v/>
      </c>
      <c r="AR59" s="94">
        <f>IF($A59="","",IF($F59="","Temps d'ouverture manquant",IF($O59="","Cadence produit inconnue",IF($G59&gt;$F59,"Arrêts planifiés &gt; temps d'ouverture",IF($AC59&gt;$AB59,"Arrêts subis &gt; temps requis",IF($P59&lt;&gt;$Q59+$R59+$S59,"Produite ≠ conforme + retouchée + rebutée",IF($Q59&gt;$P59,"Conforme &gt; produite",IF($V59&gt;$U59,"Présents &gt; prévus","OK"))))))))</f>
        <v/>
      </c>
      <c r="AS59" s="95">
        <f>IF($A59="",0,IF(AND(OR(COCKPIT!$H$4="Toutes",$C59=COCKPIT!$H$4),OR(COCKPIT!$K$4="Toutes",$B59=COCKPIT!$K$4)),1,0))</f>
        <v/>
      </c>
    </row>
    <row r="60" ht="15" customHeight="1">
      <c r="A60" s="87" t="n"/>
      <c r="B60" s="88" t="n"/>
      <c r="C60" s="88" t="n"/>
      <c r="D60" s="88" t="n"/>
      <c r="E60" s="88" t="n"/>
      <c r="F60" s="89" t="n"/>
      <c r="G60" s="89" t="n"/>
      <c r="H60" s="89" t="n"/>
      <c r="I60" s="89" t="n"/>
      <c r="J60" s="89" t="n"/>
      <c r="K60" s="89" t="n"/>
      <c r="L60" s="89" t="n"/>
      <c r="M60" s="89" t="n"/>
      <c r="N60" s="89" t="n"/>
      <c r="O60" s="90">
        <f>IF($E60="","",IFERROR(INDEX(PARAMETRES!$O$7:$O$36,MATCH($E60,PARAMETRES!$M$7:$M$36,0)),""))</f>
        <v/>
      </c>
      <c r="P60" s="89" t="n"/>
      <c r="Q60" s="89" t="n"/>
      <c r="R60" s="89" t="n"/>
      <c r="S60" s="89" t="n"/>
      <c r="T60" s="89" t="n"/>
      <c r="U60" s="91" t="n"/>
      <c r="V60" s="91" t="n"/>
      <c r="W60" s="91" t="n"/>
      <c r="X60" s="89" t="n"/>
      <c r="Y60" s="89" t="n"/>
      <c r="Z60" s="88" t="n"/>
      <c r="AA60" s="88" t="n"/>
      <c r="AB60" s="92">
        <f>IF($A60="","",MAX(0,$F60-$G60))</f>
        <v/>
      </c>
      <c r="AC60" s="92">
        <f>IF($A60="","",SUM($H60:$M60))</f>
        <v/>
      </c>
      <c r="AD60" s="92">
        <f>IF($A60="","",MAX(0,$AB60-$AC60))</f>
        <v/>
      </c>
      <c r="AE60" s="92">
        <f>IF($A60="","",IFERROR($Q60/$O60,""))</f>
        <v/>
      </c>
      <c r="AF60" s="93">
        <f>IF($A60="","",IFERROR($AD60/$AB60,""))</f>
        <v/>
      </c>
      <c r="AG60" s="93">
        <f>IF($A60="","",IFERROR(($P60/$O60)/$AD60,""))</f>
        <v/>
      </c>
      <c r="AH60" s="93">
        <f>IF($A60="","",IFERROR($Q60/$P60,""))</f>
        <v/>
      </c>
      <c r="AI60" s="93">
        <f>IF($A60="","",IFERROR($AF60*$AG60*$AH60,""))</f>
        <v/>
      </c>
      <c r="AJ60" s="93">
        <f>IF($A60="","",IFERROR($AE60/$F60,""))</f>
        <v/>
      </c>
      <c r="AK60" s="92">
        <f>IF($A60="","",IFERROR($AD60/$N60,""))</f>
        <v/>
      </c>
      <c r="AL60" s="92">
        <f>IF($A60="","",IFERROR($H60/$N60,""))</f>
        <v/>
      </c>
      <c r="AM60" s="92">
        <f>IF($A60="","",IFERROR(($P60-$Q60)/$P60*1000000,""))</f>
        <v/>
      </c>
      <c r="AN60" s="93">
        <f>IF($A60="","",IFERROR(($Q60+$R60)/$T60,""))</f>
        <v/>
      </c>
      <c r="AO60" s="93">
        <f>IF($A60="","",IFERROR($V60/$U60,""))</f>
        <v/>
      </c>
      <c r="AP60" s="92">
        <f>IF($A60="","",IFERROR(MAX(0,$AD60-$P60/$O60),""))</f>
        <v/>
      </c>
      <c r="AQ60" s="92">
        <f>IF($A60="","",IFERROR(($P60-$Q60)/$O60,""))</f>
        <v/>
      </c>
      <c r="AR60" s="94">
        <f>IF($A60="","",IF($F60="","Temps d'ouverture manquant",IF($O60="","Cadence produit inconnue",IF($G60&gt;$F60,"Arrêts planifiés &gt; temps d'ouverture",IF($AC60&gt;$AB60,"Arrêts subis &gt; temps requis",IF($P60&lt;&gt;$Q60+$R60+$S60,"Produite ≠ conforme + retouchée + rebutée",IF($Q60&gt;$P60,"Conforme &gt; produite",IF($V60&gt;$U60,"Présents &gt; prévus","OK"))))))))</f>
        <v/>
      </c>
      <c r="AS60" s="95">
        <f>IF($A60="",0,IF(AND(OR(COCKPIT!$H$4="Toutes",$C60=COCKPIT!$H$4),OR(COCKPIT!$K$4="Toutes",$B60=COCKPIT!$K$4)),1,0))</f>
        <v/>
      </c>
    </row>
    <row r="61" ht="15" customHeight="1">
      <c r="A61" s="87" t="n"/>
      <c r="B61" s="88" t="n"/>
      <c r="C61" s="88" t="n"/>
      <c r="D61" s="88" t="n"/>
      <c r="E61" s="88" t="n"/>
      <c r="F61" s="89" t="n"/>
      <c r="G61" s="89" t="n"/>
      <c r="H61" s="89" t="n"/>
      <c r="I61" s="89" t="n"/>
      <c r="J61" s="89" t="n"/>
      <c r="K61" s="89" t="n"/>
      <c r="L61" s="89" t="n"/>
      <c r="M61" s="89" t="n"/>
      <c r="N61" s="89" t="n"/>
      <c r="O61" s="90">
        <f>IF($E61="","",IFERROR(INDEX(PARAMETRES!$O$7:$O$36,MATCH($E61,PARAMETRES!$M$7:$M$36,0)),""))</f>
        <v/>
      </c>
      <c r="P61" s="89" t="n"/>
      <c r="Q61" s="89" t="n"/>
      <c r="R61" s="89" t="n"/>
      <c r="S61" s="89" t="n"/>
      <c r="T61" s="89" t="n"/>
      <c r="U61" s="91" t="n"/>
      <c r="V61" s="91" t="n"/>
      <c r="W61" s="91" t="n"/>
      <c r="X61" s="89" t="n"/>
      <c r="Y61" s="89" t="n"/>
      <c r="Z61" s="88" t="n"/>
      <c r="AA61" s="88" t="n"/>
      <c r="AB61" s="92">
        <f>IF($A61="","",MAX(0,$F61-$G61))</f>
        <v/>
      </c>
      <c r="AC61" s="92">
        <f>IF($A61="","",SUM($H61:$M61))</f>
        <v/>
      </c>
      <c r="AD61" s="92">
        <f>IF($A61="","",MAX(0,$AB61-$AC61))</f>
        <v/>
      </c>
      <c r="AE61" s="92">
        <f>IF($A61="","",IFERROR($Q61/$O61,""))</f>
        <v/>
      </c>
      <c r="AF61" s="93">
        <f>IF($A61="","",IFERROR($AD61/$AB61,""))</f>
        <v/>
      </c>
      <c r="AG61" s="93">
        <f>IF($A61="","",IFERROR(($P61/$O61)/$AD61,""))</f>
        <v/>
      </c>
      <c r="AH61" s="93">
        <f>IF($A61="","",IFERROR($Q61/$P61,""))</f>
        <v/>
      </c>
      <c r="AI61" s="93">
        <f>IF($A61="","",IFERROR($AF61*$AG61*$AH61,""))</f>
        <v/>
      </c>
      <c r="AJ61" s="93">
        <f>IF($A61="","",IFERROR($AE61/$F61,""))</f>
        <v/>
      </c>
      <c r="AK61" s="92">
        <f>IF($A61="","",IFERROR($AD61/$N61,""))</f>
        <v/>
      </c>
      <c r="AL61" s="92">
        <f>IF($A61="","",IFERROR($H61/$N61,""))</f>
        <v/>
      </c>
      <c r="AM61" s="92">
        <f>IF($A61="","",IFERROR(($P61-$Q61)/$P61*1000000,""))</f>
        <v/>
      </c>
      <c r="AN61" s="93">
        <f>IF($A61="","",IFERROR(($Q61+$R61)/$T61,""))</f>
        <v/>
      </c>
      <c r="AO61" s="93">
        <f>IF($A61="","",IFERROR($V61/$U61,""))</f>
        <v/>
      </c>
      <c r="AP61" s="92">
        <f>IF($A61="","",IFERROR(MAX(0,$AD61-$P61/$O61),""))</f>
        <v/>
      </c>
      <c r="AQ61" s="92">
        <f>IF($A61="","",IFERROR(($P61-$Q61)/$O61,""))</f>
        <v/>
      </c>
      <c r="AR61" s="94">
        <f>IF($A61="","",IF($F61="","Temps d'ouverture manquant",IF($O61="","Cadence produit inconnue",IF($G61&gt;$F61,"Arrêts planifiés &gt; temps d'ouverture",IF($AC61&gt;$AB61,"Arrêts subis &gt; temps requis",IF($P61&lt;&gt;$Q61+$R61+$S61,"Produite ≠ conforme + retouchée + rebutée",IF($Q61&gt;$P61,"Conforme &gt; produite",IF($V61&gt;$U61,"Présents &gt; prévus","OK"))))))))</f>
        <v/>
      </c>
      <c r="AS61" s="95">
        <f>IF($A61="",0,IF(AND(OR(COCKPIT!$H$4="Toutes",$C61=COCKPIT!$H$4),OR(COCKPIT!$K$4="Toutes",$B61=COCKPIT!$K$4)),1,0))</f>
        <v/>
      </c>
    </row>
    <row r="62" ht="15" customHeight="1">
      <c r="A62" s="87" t="n"/>
      <c r="B62" s="88" t="n"/>
      <c r="C62" s="88" t="n"/>
      <c r="D62" s="88" t="n"/>
      <c r="E62" s="88" t="n"/>
      <c r="F62" s="89" t="n"/>
      <c r="G62" s="89" t="n"/>
      <c r="H62" s="89" t="n"/>
      <c r="I62" s="89" t="n"/>
      <c r="J62" s="89" t="n"/>
      <c r="K62" s="89" t="n"/>
      <c r="L62" s="89" t="n"/>
      <c r="M62" s="89" t="n"/>
      <c r="N62" s="89" t="n"/>
      <c r="O62" s="90">
        <f>IF($E62="","",IFERROR(INDEX(PARAMETRES!$O$7:$O$36,MATCH($E62,PARAMETRES!$M$7:$M$36,0)),""))</f>
        <v/>
      </c>
      <c r="P62" s="89" t="n"/>
      <c r="Q62" s="89" t="n"/>
      <c r="R62" s="89" t="n"/>
      <c r="S62" s="89" t="n"/>
      <c r="T62" s="89" t="n"/>
      <c r="U62" s="91" t="n"/>
      <c r="V62" s="91" t="n"/>
      <c r="W62" s="91" t="n"/>
      <c r="X62" s="89" t="n"/>
      <c r="Y62" s="89" t="n"/>
      <c r="Z62" s="88" t="n"/>
      <c r="AA62" s="88" t="n"/>
      <c r="AB62" s="92">
        <f>IF($A62="","",MAX(0,$F62-$G62))</f>
        <v/>
      </c>
      <c r="AC62" s="92">
        <f>IF($A62="","",SUM($H62:$M62))</f>
        <v/>
      </c>
      <c r="AD62" s="92">
        <f>IF($A62="","",MAX(0,$AB62-$AC62))</f>
        <v/>
      </c>
      <c r="AE62" s="92">
        <f>IF($A62="","",IFERROR($Q62/$O62,""))</f>
        <v/>
      </c>
      <c r="AF62" s="93">
        <f>IF($A62="","",IFERROR($AD62/$AB62,""))</f>
        <v/>
      </c>
      <c r="AG62" s="93">
        <f>IF($A62="","",IFERROR(($P62/$O62)/$AD62,""))</f>
        <v/>
      </c>
      <c r="AH62" s="93">
        <f>IF($A62="","",IFERROR($Q62/$P62,""))</f>
        <v/>
      </c>
      <c r="AI62" s="93">
        <f>IF($A62="","",IFERROR($AF62*$AG62*$AH62,""))</f>
        <v/>
      </c>
      <c r="AJ62" s="93">
        <f>IF($A62="","",IFERROR($AE62/$F62,""))</f>
        <v/>
      </c>
      <c r="AK62" s="92">
        <f>IF($A62="","",IFERROR($AD62/$N62,""))</f>
        <v/>
      </c>
      <c r="AL62" s="92">
        <f>IF($A62="","",IFERROR($H62/$N62,""))</f>
        <v/>
      </c>
      <c r="AM62" s="92">
        <f>IF($A62="","",IFERROR(($P62-$Q62)/$P62*1000000,""))</f>
        <v/>
      </c>
      <c r="AN62" s="93">
        <f>IF($A62="","",IFERROR(($Q62+$R62)/$T62,""))</f>
        <v/>
      </c>
      <c r="AO62" s="93">
        <f>IF($A62="","",IFERROR($V62/$U62,""))</f>
        <v/>
      </c>
      <c r="AP62" s="92">
        <f>IF($A62="","",IFERROR(MAX(0,$AD62-$P62/$O62),""))</f>
        <v/>
      </c>
      <c r="AQ62" s="92">
        <f>IF($A62="","",IFERROR(($P62-$Q62)/$O62,""))</f>
        <v/>
      </c>
      <c r="AR62" s="94">
        <f>IF($A62="","",IF($F62="","Temps d'ouverture manquant",IF($O62="","Cadence produit inconnue",IF($G62&gt;$F62,"Arrêts planifiés &gt; temps d'ouverture",IF($AC62&gt;$AB62,"Arrêts subis &gt; temps requis",IF($P62&lt;&gt;$Q62+$R62+$S62,"Produite ≠ conforme + retouchée + rebutée",IF($Q62&gt;$P62,"Conforme &gt; produite",IF($V62&gt;$U62,"Présents &gt; prévus","OK"))))))))</f>
        <v/>
      </c>
      <c r="AS62" s="95">
        <f>IF($A62="",0,IF(AND(OR(COCKPIT!$H$4="Toutes",$C62=COCKPIT!$H$4),OR(COCKPIT!$K$4="Toutes",$B62=COCKPIT!$K$4)),1,0))</f>
        <v/>
      </c>
    </row>
    <row r="63" ht="15" customHeight="1">
      <c r="A63" s="87" t="n"/>
      <c r="B63" s="88" t="n"/>
      <c r="C63" s="88" t="n"/>
      <c r="D63" s="88" t="n"/>
      <c r="E63" s="88" t="n"/>
      <c r="F63" s="89" t="n"/>
      <c r="G63" s="89" t="n"/>
      <c r="H63" s="89" t="n"/>
      <c r="I63" s="89" t="n"/>
      <c r="J63" s="89" t="n"/>
      <c r="K63" s="89" t="n"/>
      <c r="L63" s="89" t="n"/>
      <c r="M63" s="89" t="n"/>
      <c r="N63" s="89" t="n"/>
      <c r="O63" s="90">
        <f>IF($E63="","",IFERROR(INDEX(PARAMETRES!$O$7:$O$36,MATCH($E63,PARAMETRES!$M$7:$M$36,0)),""))</f>
        <v/>
      </c>
      <c r="P63" s="89" t="n"/>
      <c r="Q63" s="89" t="n"/>
      <c r="R63" s="89" t="n"/>
      <c r="S63" s="89" t="n"/>
      <c r="T63" s="89" t="n"/>
      <c r="U63" s="91" t="n"/>
      <c r="V63" s="91" t="n"/>
      <c r="W63" s="91" t="n"/>
      <c r="X63" s="89" t="n"/>
      <c r="Y63" s="89" t="n"/>
      <c r="Z63" s="88" t="n"/>
      <c r="AA63" s="88" t="n"/>
      <c r="AB63" s="92">
        <f>IF($A63="","",MAX(0,$F63-$G63))</f>
        <v/>
      </c>
      <c r="AC63" s="92">
        <f>IF($A63="","",SUM($H63:$M63))</f>
        <v/>
      </c>
      <c r="AD63" s="92">
        <f>IF($A63="","",MAX(0,$AB63-$AC63))</f>
        <v/>
      </c>
      <c r="AE63" s="92">
        <f>IF($A63="","",IFERROR($Q63/$O63,""))</f>
        <v/>
      </c>
      <c r="AF63" s="93">
        <f>IF($A63="","",IFERROR($AD63/$AB63,""))</f>
        <v/>
      </c>
      <c r="AG63" s="93">
        <f>IF($A63="","",IFERROR(($P63/$O63)/$AD63,""))</f>
        <v/>
      </c>
      <c r="AH63" s="93">
        <f>IF($A63="","",IFERROR($Q63/$P63,""))</f>
        <v/>
      </c>
      <c r="AI63" s="93">
        <f>IF($A63="","",IFERROR($AF63*$AG63*$AH63,""))</f>
        <v/>
      </c>
      <c r="AJ63" s="93">
        <f>IF($A63="","",IFERROR($AE63/$F63,""))</f>
        <v/>
      </c>
      <c r="AK63" s="92">
        <f>IF($A63="","",IFERROR($AD63/$N63,""))</f>
        <v/>
      </c>
      <c r="AL63" s="92">
        <f>IF($A63="","",IFERROR($H63/$N63,""))</f>
        <v/>
      </c>
      <c r="AM63" s="92">
        <f>IF($A63="","",IFERROR(($P63-$Q63)/$P63*1000000,""))</f>
        <v/>
      </c>
      <c r="AN63" s="93">
        <f>IF($A63="","",IFERROR(($Q63+$R63)/$T63,""))</f>
        <v/>
      </c>
      <c r="AO63" s="93">
        <f>IF($A63="","",IFERROR($V63/$U63,""))</f>
        <v/>
      </c>
      <c r="AP63" s="92">
        <f>IF($A63="","",IFERROR(MAX(0,$AD63-$P63/$O63),""))</f>
        <v/>
      </c>
      <c r="AQ63" s="92">
        <f>IF($A63="","",IFERROR(($P63-$Q63)/$O63,""))</f>
        <v/>
      </c>
      <c r="AR63" s="94">
        <f>IF($A63="","",IF($F63="","Temps d'ouverture manquant",IF($O63="","Cadence produit inconnue",IF($G63&gt;$F63,"Arrêts planifiés &gt; temps d'ouverture",IF($AC63&gt;$AB63,"Arrêts subis &gt; temps requis",IF($P63&lt;&gt;$Q63+$R63+$S63,"Produite ≠ conforme + retouchée + rebutée",IF($Q63&gt;$P63,"Conforme &gt; produite",IF($V63&gt;$U63,"Présents &gt; prévus","OK"))))))))</f>
        <v/>
      </c>
      <c r="AS63" s="95">
        <f>IF($A63="",0,IF(AND(OR(COCKPIT!$H$4="Toutes",$C63=COCKPIT!$H$4),OR(COCKPIT!$K$4="Toutes",$B63=COCKPIT!$K$4)),1,0))</f>
        <v/>
      </c>
    </row>
    <row r="64" ht="15" customHeight="1">
      <c r="A64" s="87" t="n"/>
      <c r="B64" s="88" t="n"/>
      <c r="C64" s="88" t="n"/>
      <c r="D64" s="88" t="n"/>
      <c r="E64" s="88" t="n"/>
      <c r="F64" s="89" t="n"/>
      <c r="G64" s="89" t="n"/>
      <c r="H64" s="89" t="n"/>
      <c r="I64" s="89" t="n"/>
      <c r="J64" s="89" t="n"/>
      <c r="K64" s="89" t="n"/>
      <c r="L64" s="89" t="n"/>
      <c r="M64" s="89" t="n"/>
      <c r="N64" s="89" t="n"/>
      <c r="O64" s="90">
        <f>IF($E64="","",IFERROR(INDEX(PARAMETRES!$O$7:$O$36,MATCH($E64,PARAMETRES!$M$7:$M$36,0)),""))</f>
        <v/>
      </c>
      <c r="P64" s="89" t="n"/>
      <c r="Q64" s="89" t="n"/>
      <c r="R64" s="89" t="n"/>
      <c r="S64" s="89" t="n"/>
      <c r="T64" s="89" t="n"/>
      <c r="U64" s="91" t="n"/>
      <c r="V64" s="91" t="n"/>
      <c r="W64" s="91" t="n"/>
      <c r="X64" s="89" t="n"/>
      <c r="Y64" s="89" t="n"/>
      <c r="Z64" s="88" t="n"/>
      <c r="AA64" s="88" t="n"/>
      <c r="AB64" s="92">
        <f>IF($A64="","",MAX(0,$F64-$G64))</f>
        <v/>
      </c>
      <c r="AC64" s="92">
        <f>IF($A64="","",SUM($H64:$M64))</f>
        <v/>
      </c>
      <c r="AD64" s="92">
        <f>IF($A64="","",MAX(0,$AB64-$AC64))</f>
        <v/>
      </c>
      <c r="AE64" s="92">
        <f>IF($A64="","",IFERROR($Q64/$O64,""))</f>
        <v/>
      </c>
      <c r="AF64" s="93">
        <f>IF($A64="","",IFERROR($AD64/$AB64,""))</f>
        <v/>
      </c>
      <c r="AG64" s="93">
        <f>IF($A64="","",IFERROR(($P64/$O64)/$AD64,""))</f>
        <v/>
      </c>
      <c r="AH64" s="93">
        <f>IF($A64="","",IFERROR($Q64/$P64,""))</f>
        <v/>
      </c>
      <c r="AI64" s="93">
        <f>IF($A64="","",IFERROR($AF64*$AG64*$AH64,""))</f>
        <v/>
      </c>
      <c r="AJ64" s="93">
        <f>IF($A64="","",IFERROR($AE64/$F64,""))</f>
        <v/>
      </c>
      <c r="AK64" s="92">
        <f>IF($A64="","",IFERROR($AD64/$N64,""))</f>
        <v/>
      </c>
      <c r="AL64" s="92">
        <f>IF($A64="","",IFERROR($H64/$N64,""))</f>
        <v/>
      </c>
      <c r="AM64" s="92">
        <f>IF($A64="","",IFERROR(($P64-$Q64)/$P64*1000000,""))</f>
        <v/>
      </c>
      <c r="AN64" s="93">
        <f>IF($A64="","",IFERROR(($Q64+$R64)/$T64,""))</f>
        <v/>
      </c>
      <c r="AO64" s="93">
        <f>IF($A64="","",IFERROR($V64/$U64,""))</f>
        <v/>
      </c>
      <c r="AP64" s="92">
        <f>IF($A64="","",IFERROR(MAX(0,$AD64-$P64/$O64),""))</f>
        <v/>
      </c>
      <c r="AQ64" s="92">
        <f>IF($A64="","",IFERROR(($P64-$Q64)/$O64,""))</f>
        <v/>
      </c>
      <c r="AR64" s="94">
        <f>IF($A64="","",IF($F64="","Temps d'ouverture manquant",IF($O64="","Cadence produit inconnue",IF($G64&gt;$F64,"Arrêts planifiés &gt; temps d'ouverture",IF($AC64&gt;$AB64,"Arrêts subis &gt; temps requis",IF($P64&lt;&gt;$Q64+$R64+$S64,"Produite ≠ conforme + retouchée + rebutée",IF($Q64&gt;$P64,"Conforme &gt; produite",IF($V64&gt;$U64,"Présents &gt; prévus","OK"))))))))</f>
        <v/>
      </c>
      <c r="AS64" s="95">
        <f>IF($A64="",0,IF(AND(OR(COCKPIT!$H$4="Toutes",$C64=COCKPIT!$H$4),OR(COCKPIT!$K$4="Toutes",$B64=COCKPIT!$K$4)),1,0))</f>
        <v/>
      </c>
    </row>
    <row r="65" ht="15" customHeight="1">
      <c r="A65" s="87" t="n"/>
      <c r="B65" s="88" t="n"/>
      <c r="C65" s="88" t="n"/>
      <c r="D65" s="88" t="n"/>
      <c r="E65" s="88" t="n"/>
      <c r="F65" s="89" t="n"/>
      <c r="G65" s="89" t="n"/>
      <c r="H65" s="89" t="n"/>
      <c r="I65" s="89" t="n"/>
      <c r="J65" s="89" t="n"/>
      <c r="K65" s="89" t="n"/>
      <c r="L65" s="89" t="n"/>
      <c r="M65" s="89" t="n"/>
      <c r="N65" s="89" t="n"/>
      <c r="O65" s="90">
        <f>IF($E65="","",IFERROR(INDEX(PARAMETRES!$O$7:$O$36,MATCH($E65,PARAMETRES!$M$7:$M$36,0)),""))</f>
        <v/>
      </c>
      <c r="P65" s="89" t="n"/>
      <c r="Q65" s="89" t="n"/>
      <c r="R65" s="89" t="n"/>
      <c r="S65" s="89" t="n"/>
      <c r="T65" s="89" t="n"/>
      <c r="U65" s="91" t="n"/>
      <c r="V65" s="91" t="n"/>
      <c r="W65" s="91" t="n"/>
      <c r="X65" s="89" t="n"/>
      <c r="Y65" s="89" t="n"/>
      <c r="Z65" s="88" t="n"/>
      <c r="AA65" s="88" t="n"/>
      <c r="AB65" s="92">
        <f>IF($A65="","",MAX(0,$F65-$G65))</f>
        <v/>
      </c>
      <c r="AC65" s="92">
        <f>IF($A65="","",SUM($H65:$M65))</f>
        <v/>
      </c>
      <c r="AD65" s="92">
        <f>IF($A65="","",MAX(0,$AB65-$AC65))</f>
        <v/>
      </c>
      <c r="AE65" s="92">
        <f>IF($A65="","",IFERROR($Q65/$O65,""))</f>
        <v/>
      </c>
      <c r="AF65" s="93">
        <f>IF($A65="","",IFERROR($AD65/$AB65,""))</f>
        <v/>
      </c>
      <c r="AG65" s="93">
        <f>IF($A65="","",IFERROR(($P65/$O65)/$AD65,""))</f>
        <v/>
      </c>
      <c r="AH65" s="93">
        <f>IF($A65="","",IFERROR($Q65/$P65,""))</f>
        <v/>
      </c>
      <c r="AI65" s="93">
        <f>IF($A65="","",IFERROR($AF65*$AG65*$AH65,""))</f>
        <v/>
      </c>
      <c r="AJ65" s="93">
        <f>IF($A65="","",IFERROR($AE65/$F65,""))</f>
        <v/>
      </c>
      <c r="AK65" s="92">
        <f>IF($A65="","",IFERROR($AD65/$N65,""))</f>
        <v/>
      </c>
      <c r="AL65" s="92">
        <f>IF($A65="","",IFERROR($H65/$N65,""))</f>
        <v/>
      </c>
      <c r="AM65" s="92">
        <f>IF($A65="","",IFERROR(($P65-$Q65)/$P65*1000000,""))</f>
        <v/>
      </c>
      <c r="AN65" s="93">
        <f>IF($A65="","",IFERROR(($Q65+$R65)/$T65,""))</f>
        <v/>
      </c>
      <c r="AO65" s="93">
        <f>IF($A65="","",IFERROR($V65/$U65,""))</f>
        <v/>
      </c>
      <c r="AP65" s="92">
        <f>IF($A65="","",IFERROR(MAX(0,$AD65-$P65/$O65),""))</f>
        <v/>
      </c>
      <c r="AQ65" s="92">
        <f>IF($A65="","",IFERROR(($P65-$Q65)/$O65,""))</f>
        <v/>
      </c>
      <c r="AR65" s="94">
        <f>IF($A65="","",IF($F65="","Temps d'ouverture manquant",IF($O65="","Cadence produit inconnue",IF($G65&gt;$F65,"Arrêts planifiés &gt; temps d'ouverture",IF($AC65&gt;$AB65,"Arrêts subis &gt; temps requis",IF($P65&lt;&gt;$Q65+$R65+$S65,"Produite ≠ conforme + retouchée + rebutée",IF($Q65&gt;$P65,"Conforme &gt; produite",IF($V65&gt;$U65,"Présents &gt; prévus","OK"))))))))</f>
        <v/>
      </c>
      <c r="AS65" s="95">
        <f>IF($A65="",0,IF(AND(OR(COCKPIT!$H$4="Toutes",$C65=COCKPIT!$H$4),OR(COCKPIT!$K$4="Toutes",$B65=COCKPIT!$K$4)),1,0))</f>
        <v/>
      </c>
    </row>
    <row r="66" ht="15" customHeight="1">
      <c r="A66" s="87" t="n"/>
      <c r="B66" s="88" t="n"/>
      <c r="C66" s="88" t="n"/>
      <c r="D66" s="88" t="n"/>
      <c r="E66" s="88" t="n"/>
      <c r="F66" s="89" t="n"/>
      <c r="G66" s="89" t="n"/>
      <c r="H66" s="89" t="n"/>
      <c r="I66" s="89" t="n"/>
      <c r="J66" s="89" t="n"/>
      <c r="K66" s="89" t="n"/>
      <c r="L66" s="89" t="n"/>
      <c r="M66" s="89" t="n"/>
      <c r="N66" s="89" t="n"/>
      <c r="O66" s="90">
        <f>IF($E66="","",IFERROR(INDEX(PARAMETRES!$O$7:$O$36,MATCH($E66,PARAMETRES!$M$7:$M$36,0)),""))</f>
        <v/>
      </c>
      <c r="P66" s="89" t="n"/>
      <c r="Q66" s="89" t="n"/>
      <c r="R66" s="89" t="n"/>
      <c r="S66" s="89" t="n"/>
      <c r="T66" s="89" t="n"/>
      <c r="U66" s="91" t="n"/>
      <c r="V66" s="91" t="n"/>
      <c r="W66" s="91" t="n"/>
      <c r="X66" s="89" t="n"/>
      <c r="Y66" s="89" t="n"/>
      <c r="Z66" s="88" t="n"/>
      <c r="AA66" s="88" t="n"/>
      <c r="AB66" s="92">
        <f>IF($A66="","",MAX(0,$F66-$G66))</f>
        <v/>
      </c>
      <c r="AC66" s="92">
        <f>IF($A66="","",SUM($H66:$M66))</f>
        <v/>
      </c>
      <c r="AD66" s="92">
        <f>IF($A66="","",MAX(0,$AB66-$AC66))</f>
        <v/>
      </c>
      <c r="AE66" s="92">
        <f>IF($A66="","",IFERROR($Q66/$O66,""))</f>
        <v/>
      </c>
      <c r="AF66" s="93">
        <f>IF($A66="","",IFERROR($AD66/$AB66,""))</f>
        <v/>
      </c>
      <c r="AG66" s="93">
        <f>IF($A66="","",IFERROR(($P66/$O66)/$AD66,""))</f>
        <v/>
      </c>
      <c r="AH66" s="93">
        <f>IF($A66="","",IFERROR($Q66/$P66,""))</f>
        <v/>
      </c>
      <c r="AI66" s="93">
        <f>IF($A66="","",IFERROR($AF66*$AG66*$AH66,""))</f>
        <v/>
      </c>
      <c r="AJ66" s="93">
        <f>IF($A66="","",IFERROR($AE66/$F66,""))</f>
        <v/>
      </c>
      <c r="AK66" s="92">
        <f>IF($A66="","",IFERROR($AD66/$N66,""))</f>
        <v/>
      </c>
      <c r="AL66" s="92">
        <f>IF($A66="","",IFERROR($H66/$N66,""))</f>
        <v/>
      </c>
      <c r="AM66" s="92">
        <f>IF($A66="","",IFERROR(($P66-$Q66)/$P66*1000000,""))</f>
        <v/>
      </c>
      <c r="AN66" s="93">
        <f>IF($A66="","",IFERROR(($Q66+$R66)/$T66,""))</f>
        <v/>
      </c>
      <c r="AO66" s="93">
        <f>IF($A66="","",IFERROR($V66/$U66,""))</f>
        <v/>
      </c>
      <c r="AP66" s="92">
        <f>IF($A66="","",IFERROR(MAX(0,$AD66-$P66/$O66),""))</f>
        <v/>
      </c>
      <c r="AQ66" s="92">
        <f>IF($A66="","",IFERROR(($P66-$Q66)/$O66,""))</f>
        <v/>
      </c>
      <c r="AR66" s="94">
        <f>IF($A66="","",IF($F66="","Temps d'ouverture manquant",IF($O66="","Cadence produit inconnue",IF($G66&gt;$F66,"Arrêts planifiés &gt; temps d'ouverture",IF($AC66&gt;$AB66,"Arrêts subis &gt; temps requis",IF($P66&lt;&gt;$Q66+$R66+$S66,"Produite ≠ conforme + retouchée + rebutée",IF($Q66&gt;$P66,"Conforme &gt; produite",IF($V66&gt;$U66,"Présents &gt; prévus","OK"))))))))</f>
        <v/>
      </c>
      <c r="AS66" s="95">
        <f>IF($A66="",0,IF(AND(OR(COCKPIT!$H$4="Toutes",$C66=COCKPIT!$H$4),OR(COCKPIT!$K$4="Toutes",$B66=COCKPIT!$K$4)),1,0))</f>
        <v/>
      </c>
    </row>
    <row r="67" ht="15" customHeight="1">
      <c r="A67" s="87" t="n"/>
      <c r="B67" s="88" t="n"/>
      <c r="C67" s="88" t="n"/>
      <c r="D67" s="88" t="n"/>
      <c r="E67" s="88" t="n"/>
      <c r="F67" s="89" t="n"/>
      <c r="G67" s="89" t="n"/>
      <c r="H67" s="89" t="n"/>
      <c r="I67" s="89" t="n"/>
      <c r="J67" s="89" t="n"/>
      <c r="K67" s="89" t="n"/>
      <c r="L67" s="89" t="n"/>
      <c r="M67" s="89" t="n"/>
      <c r="N67" s="89" t="n"/>
      <c r="O67" s="90">
        <f>IF($E67="","",IFERROR(INDEX(PARAMETRES!$O$7:$O$36,MATCH($E67,PARAMETRES!$M$7:$M$36,0)),""))</f>
        <v/>
      </c>
      <c r="P67" s="89" t="n"/>
      <c r="Q67" s="89" t="n"/>
      <c r="R67" s="89" t="n"/>
      <c r="S67" s="89" t="n"/>
      <c r="T67" s="89" t="n"/>
      <c r="U67" s="91" t="n"/>
      <c r="V67" s="91" t="n"/>
      <c r="W67" s="91" t="n"/>
      <c r="X67" s="89" t="n"/>
      <c r="Y67" s="89" t="n"/>
      <c r="Z67" s="88" t="n"/>
      <c r="AA67" s="88" t="n"/>
      <c r="AB67" s="92">
        <f>IF($A67="","",MAX(0,$F67-$G67))</f>
        <v/>
      </c>
      <c r="AC67" s="92">
        <f>IF($A67="","",SUM($H67:$M67))</f>
        <v/>
      </c>
      <c r="AD67" s="92">
        <f>IF($A67="","",MAX(0,$AB67-$AC67))</f>
        <v/>
      </c>
      <c r="AE67" s="92">
        <f>IF($A67="","",IFERROR($Q67/$O67,""))</f>
        <v/>
      </c>
      <c r="AF67" s="93">
        <f>IF($A67="","",IFERROR($AD67/$AB67,""))</f>
        <v/>
      </c>
      <c r="AG67" s="93">
        <f>IF($A67="","",IFERROR(($P67/$O67)/$AD67,""))</f>
        <v/>
      </c>
      <c r="AH67" s="93">
        <f>IF($A67="","",IFERROR($Q67/$P67,""))</f>
        <v/>
      </c>
      <c r="AI67" s="93">
        <f>IF($A67="","",IFERROR($AF67*$AG67*$AH67,""))</f>
        <v/>
      </c>
      <c r="AJ67" s="93">
        <f>IF($A67="","",IFERROR($AE67/$F67,""))</f>
        <v/>
      </c>
      <c r="AK67" s="92">
        <f>IF($A67="","",IFERROR($AD67/$N67,""))</f>
        <v/>
      </c>
      <c r="AL67" s="92">
        <f>IF($A67="","",IFERROR($H67/$N67,""))</f>
        <v/>
      </c>
      <c r="AM67" s="92">
        <f>IF($A67="","",IFERROR(($P67-$Q67)/$P67*1000000,""))</f>
        <v/>
      </c>
      <c r="AN67" s="93">
        <f>IF($A67="","",IFERROR(($Q67+$R67)/$T67,""))</f>
        <v/>
      </c>
      <c r="AO67" s="93">
        <f>IF($A67="","",IFERROR($V67/$U67,""))</f>
        <v/>
      </c>
      <c r="AP67" s="92">
        <f>IF($A67="","",IFERROR(MAX(0,$AD67-$P67/$O67),""))</f>
        <v/>
      </c>
      <c r="AQ67" s="92">
        <f>IF($A67="","",IFERROR(($P67-$Q67)/$O67,""))</f>
        <v/>
      </c>
      <c r="AR67" s="94">
        <f>IF($A67="","",IF($F67="","Temps d'ouverture manquant",IF($O67="","Cadence produit inconnue",IF($G67&gt;$F67,"Arrêts planifiés &gt; temps d'ouverture",IF($AC67&gt;$AB67,"Arrêts subis &gt; temps requis",IF($P67&lt;&gt;$Q67+$R67+$S67,"Produite ≠ conforme + retouchée + rebutée",IF($Q67&gt;$P67,"Conforme &gt; produite",IF($V67&gt;$U67,"Présents &gt; prévus","OK"))))))))</f>
        <v/>
      </c>
      <c r="AS67" s="95">
        <f>IF($A67="",0,IF(AND(OR(COCKPIT!$H$4="Toutes",$C67=COCKPIT!$H$4),OR(COCKPIT!$K$4="Toutes",$B67=COCKPIT!$K$4)),1,0))</f>
        <v/>
      </c>
    </row>
    <row r="68" ht="15" customHeight="1">
      <c r="A68" s="87" t="n"/>
      <c r="B68" s="88" t="n"/>
      <c r="C68" s="88" t="n"/>
      <c r="D68" s="88" t="n"/>
      <c r="E68" s="88" t="n"/>
      <c r="F68" s="89" t="n"/>
      <c r="G68" s="89" t="n"/>
      <c r="H68" s="89" t="n"/>
      <c r="I68" s="89" t="n"/>
      <c r="J68" s="89" t="n"/>
      <c r="K68" s="89" t="n"/>
      <c r="L68" s="89" t="n"/>
      <c r="M68" s="89" t="n"/>
      <c r="N68" s="89" t="n"/>
      <c r="O68" s="90">
        <f>IF($E68="","",IFERROR(INDEX(PARAMETRES!$O$7:$O$36,MATCH($E68,PARAMETRES!$M$7:$M$36,0)),""))</f>
        <v/>
      </c>
      <c r="P68" s="89" t="n"/>
      <c r="Q68" s="89" t="n"/>
      <c r="R68" s="89" t="n"/>
      <c r="S68" s="89" t="n"/>
      <c r="T68" s="89" t="n"/>
      <c r="U68" s="91" t="n"/>
      <c r="V68" s="91" t="n"/>
      <c r="W68" s="91" t="n"/>
      <c r="X68" s="89" t="n"/>
      <c r="Y68" s="89" t="n"/>
      <c r="Z68" s="88" t="n"/>
      <c r="AA68" s="88" t="n"/>
      <c r="AB68" s="92">
        <f>IF($A68="","",MAX(0,$F68-$G68))</f>
        <v/>
      </c>
      <c r="AC68" s="92">
        <f>IF($A68="","",SUM($H68:$M68))</f>
        <v/>
      </c>
      <c r="AD68" s="92">
        <f>IF($A68="","",MAX(0,$AB68-$AC68))</f>
        <v/>
      </c>
      <c r="AE68" s="92">
        <f>IF($A68="","",IFERROR($Q68/$O68,""))</f>
        <v/>
      </c>
      <c r="AF68" s="93">
        <f>IF($A68="","",IFERROR($AD68/$AB68,""))</f>
        <v/>
      </c>
      <c r="AG68" s="93">
        <f>IF($A68="","",IFERROR(($P68/$O68)/$AD68,""))</f>
        <v/>
      </c>
      <c r="AH68" s="93">
        <f>IF($A68="","",IFERROR($Q68/$P68,""))</f>
        <v/>
      </c>
      <c r="AI68" s="93">
        <f>IF($A68="","",IFERROR($AF68*$AG68*$AH68,""))</f>
        <v/>
      </c>
      <c r="AJ68" s="93">
        <f>IF($A68="","",IFERROR($AE68/$F68,""))</f>
        <v/>
      </c>
      <c r="AK68" s="92">
        <f>IF($A68="","",IFERROR($AD68/$N68,""))</f>
        <v/>
      </c>
      <c r="AL68" s="92">
        <f>IF($A68="","",IFERROR($H68/$N68,""))</f>
        <v/>
      </c>
      <c r="AM68" s="92">
        <f>IF($A68="","",IFERROR(($P68-$Q68)/$P68*1000000,""))</f>
        <v/>
      </c>
      <c r="AN68" s="93">
        <f>IF($A68="","",IFERROR(($Q68+$R68)/$T68,""))</f>
        <v/>
      </c>
      <c r="AO68" s="93">
        <f>IF($A68="","",IFERROR($V68/$U68,""))</f>
        <v/>
      </c>
      <c r="AP68" s="92">
        <f>IF($A68="","",IFERROR(MAX(0,$AD68-$P68/$O68),""))</f>
        <v/>
      </c>
      <c r="AQ68" s="92">
        <f>IF($A68="","",IFERROR(($P68-$Q68)/$O68,""))</f>
        <v/>
      </c>
      <c r="AR68" s="94">
        <f>IF($A68="","",IF($F68="","Temps d'ouverture manquant",IF($O68="","Cadence produit inconnue",IF($G68&gt;$F68,"Arrêts planifiés &gt; temps d'ouverture",IF($AC68&gt;$AB68,"Arrêts subis &gt; temps requis",IF($P68&lt;&gt;$Q68+$R68+$S68,"Produite ≠ conforme + retouchée + rebutée",IF($Q68&gt;$P68,"Conforme &gt; produite",IF($V68&gt;$U68,"Présents &gt; prévus","OK"))))))))</f>
        <v/>
      </c>
      <c r="AS68" s="95">
        <f>IF($A68="",0,IF(AND(OR(COCKPIT!$H$4="Toutes",$C68=COCKPIT!$H$4),OR(COCKPIT!$K$4="Toutes",$B68=COCKPIT!$K$4)),1,0))</f>
        <v/>
      </c>
    </row>
    <row r="69" ht="15" customHeight="1">
      <c r="A69" s="87" t="n"/>
      <c r="B69" s="88" t="n"/>
      <c r="C69" s="88" t="n"/>
      <c r="D69" s="88" t="n"/>
      <c r="E69" s="88" t="n"/>
      <c r="F69" s="89" t="n"/>
      <c r="G69" s="89" t="n"/>
      <c r="H69" s="89" t="n"/>
      <c r="I69" s="89" t="n"/>
      <c r="J69" s="89" t="n"/>
      <c r="K69" s="89" t="n"/>
      <c r="L69" s="89" t="n"/>
      <c r="M69" s="89" t="n"/>
      <c r="N69" s="89" t="n"/>
      <c r="O69" s="90">
        <f>IF($E69="","",IFERROR(INDEX(PARAMETRES!$O$7:$O$36,MATCH($E69,PARAMETRES!$M$7:$M$36,0)),""))</f>
        <v/>
      </c>
      <c r="P69" s="89" t="n"/>
      <c r="Q69" s="89" t="n"/>
      <c r="R69" s="89" t="n"/>
      <c r="S69" s="89" t="n"/>
      <c r="T69" s="89" t="n"/>
      <c r="U69" s="91" t="n"/>
      <c r="V69" s="91" t="n"/>
      <c r="W69" s="91" t="n"/>
      <c r="X69" s="89" t="n"/>
      <c r="Y69" s="89" t="n"/>
      <c r="Z69" s="88" t="n"/>
      <c r="AA69" s="88" t="n"/>
      <c r="AB69" s="92">
        <f>IF($A69="","",MAX(0,$F69-$G69))</f>
        <v/>
      </c>
      <c r="AC69" s="92">
        <f>IF($A69="","",SUM($H69:$M69))</f>
        <v/>
      </c>
      <c r="AD69" s="92">
        <f>IF($A69="","",MAX(0,$AB69-$AC69))</f>
        <v/>
      </c>
      <c r="AE69" s="92">
        <f>IF($A69="","",IFERROR($Q69/$O69,""))</f>
        <v/>
      </c>
      <c r="AF69" s="93">
        <f>IF($A69="","",IFERROR($AD69/$AB69,""))</f>
        <v/>
      </c>
      <c r="AG69" s="93">
        <f>IF($A69="","",IFERROR(($P69/$O69)/$AD69,""))</f>
        <v/>
      </c>
      <c r="AH69" s="93">
        <f>IF($A69="","",IFERROR($Q69/$P69,""))</f>
        <v/>
      </c>
      <c r="AI69" s="93">
        <f>IF($A69="","",IFERROR($AF69*$AG69*$AH69,""))</f>
        <v/>
      </c>
      <c r="AJ69" s="93">
        <f>IF($A69="","",IFERROR($AE69/$F69,""))</f>
        <v/>
      </c>
      <c r="AK69" s="92">
        <f>IF($A69="","",IFERROR($AD69/$N69,""))</f>
        <v/>
      </c>
      <c r="AL69" s="92">
        <f>IF($A69="","",IFERROR($H69/$N69,""))</f>
        <v/>
      </c>
      <c r="AM69" s="92">
        <f>IF($A69="","",IFERROR(($P69-$Q69)/$P69*1000000,""))</f>
        <v/>
      </c>
      <c r="AN69" s="93">
        <f>IF($A69="","",IFERROR(($Q69+$R69)/$T69,""))</f>
        <v/>
      </c>
      <c r="AO69" s="93">
        <f>IF($A69="","",IFERROR($V69/$U69,""))</f>
        <v/>
      </c>
      <c r="AP69" s="92">
        <f>IF($A69="","",IFERROR(MAX(0,$AD69-$P69/$O69),""))</f>
        <v/>
      </c>
      <c r="AQ69" s="92">
        <f>IF($A69="","",IFERROR(($P69-$Q69)/$O69,""))</f>
        <v/>
      </c>
      <c r="AR69" s="94">
        <f>IF($A69="","",IF($F69="","Temps d'ouverture manquant",IF($O69="","Cadence produit inconnue",IF($G69&gt;$F69,"Arrêts planifiés &gt; temps d'ouverture",IF($AC69&gt;$AB69,"Arrêts subis &gt; temps requis",IF($P69&lt;&gt;$Q69+$R69+$S69,"Produite ≠ conforme + retouchée + rebutée",IF($Q69&gt;$P69,"Conforme &gt; produite",IF($V69&gt;$U69,"Présents &gt; prévus","OK"))))))))</f>
        <v/>
      </c>
      <c r="AS69" s="95">
        <f>IF($A69="",0,IF(AND(OR(COCKPIT!$H$4="Toutes",$C69=COCKPIT!$H$4),OR(COCKPIT!$K$4="Toutes",$B69=COCKPIT!$K$4)),1,0))</f>
        <v/>
      </c>
    </row>
    <row r="70" ht="15" customHeight="1">
      <c r="A70" s="87" t="n"/>
      <c r="B70" s="88" t="n"/>
      <c r="C70" s="88" t="n"/>
      <c r="D70" s="88" t="n"/>
      <c r="E70" s="88" t="n"/>
      <c r="F70" s="89" t="n"/>
      <c r="G70" s="89" t="n"/>
      <c r="H70" s="89" t="n"/>
      <c r="I70" s="89" t="n"/>
      <c r="J70" s="89" t="n"/>
      <c r="K70" s="89" t="n"/>
      <c r="L70" s="89" t="n"/>
      <c r="M70" s="89" t="n"/>
      <c r="N70" s="89" t="n"/>
      <c r="O70" s="90">
        <f>IF($E70="","",IFERROR(INDEX(PARAMETRES!$O$7:$O$36,MATCH($E70,PARAMETRES!$M$7:$M$36,0)),""))</f>
        <v/>
      </c>
      <c r="P70" s="89" t="n"/>
      <c r="Q70" s="89" t="n"/>
      <c r="R70" s="89" t="n"/>
      <c r="S70" s="89" t="n"/>
      <c r="T70" s="89" t="n"/>
      <c r="U70" s="91" t="n"/>
      <c r="V70" s="91" t="n"/>
      <c r="W70" s="91" t="n"/>
      <c r="X70" s="89" t="n"/>
      <c r="Y70" s="89" t="n"/>
      <c r="Z70" s="88" t="n"/>
      <c r="AA70" s="88" t="n"/>
      <c r="AB70" s="92">
        <f>IF($A70="","",MAX(0,$F70-$G70))</f>
        <v/>
      </c>
      <c r="AC70" s="92">
        <f>IF($A70="","",SUM($H70:$M70))</f>
        <v/>
      </c>
      <c r="AD70" s="92">
        <f>IF($A70="","",MAX(0,$AB70-$AC70))</f>
        <v/>
      </c>
      <c r="AE70" s="92">
        <f>IF($A70="","",IFERROR($Q70/$O70,""))</f>
        <v/>
      </c>
      <c r="AF70" s="93">
        <f>IF($A70="","",IFERROR($AD70/$AB70,""))</f>
        <v/>
      </c>
      <c r="AG70" s="93">
        <f>IF($A70="","",IFERROR(($P70/$O70)/$AD70,""))</f>
        <v/>
      </c>
      <c r="AH70" s="93">
        <f>IF($A70="","",IFERROR($Q70/$P70,""))</f>
        <v/>
      </c>
      <c r="AI70" s="93">
        <f>IF($A70="","",IFERROR($AF70*$AG70*$AH70,""))</f>
        <v/>
      </c>
      <c r="AJ70" s="93">
        <f>IF($A70="","",IFERROR($AE70/$F70,""))</f>
        <v/>
      </c>
      <c r="AK70" s="92">
        <f>IF($A70="","",IFERROR($AD70/$N70,""))</f>
        <v/>
      </c>
      <c r="AL70" s="92">
        <f>IF($A70="","",IFERROR($H70/$N70,""))</f>
        <v/>
      </c>
      <c r="AM70" s="92">
        <f>IF($A70="","",IFERROR(($P70-$Q70)/$P70*1000000,""))</f>
        <v/>
      </c>
      <c r="AN70" s="93">
        <f>IF($A70="","",IFERROR(($Q70+$R70)/$T70,""))</f>
        <v/>
      </c>
      <c r="AO70" s="93">
        <f>IF($A70="","",IFERROR($V70/$U70,""))</f>
        <v/>
      </c>
      <c r="AP70" s="92">
        <f>IF($A70="","",IFERROR(MAX(0,$AD70-$P70/$O70),""))</f>
        <v/>
      </c>
      <c r="AQ70" s="92">
        <f>IF($A70="","",IFERROR(($P70-$Q70)/$O70,""))</f>
        <v/>
      </c>
      <c r="AR70" s="94">
        <f>IF($A70="","",IF($F70="","Temps d'ouverture manquant",IF($O70="","Cadence produit inconnue",IF($G70&gt;$F70,"Arrêts planifiés &gt; temps d'ouverture",IF($AC70&gt;$AB70,"Arrêts subis &gt; temps requis",IF($P70&lt;&gt;$Q70+$R70+$S70,"Produite ≠ conforme + retouchée + rebutée",IF($Q70&gt;$P70,"Conforme &gt; produite",IF($V70&gt;$U70,"Présents &gt; prévus","OK"))))))))</f>
        <v/>
      </c>
      <c r="AS70" s="95">
        <f>IF($A70="",0,IF(AND(OR(COCKPIT!$H$4="Toutes",$C70=COCKPIT!$H$4),OR(COCKPIT!$K$4="Toutes",$B70=COCKPIT!$K$4)),1,0))</f>
        <v/>
      </c>
    </row>
    <row r="71" ht="15" customHeight="1">
      <c r="A71" s="87" t="n"/>
      <c r="B71" s="88" t="n"/>
      <c r="C71" s="88" t="n"/>
      <c r="D71" s="88" t="n"/>
      <c r="E71" s="88" t="n"/>
      <c r="F71" s="89" t="n"/>
      <c r="G71" s="89" t="n"/>
      <c r="H71" s="89" t="n"/>
      <c r="I71" s="89" t="n"/>
      <c r="J71" s="89" t="n"/>
      <c r="K71" s="89" t="n"/>
      <c r="L71" s="89" t="n"/>
      <c r="M71" s="89" t="n"/>
      <c r="N71" s="89" t="n"/>
      <c r="O71" s="90">
        <f>IF($E71="","",IFERROR(INDEX(PARAMETRES!$O$7:$O$36,MATCH($E71,PARAMETRES!$M$7:$M$36,0)),""))</f>
        <v/>
      </c>
      <c r="P71" s="89" t="n"/>
      <c r="Q71" s="89" t="n"/>
      <c r="R71" s="89" t="n"/>
      <c r="S71" s="89" t="n"/>
      <c r="T71" s="89" t="n"/>
      <c r="U71" s="91" t="n"/>
      <c r="V71" s="91" t="n"/>
      <c r="W71" s="91" t="n"/>
      <c r="X71" s="89" t="n"/>
      <c r="Y71" s="89" t="n"/>
      <c r="Z71" s="88" t="n"/>
      <c r="AA71" s="88" t="n"/>
      <c r="AB71" s="92">
        <f>IF($A71="","",MAX(0,$F71-$G71))</f>
        <v/>
      </c>
      <c r="AC71" s="92">
        <f>IF($A71="","",SUM($H71:$M71))</f>
        <v/>
      </c>
      <c r="AD71" s="92">
        <f>IF($A71="","",MAX(0,$AB71-$AC71))</f>
        <v/>
      </c>
      <c r="AE71" s="92">
        <f>IF($A71="","",IFERROR($Q71/$O71,""))</f>
        <v/>
      </c>
      <c r="AF71" s="93">
        <f>IF($A71="","",IFERROR($AD71/$AB71,""))</f>
        <v/>
      </c>
      <c r="AG71" s="93">
        <f>IF($A71="","",IFERROR(($P71/$O71)/$AD71,""))</f>
        <v/>
      </c>
      <c r="AH71" s="93">
        <f>IF($A71="","",IFERROR($Q71/$P71,""))</f>
        <v/>
      </c>
      <c r="AI71" s="93">
        <f>IF($A71="","",IFERROR($AF71*$AG71*$AH71,""))</f>
        <v/>
      </c>
      <c r="AJ71" s="93">
        <f>IF($A71="","",IFERROR($AE71/$F71,""))</f>
        <v/>
      </c>
      <c r="AK71" s="92">
        <f>IF($A71="","",IFERROR($AD71/$N71,""))</f>
        <v/>
      </c>
      <c r="AL71" s="92">
        <f>IF($A71="","",IFERROR($H71/$N71,""))</f>
        <v/>
      </c>
      <c r="AM71" s="92">
        <f>IF($A71="","",IFERROR(($P71-$Q71)/$P71*1000000,""))</f>
        <v/>
      </c>
      <c r="AN71" s="93">
        <f>IF($A71="","",IFERROR(($Q71+$R71)/$T71,""))</f>
        <v/>
      </c>
      <c r="AO71" s="93">
        <f>IF($A71="","",IFERROR($V71/$U71,""))</f>
        <v/>
      </c>
      <c r="AP71" s="92">
        <f>IF($A71="","",IFERROR(MAX(0,$AD71-$P71/$O71),""))</f>
        <v/>
      </c>
      <c r="AQ71" s="92">
        <f>IF($A71="","",IFERROR(($P71-$Q71)/$O71,""))</f>
        <v/>
      </c>
      <c r="AR71" s="94">
        <f>IF($A71="","",IF($F71="","Temps d'ouverture manquant",IF($O71="","Cadence produit inconnue",IF($G71&gt;$F71,"Arrêts planifiés &gt; temps d'ouverture",IF($AC71&gt;$AB71,"Arrêts subis &gt; temps requis",IF($P71&lt;&gt;$Q71+$R71+$S71,"Produite ≠ conforme + retouchée + rebutée",IF($Q71&gt;$P71,"Conforme &gt; produite",IF($V71&gt;$U71,"Présents &gt; prévus","OK"))))))))</f>
        <v/>
      </c>
      <c r="AS71" s="95">
        <f>IF($A71="",0,IF(AND(OR(COCKPIT!$H$4="Toutes",$C71=COCKPIT!$H$4),OR(COCKPIT!$K$4="Toutes",$B71=COCKPIT!$K$4)),1,0))</f>
        <v/>
      </c>
    </row>
    <row r="72" ht="15" customHeight="1">
      <c r="A72" s="87" t="n"/>
      <c r="B72" s="88" t="n"/>
      <c r="C72" s="88" t="n"/>
      <c r="D72" s="88" t="n"/>
      <c r="E72" s="88" t="n"/>
      <c r="F72" s="89" t="n"/>
      <c r="G72" s="89" t="n"/>
      <c r="H72" s="89" t="n"/>
      <c r="I72" s="89" t="n"/>
      <c r="J72" s="89" t="n"/>
      <c r="K72" s="89" t="n"/>
      <c r="L72" s="89" t="n"/>
      <c r="M72" s="89" t="n"/>
      <c r="N72" s="89" t="n"/>
      <c r="O72" s="90">
        <f>IF($E72="","",IFERROR(INDEX(PARAMETRES!$O$7:$O$36,MATCH($E72,PARAMETRES!$M$7:$M$36,0)),""))</f>
        <v/>
      </c>
      <c r="P72" s="89" t="n"/>
      <c r="Q72" s="89" t="n"/>
      <c r="R72" s="89" t="n"/>
      <c r="S72" s="89" t="n"/>
      <c r="T72" s="89" t="n"/>
      <c r="U72" s="91" t="n"/>
      <c r="V72" s="91" t="n"/>
      <c r="W72" s="91" t="n"/>
      <c r="X72" s="89" t="n"/>
      <c r="Y72" s="89" t="n"/>
      <c r="Z72" s="88" t="n"/>
      <c r="AA72" s="88" t="n"/>
      <c r="AB72" s="92">
        <f>IF($A72="","",MAX(0,$F72-$G72))</f>
        <v/>
      </c>
      <c r="AC72" s="92">
        <f>IF($A72="","",SUM($H72:$M72))</f>
        <v/>
      </c>
      <c r="AD72" s="92">
        <f>IF($A72="","",MAX(0,$AB72-$AC72))</f>
        <v/>
      </c>
      <c r="AE72" s="92">
        <f>IF($A72="","",IFERROR($Q72/$O72,""))</f>
        <v/>
      </c>
      <c r="AF72" s="93">
        <f>IF($A72="","",IFERROR($AD72/$AB72,""))</f>
        <v/>
      </c>
      <c r="AG72" s="93">
        <f>IF($A72="","",IFERROR(($P72/$O72)/$AD72,""))</f>
        <v/>
      </c>
      <c r="AH72" s="93">
        <f>IF($A72="","",IFERROR($Q72/$P72,""))</f>
        <v/>
      </c>
      <c r="AI72" s="93">
        <f>IF($A72="","",IFERROR($AF72*$AG72*$AH72,""))</f>
        <v/>
      </c>
      <c r="AJ72" s="93">
        <f>IF($A72="","",IFERROR($AE72/$F72,""))</f>
        <v/>
      </c>
      <c r="AK72" s="92">
        <f>IF($A72="","",IFERROR($AD72/$N72,""))</f>
        <v/>
      </c>
      <c r="AL72" s="92">
        <f>IF($A72="","",IFERROR($H72/$N72,""))</f>
        <v/>
      </c>
      <c r="AM72" s="92">
        <f>IF($A72="","",IFERROR(($P72-$Q72)/$P72*1000000,""))</f>
        <v/>
      </c>
      <c r="AN72" s="93">
        <f>IF($A72="","",IFERROR(($Q72+$R72)/$T72,""))</f>
        <v/>
      </c>
      <c r="AO72" s="93">
        <f>IF($A72="","",IFERROR($V72/$U72,""))</f>
        <v/>
      </c>
      <c r="AP72" s="92">
        <f>IF($A72="","",IFERROR(MAX(0,$AD72-$P72/$O72),""))</f>
        <v/>
      </c>
      <c r="AQ72" s="92">
        <f>IF($A72="","",IFERROR(($P72-$Q72)/$O72,""))</f>
        <v/>
      </c>
      <c r="AR72" s="94">
        <f>IF($A72="","",IF($F72="","Temps d'ouverture manquant",IF($O72="","Cadence produit inconnue",IF($G72&gt;$F72,"Arrêts planifiés &gt; temps d'ouverture",IF($AC72&gt;$AB72,"Arrêts subis &gt; temps requis",IF($P72&lt;&gt;$Q72+$R72+$S72,"Produite ≠ conforme + retouchée + rebutée",IF($Q72&gt;$P72,"Conforme &gt; produite",IF($V72&gt;$U72,"Présents &gt; prévus","OK"))))))))</f>
        <v/>
      </c>
      <c r="AS72" s="95">
        <f>IF($A72="",0,IF(AND(OR(COCKPIT!$H$4="Toutes",$C72=COCKPIT!$H$4),OR(COCKPIT!$K$4="Toutes",$B72=COCKPIT!$K$4)),1,0))</f>
        <v/>
      </c>
    </row>
    <row r="73" ht="15" customHeight="1">
      <c r="A73" s="87" t="n"/>
      <c r="B73" s="88" t="n"/>
      <c r="C73" s="88" t="n"/>
      <c r="D73" s="88" t="n"/>
      <c r="E73" s="88" t="n"/>
      <c r="F73" s="89" t="n"/>
      <c r="G73" s="89" t="n"/>
      <c r="H73" s="89" t="n"/>
      <c r="I73" s="89" t="n"/>
      <c r="J73" s="89" t="n"/>
      <c r="K73" s="89" t="n"/>
      <c r="L73" s="89" t="n"/>
      <c r="M73" s="89" t="n"/>
      <c r="N73" s="89" t="n"/>
      <c r="O73" s="90">
        <f>IF($E73="","",IFERROR(INDEX(PARAMETRES!$O$7:$O$36,MATCH($E73,PARAMETRES!$M$7:$M$36,0)),""))</f>
        <v/>
      </c>
      <c r="P73" s="89" t="n"/>
      <c r="Q73" s="89" t="n"/>
      <c r="R73" s="89" t="n"/>
      <c r="S73" s="89" t="n"/>
      <c r="T73" s="89" t="n"/>
      <c r="U73" s="91" t="n"/>
      <c r="V73" s="91" t="n"/>
      <c r="W73" s="91" t="n"/>
      <c r="X73" s="89" t="n"/>
      <c r="Y73" s="89" t="n"/>
      <c r="Z73" s="88" t="n"/>
      <c r="AA73" s="88" t="n"/>
      <c r="AB73" s="92">
        <f>IF($A73="","",MAX(0,$F73-$G73))</f>
        <v/>
      </c>
      <c r="AC73" s="92">
        <f>IF($A73="","",SUM($H73:$M73))</f>
        <v/>
      </c>
      <c r="AD73" s="92">
        <f>IF($A73="","",MAX(0,$AB73-$AC73))</f>
        <v/>
      </c>
      <c r="AE73" s="92">
        <f>IF($A73="","",IFERROR($Q73/$O73,""))</f>
        <v/>
      </c>
      <c r="AF73" s="93">
        <f>IF($A73="","",IFERROR($AD73/$AB73,""))</f>
        <v/>
      </c>
      <c r="AG73" s="93">
        <f>IF($A73="","",IFERROR(($P73/$O73)/$AD73,""))</f>
        <v/>
      </c>
      <c r="AH73" s="93">
        <f>IF($A73="","",IFERROR($Q73/$P73,""))</f>
        <v/>
      </c>
      <c r="AI73" s="93">
        <f>IF($A73="","",IFERROR($AF73*$AG73*$AH73,""))</f>
        <v/>
      </c>
      <c r="AJ73" s="93">
        <f>IF($A73="","",IFERROR($AE73/$F73,""))</f>
        <v/>
      </c>
      <c r="AK73" s="92">
        <f>IF($A73="","",IFERROR($AD73/$N73,""))</f>
        <v/>
      </c>
      <c r="AL73" s="92">
        <f>IF($A73="","",IFERROR($H73/$N73,""))</f>
        <v/>
      </c>
      <c r="AM73" s="92">
        <f>IF($A73="","",IFERROR(($P73-$Q73)/$P73*1000000,""))</f>
        <v/>
      </c>
      <c r="AN73" s="93">
        <f>IF($A73="","",IFERROR(($Q73+$R73)/$T73,""))</f>
        <v/>
      </c>
      <c r="AO73" s="93">
        <f>IF($A73="","",IFERROR($V73/$U73,""))</f>
        <v/>
      </c>
      <c r="AP73" s="92">
        <f>IF($A73="","",IFERROR(MAX(0,$AD73-$P73/$O73),""))</f>
        <v/>
      </c>
      <c r="AQ73" s="92">
        <f>IF($A73="","",IFERROR(($P73-$Q73)/$O73,""))</f>
        <v/>
      </c>
      <c r="AR73" s="94">
        <f>IF($A73="","",IF($F73="","Temps d'ouverture manquant",IF($O73="","Cadence produit inconnue",IF($G73&gt;$F73,"Arrêts planifiés &gt; temps d'ouverture",IF($AC73&gt;$AB73,"Arrêts subis &gt; temps requis",IF($P73&lt;&gt;$Q73+$R73+$S73,"Produite ≠ conforme + retouchée + rebutée",IF($Q73&gt;$P73,"Conforme &gt; produite",IF($V73&gt;$U73,"Présents &gt; prévus","OK"))))))))</f>
        <v/>
      </c>
      <c r="AS73" s="95">
        <f>IF($A73="",0,IF(AND(OR(COCKPIT!$H$4="Toutes",$C73=COCKPIT!$H$4),OR(COCKPIT!$K$4="Toutes",$B73=COCKPIT!$K$4)),1,0))</f>
        <v/>
      </c>
    </row>
    <row r="74" ht="15" customHeight="1">
      <c r="A74" s="87" t="n"/>
      <c r="B74" s="88" t="n"/>
      <c r="C74" s="88" t="n"/>
      <c r="D74" s="88" t="n"/>
      <c r="E74" s="88" t="n"/>
      <c r="F74" s="89" t="n"/>
      <c r="G74" s="89" t="n"/>
      <c r="H74" s="89" t="n"/>
      <c r="I74" s="89" t="n"/>
      <c r="J74" s="89" t="n"/>
      <c r="K74" s="89" t="n"/>
      <c r="L74" s="89" t="n"/>
      <c r="M74" s="89" t="n"/>
      <c r="N74" s="89" t="n"/>
      <c r="O74" s="90">
        <f>IF($E74="","",IFERROR(INDEX(PARAMETRES!$O$7:$O$36,MATCH($E74,PARAMETRES!$M$7:$M$36,0)),""))</f>
        <v/>
      </c>
      <c r="P74" s="89" t="n"/>
      <c r="Q74" s="89" t="n"/>
      <c r="R74" s="89" t="n"/>
      <c r="S74" s="89" t="n"/>
      <c r="T74" s="89" t="n"/>
      <c r="U74" s="91" t="n"/>
      <c r="V74" s="91" t="n"/>
      <c r="W74" s="91" t="n"/>
      <c r="X74" s="89" t="n"/>
      <c r="Y74" s="89" t="n"/>
      <c r="Z74" s="88" t="n"/>
      <c r="AA74" s="88" t="n"/>
      <c r="AB74" s="92">
        <f>IF($A74="","",MAX(0,$F74-$G74))</f>
        <v/>
      </c>
      <c r="AC74" s="92">
        <f>IF($A74="","",SUM($H74:$M74))</f>
        <v/>
      </c>
      <c r="AD74" s="92">
        <f>IF($A74="","",MAX(0,$AB74-$AC74))</f>
        <v/>
      </c>
      <c r="AE74" s="92">
        <f>IF($A74="","",IFERROR($Q74/$O74,""))</f>
        <v/>
      </c>
      <c r="AF74" s="93">
        <f>IF($A74="","",IFERROR($AD74/$AB74,""))</f>
        <v/>
      </c>
      <c r="AG74" s="93">
        <f>IF($A74="","",IFERROR(($P74/$O74)/$AD74,""))</f>
        <v/>
      </c>
      <c r="AH74" s="93">
        <f>IF($A74="","",IFERROR($Q74/$P74,""))</f>
        <v/>
      </c>
      <c r="AI74" s="93">
        <f>IF($A74="","",IFERROR($AF74*$AG74*$AH74,""))</f>
        <v/>
      </c>
      <c r="AJ74" s="93">
        <f>IF($A74="","",IFERROR($AE74/$F74,""))</f>
        <v/>
      </c>
      <c r="AK74" s="92">
        <f>IF($A74="","",IFERROR($AD74/$N74,""))</f>
        <v/>
      </c>
      <c r="AL74" s="92">
        <f>IF($A74="","",IFERROR($H74/$N74,""))</f>
        <v/>
      </c>
      <c r="AM74" s="92">
        <f>IF($A74="","",IFERROR(($P74-$Q74)/$P74*1000000,""))</f>
        <v/>
      </c>
      <c r="AN74" s="93">
        <f>IF($A74="","",IFERROR(($Q74+$R74)/$T74,""))</f>
        <v/>
      </c>
      <c r="AO74" s="93">
        <f>IF($A74="","",IFERROR($V74/$U74,""))</f>
        <v/>
      </c>
      <c r="AP74" s="92">
        <f>IF($A74="","",IFERROR(MAX(0,$AD74-$P74/$O74),""))</f>
        <v/>
      </c>
      <c r="AQ74" s="92">
        <f>IF($A74="","",IFERROR(($P74-$Q74)/$O74,""))</f>
        <v/>
      </c>
      <c r="AR74" s="94">
        <f>IF($A74="","",IF($F74="","Temps d'ouverture manquant",IF($O74="","Cadence produit inconnue",IF($G74&gt;$F74,"Arrêts planifiés &gt; temps d'ouverture",IF($AC74&gt;$AB74,"Arrêts subis &gt; temps requis",IF($P74&lt;&gt;$Q74+$R74+$S74,"Produite ≠ conforme + retouchée + rebutée",IF($Q74&gt;$P74,"Conforme &gt; produite",IF($V74&gt;$U74,"Présents &gt; prévus","OK"))))))))</f>
        <v/>
      </c>
      <c r="AS74" s="95">
        <f>IF($A74="",0,IF(AND(OR(COCKPIT!$H$4="Toutes",$C74=COCKPIT!$H$4),OR(COCKPIT!$K$4="Toutes",$B74=COCKPIT!$K$4)),1,0))</f>
        <v/>
      </c>
    </row>
    <row r="75" ht="15" customHeight="1">
      <c r="A75" s="87" t="n"/>
      <c r="B75" s="88" t="n"/>
      <c r="C75" s="88" t="n"/>
      <c r="D75" s="88" t="n"/>
      <c r="E75" s="88" t="n"/>
      <c r="F75" s="89" t="n"/>
      <c r="G75" s="89" t="n"/>
      <c r="H75" s="89" t="n"/>
      <c r="I75" s="89" t="n"/>
      <c r="J75" s="89" t="n"/>
      <c r="K75" s="89" t="n"/>
      <c r="L75" s="89" t="n"/>
      <c r="M75" s="89" t="n"/>
      <c r="N75" s="89" t="n"/>
      <c r="O75" s="90">
        <f>IF($E75="","",IFERROR(INDEX(PARAMETRES!$O$7:$O$36,MATCH($E75,PARAMETRES!$M$7:$M$36,0)),""))</f>
        <v/>
      </c>
      <c r="P75" s="89" t="n"/>
      <c r="Q75" s="89" t="n"/>
      <c r="R75" s="89" t="n"/>
      <c r="S75" s="89" t="n"/>
      <c r="T75" s="89" t="n"/>
      <c r="U75" s="91" t="n"/>
      <c r="V75" s="91" t="n"/>
      <c r="W75" s="91" t="n"/>
      <c r="X75" s="89" t="n"/>
      <c r="Y75" s="89" t="n"/>
      <c r="Z75" s="88" t="n"/>
      <c r="AA75" s="88" t="n"/>
      <c r="AB75" s="92">
        <f>IF($A75="","",MAX(0,$F75-$G75))</f>
        <v/>
      </c>
      <c r="AC75" s="92">
        <f>IF($A75="","",SUM($H75:$M75))</f>
        <v/>
      </c>
      <c r="AD75" s="92">
        <f>IF($A75="","",MAX(0,$AB75-$AC75))</f>
        <v/>
      </c>
      <c r="AE75" s="92">
        <f>IF($A75="","",IFERROR($Q75/$O75,""))</f>
        <v/>
      </c>
      <c r="AF75" s="93">
        <f>IF($A75="","",IFERROR($AD75/$AB75,""))</f>
        <v/>
      </c>
      <c r="AG75" s="93">
        <f>IF($A75="","",IFERROR(($P75/$O75)/$AD75,""))</f>
        <v/>
      </c>
      <c r="AH75" s="93">
        <f>IF($A75="","",IFERROR($Q75/$P75,""))</f>
        <v/>
      </c>
      <c r="AI75" s="93">
        <f>IF($A75="","",IFERROR($AF75*$AG75*$AH75,""))</f>
        <v/>
      </c>
      <c r="AJ75" s="93">
        <f>IF($A75="","",IFERROR($AE75/$F75,""))</f>
        <v/>
      </c>
      <c r="AK75" s="92">
        <f>IF($A75="","",IFERROR($AD75/$N75,""))</f>
        <v/>
      </c>
      <c r="AL75" s="92">
        <f>IF($A75="","",IFERROR($H75/$N75,""))</f>
        <v/>
      </c>
      <c r="AM75" s="92">
        <f>IF($A75="","",IFERROR(($P75-$Q75)/$P75*1000000,""))</f>
        <v/>
      </c>
      <c r="AN75" s="93">
        <f>IF($A75="","",IFERROR(($Q75+$R75)/$T75,""))</f>
        <v/>
      </c>
      <c r="AO75" s="93">
        <f>IF($A75="","",IFERROR($V75/$U75,""))</f>
        <v/>
      </c>
      <c r="AP75" s="92">
        <f>IF($A75="","",IFERROR(MAX(0,$AD75-$P75/$O75),""))</f>
        <v/>
      </c>
      <c r="AQ75" s="92">
        <f>IF($A75="","",IFERROR(($P75-$Q75)/$O75,""))</f>
        <v/>
      </c>
      <c r="AR75" s="94">
        <f>IF($A75="","",IF($F75="","Temps d'ouverture manquant",IF($O75="","Cadence produit inconnue",IF($G75&gt;$F75,"Arrêts planifiés &gt; temps d'ouverture",IF($AC75&gt;$AB75,"Arrêts subis &gt; temps requis",IF($P75&lt;&gt;$Q75+$R75+$S75,"Produite ≠ conforme + retouchée + rebutée",IF($Q75&gt;$P75,"Conforme &gt; produite",IF($V75&gt;$U75,"Présents &gt; prévus","OK"))))))))</f>
        <v/>
      </c>
      <c r="AS75" s="95">
        <f>IF($A75="",0,IF(AND(OR(COCKPIT!$H$4="Toutes",$C75=COCKPIT!$H$4),OR(COCKPIT!$K$4="Toutes",$B75=COCKPIT!$K$4)),1,0))</f>
        <v/>
      </c>
    </row>
    <row r="76" ht="15" customHeight="1">
      <c r="A76" s="87" t="n"/>
      <c r="B76" s="88" t="n"/>
      <c r="C76" s="88" t="n"/>
      <c r="D76" s="88" t="n"/>
      <c r="E76" s="88" t="n"/>
      <c r="F76" s="89" t="n"/>
      <c r="G76" s="89" t="n"/>
      <c r="H76" s="89" t="n"/>
      <c r="I76" s="89" t="n"/>
      <c r="J76" s="89" t="n"/>
      <c r="K76" s="89" t="n"/>
      <c r="L76" s="89" t="n"/>
      <c r="M76" s="89" t="n"/>
      <c r="N76" s="89" t="n"/>
      <c r="O76" s="90">
        <f>IF($E76="","",IFERROR(INDEX(PARAMETRES!$O$7:$O$36,MATCH($E76,PARAMETRES!$M$7:$M$36,0)),""))</f>
        <v/>
      </c>
      <c r="P76" s="89" t="n"/>
      <c r="Q76" s="89" t="n"/>
      <c r="R76" s="89" t="n"/>
      <c r="S76" s="89" t="n"/>
      <c r="T76" s="89" t="n"/>
      <c r="U76" s="91" t="n"/>
      <c r="V76" s="91" t="n"/>
      <c r="W76" s="91" t="n"/>
      <c r="X76" s="89" t="n"/>
      <c r="Y76" s="89" t="n"/>
      <c r="Z76" s="88" t="n"/>
      <c r="AA76" s="88" t="n"/>
      <c r="AB76" s="92">
        <f>IF($A76="","",MAX(0,$F76-$G76))</f>
        <v/>
      </c>
      <c r="AC76" s="92">
        <f>IF($A76="","",SUM($H76:$M76))</f>
        <v/>
      </c>
      <c r="AD76" s="92">
        <f>IF($A76="","",MAX(0,$AB76-$AC76))</f>
        <v/>
      </c>
      <c r="AE76" s="92">
        <f>IF($A76="","",IFERROR($Q76/$O76,""))</f>
        <v/>
      </c>
      <c r="AF76" s="93">
        <f>IF($A76="","",IFERROR($AD76/$AB76,""))</f>
        <v/>
      </c>
      <c r="AG76" s="93">
        <f>IF($A76="","",IFERROR(($P76/$O76)/$AD76,""))</f>
        <v/>
      </c>
      <c r="AH76" s="93">
        <f>IF($A76="","",IFERROR($Q76/$P76,""))</f>
        <v/>
      </c>
      <c r="AI76" s="93">
        <f>IF($A76="","",IFERROR($AF76*$AG76*$AH76,""))</f>
        <v/>
      </c>
      <c r="AJ76" s="93">
        <f>IF($A76="","",IFERROR($AE76/$F76,""))</f>
        <v/>
      </c>
      <c r="AK76" s="92">
        <f>IF($A76="","",IFERROR($AD76/$N76,""))</f>
        <v/>
      </c>
      <c r="AL76" s="92">
        <f>IF($A76="","",IFERROR($H76/$N76,""))</f>
        <v/>
      </c>
      <c r="AM76" s="92">
        <f>IF($A76="","",IFERROR(($P76-$Q76)/$P76*1000000,""))</f>
        <v/>
      </c>
      <c r="AN76" s="93">
        <f>IF($A76="","",IFERROR(($Q76+$R76)/$T76,""))</f>
        <v/>
      </c>
      <c r="AO76" s="93">
        <f>IF($A76="","",IFERROR($V76/$U76,""))</f>
        <v/>
      </c>
      <c r="AP76" s="92">
        <f>IF($A76="","",IFERROR(MAX(0,$AD76-$P76/$O76),""))</f>
        <v/>
      </c>
      <c r="AQ76" s="92">
        <f>IF($A76="","",IFERROR(($P76-$Q76)/$O76,""))</f>
        <v/>
      </c>
      <c r="AR76" s="94">
        <f>IF($A76="","",IF($F76="","Temps d'ouverture manquant",IF($O76="","Cadence produit inconnue",IF($G76&gt;$F76,"Arrêts planifiés &gt; temps d'ouverture",IF($AC76&gt;$AB76,"Arrêts subis &gt; temps requis",IF($P76&lt;&gt;$Q76+$R76+$S76,"Produite ≠ conforme + retouchée + rebutée",IF($Q76&gt;$P76,"Conforme &gt; produite",IF($V76&gt;$U76,"Présents &gt; prévus","OK"))))))))</f>
        <v/>
      </c>
      <c r="AS76" s="95">
        <f>IF($A76="",0,IF(AND(OR(COCKPIT!$H$4="Toutes",$C76=COCKPIT!$H$4),OR(COCKPIT!$K$4="Toutes",$B76=COCKPIT!$K$4)),1,0))</f>
        <v/>
      </c>
    </row>
    <row r="77" ht="15" customHeight="1">
      <c r="A77" s="87" t="n"/>
      <c r="B77" s="88" t="n"/>
      <c r="C77" s="88" t="n"/>
      <c r="D77" s="88" t="n"/>
      <c r="E77" s="88" t="n"/>
      <c r="F77" s="89" t="n"/>
      <c r="G77" s="89" t="n"/>
      <c r="H77" s="89" t="n"/>
      <c r="I77" s="89" t="n"/>
      <c r="J77" s="89" t="n"/>
      <c r="K77" s="89" t="n"/>
      <c r="L77" s="89" t="n"/>
      <c r="M77" s="89" t="n"/>
      <c r="N77" s="89" t="n"/>
      <c r="O77" s="90">
        <f>IF($E77="","",IFERROR(INDEX(PARAMETRES!$O$7:$O$36,MATCH($E77,PARAMETRES!$M$7:$M$36,0)),""))</f>
        <v/>
      </c>
      <c r="P77" s="89" t="n"/>
      <c r="Q77" s="89" t="n"/>
      <c r="R77" s="89" t="n"/>
      <c r="S77" s="89" t="n"/>
      <c r="T77" s="89" t="n"/>
      <c r="U77" s="91" t="n"/>
      <c r="V77" s="91" t="n"/>
      <c r="W77" s="91" t="n"/>
      <c r="X77" s="89" t="n"/>
      <c r="Y77" s="89" t="n"/>
      <c r="Z77" s="88" t="n"/>
      <c r="AA77" s="88" t="n"/>
      <c r="AB77" s="92">
        <f>IF($A77="","",MAX(0,$F77-$G77))</f>
        <v/>
      </c>
      <c r="AC77" s="92">
        <f>IF($A77="","",SUM($H77:$M77))</f>
        <v/>
      </c>
      <c r="AD77" s="92">
        <f>IF($A77="","",MAX(0,$AB77-$AC77))</f>
        <v/>
      </c>
      <c r="AE77" s="92">
        <f>IF($A77="","",IFERROR($Q77/$O77,""))</f>
        <v/>
      </c>
      <c r="AF77" s="93">
        <f>IF($A77="","",IFERROR($AD77/$AB77,""))</f>
        <v/>
      </c>
      <c r="AG77" s="93">
        <f>IF($A77="","",IFERROR(($P77/$O77)/$AD77,""))</f>
        <v/>
      </c>
      <c r="AH77" s="93">
        <f>IF($A77="","",IFERROR($Q77/$P77,""))</f>
        <v/>
      </c>
      <c r="AI77" s="93">
        <f>IF($A77="","",IFERROR($AF77*$AG77*$AH77,""))</f>
        <v/>
      </c>
      <c r="AJ77" s="93">
        <f>IF($A77="","",IFERROR($AE77/$F77,""))</f>
        <v/>
      </c>
      <c r="AK77" s="92">
        <f>IF($A77="","",IFERROR($AD77/$N77,""))</f>
        <v/>
      </c>
      <c r="AL77" s="92">
        <f>IF($A77="","",IFERROR($H77/$N77,""))</f>
        <v/>
      </c>
      <c r="AM77" s="92">
        <f>IF($A77="","",IFERROR(($P77-$Q77)/$P77*1000000,""))</f>
        <v/>
      </c>
      <c r="AN77" s="93">
        <f>IF($A77="","",IFERROR(($Q77+$R77)/$T77,""))</f>
        <v/>
      </c>
      <c r="AO77" s="93">
        <f>IF($A77="","",IFERROR($V77/$U77,""))</f>
        <v/>
      </c>
      <c r="AP77" s="92">
        <f>IF($A77="","",IFERROR(MAX(0,$AD77-$P77/$O77),""))</f>
        <v/>
      </c>
      <c r="AQ77" s="92">
        <f>IF($A77="","",IFERROR(($P77-$Q77)/$O77,""))</f>
        <v/>
      </c>
      <c r="AR77" s="94">
        <f>IF($A77="","",IF($F77="","Temps d'ouverture manquant",IF($O77="","Cadence produit inconnue",IF($G77&gt;$F77,"Arrêts planifiés &gt; temps d'ouverture",IF($AC77&gt;$AB77,"Arrêts subis &gt; temps requis",IF($P77&lt;&gt;$Q77+$R77+$S77,"Produite ≠ conforme + retouchée + rebutée",IF($Q77&gt;$P77,"Conforme &gt; produite",IF($V77&gt;$U77,"Présents &gt; prévus","OK"))))))))</f>
        <v/>
      </c>
      <c r="AS77" s="95">
        <f>IF($A77="",0,IF(AND(OR(COCKPIT!$H$4="Toutes",$C77=COCKPIT!$H$4),OR(COCKPIT!$K$4="Toutes",$B77=COCKPIT!$K$4)),1,0))</f>
        <v/>
      </c>
    </row>
    <row r="78" ht="15" customHeight="1">
      <c r="A78" s="87" t="n"/>
      <c r="B78" s="88" t="n"/>
      <c r="C78" s="88" t="n"/>
      <c r="D78" s="88" t="n"/>
      <c r="E78" s="88" t="n"/>
      <c r="F78" s="89" t="n"/>
      <c r="G78" s="89" t="n"/>
      <c r="H78" s="89" t="n"/>
      <c r="I78" s="89" t="n"/>
      <c r="J78" s="89" t="n"/>
      <c r="K78" s="89" t="n"/>
      <c r="L78" s="89" t="n"/>
      <c r="M78" s="89" t="n"/>
      <c r="N78" s="89" t="n"/>
      <c r="O78" s="90">
        <f>IF($E78="","",IFERROR(INDEX(PARAMETRES!$O$7:$O$36,MATCH($E78,PARAMETRES!$M$7:$M$36,0)),""))</f>
        <v/>
      </c>
      <c r="P78" s="89" t="n"/>
      <c r="Q78" s="89" t="n"/>
      <c r="R78" s="89" t="n"/>
      <c r="S78" s="89" t="n"/>
      <c r="T78" s="89" t="n"/>
      <c r="U78" s="91" t="n"/>
      <c r="V78" s="91" t="n"/>
      <c r="W78" s="91" t="n"/>
      <c r="X78" s="89" t="n"/>
      <c r="Y78" s="89" t="n"/>
      <c r="Z78" s="88" t="n"/>
      <c r="AA78" s="88" t="n"/>
      <c r="AB78" s="92">
        <f>IF($A78="","",MAX(0,$F78-$G78))</f>
        <v/>
      </c>
      <c r="AC78" s="92">
        <f>IF($A78="","",SUM($H78:$M78))</f>
        <v/>
      </c>
      <c r="AD78" s="92">
        <f>IF($A78="","",MAX(0,$AB78-$AC78))</f>
        <v/>
      </c>
      <c r="AE78" s="92">
        <f>IF($A78="","",IFERROR($Q78/$O78,""))</f>
        <v/>
      </c>
      <c r="AF78" s="93">
        <f>IF($A78="","",IFERROR($AD78/$AB78,""))</f>
        <v/>
      </c>
      <c r="AG78" s="93">
        <f>IF($A78="","",IFERROR(($P78/$O78)/$AD78,""))</f>
        <v/>
      </c>
      <c r="AH78" s="93">
        <f>IF($A78="","",IFERROR($Q78/$P78,""))</f>
        <v/>
      </c>
      <c r="AI78" s="93">
        <f>IF($A78="","",IFERROR($AF78*$AG78*$AH78,""))</f>
        <v/>
      </c>
      <c r="AJ78" s="93">
        <f>IF($A78="","",IFERROR($AE78/$F78,""))</f>
        <v/>
      </c>
      <c r="AK78" s="92">
        <f>IF($A78="","",IFERROR($AD78/$N78,""))</f>
        <v/>
      </c>
      <c r="AL78" s="92">
        <f>IF($A78="","",IFERROR($H78/$N78,""))</f>
        <v/>
      </c>
      <c r="AM78" s="92">
        <f>IF($A78="","",IFERROR(($P78-$Q78)/$P78*1000000,""))</f>
        <v/>
      </c>
      <c r="AN78" s="93">
        <f>IF($A78="","",IFERROR(($Q78+$R78)/$T78,""))</f>
        <v/>
      </c>
      <c r="AO78" s="93">
        <f>IF($A78="","",IFERROR($V78/$U78,""))</f>
        <v/>
      </c>
      <c r="AP78" s="92">
        <f>IF($A78="","",IFERROR(MAX(0,$AD78-$P78/$O78),""))</f>
        <v/>
      </c>
      <c r="AQ78" s="92">
        <f>IF($A78="","",IFERROR(($P78-$Q78)/$O78,""))</f>
        <v/>
      </c>
      <c r="AR78" s="94">
        <f>IF($A78="","",IF($F78="","Temps d'ouverture manquant",IF($O78="","Cadence produit inconnue",IF($G78&gt;$F78,"Arrêts planifiés &gt; temps d'ouverture",IF($AC78&gt;$AB78,"Arrêts subis &gt; temps requis",IF($P78&lt;&gt;$Q78+$R78+$S78,"Produite ≠ conforme + retouchée + rebutée",IF($Q78&gt;$P78,"Conforme &gt; produite",IF($V78&gt;$U78,"Présents &gt; prévus","OK"))))))))</f>
        <v/>
      </c>
      <c r="AS78" s="95">
        <f>IF($A78="",0,IF(AND(OR(COCKPIT!$H$4="Toutes",$C78=COCKPIT!$H$4),OR(COCKPIT!$K$4="Toutes",$B78=COCKPIT!$K$4)),1,0))</f>
        <v/>
      </c>
    </row>
    <row r="79" ht="15" customHeight="1">
      <c r="A79" s="87" t="n"/>
      <c r="B79" s="88" t="n"/>
      <c r="C79" s="88" t="n"/>
      <c r="D79" s="88" t="n"/>
      <c r="E79" s="88" t="n"/>
      <c r="F79" s="89" t="n"/>
      <c r="G79" s="89" t="n"/>
      <c r="H79" s="89" t="n"/>
      <c r="I79" s="89" t="n"/>
      <c r="J79" s="89" t="n"/>
      <c r="K79" s="89" t="n"/>
      <c r="L79" s="89" t="n"/>
      <c r="M79" s="89" t="n"/>
      <c r="N79" s="89" t="n"/>
      <c r="O79" s="90">
        <f>IF($E79="","",IFERROR(INDEX(PARAMETRES!$O$7:$O$36,MATCH($E79,PARAMETRES!$M$7:$M$36,0)),""))</f>
        <v/>
      </c>
      <c r="P79" s="89" t="n"/>
      <c r="Q79" s="89" t="n"/>
      <c r="R79" s="89" t="n"/>
      <c r="S79" s="89" t="n"/>
      <c r="T79" s="89" t="n"/>
      <c r="U79" s="91" t="n"/>
      <c r="V79" s="91" t="n"/>
      <c r="W79" s="91" t="n"/>
      <c r="X79" s="89" t="n"/>
      <c r="Y79" s="89" t="n"/>
      <c r="Z79" s="88" t="n"/>
      <c r="AA79" s="88" t="n"/>
      <c r="AB79" s="92">
        <f>IF($A79="","",MAX(0,$F79-$G79))</f>
        <v/>
      </c>
      <c r="AC79" s="92">
        <f>IF($A79="","",SUM($H79:$M79))</f>
        <v/>
      </c>
      <c r="AD79" s="92">
        <f>IF($A79="","",MAX(0,$AB79-$AC79))</f>
        <v/>
      </c>
      <c r="AE79" s="92">
        <f>IF($A79="","",IFERROR($Q79/$O79,""))</f>
        <v/>
      </c>
      <c r="AF79" s="93">
        <f>IF($A79="","",IFERROR($AD79/$AB79,""))</f>
        <v/>
      </c>
      <c r="AG79" s="93">
        <f>IF($A79="","",IFERROR(($P79/$O79)/$AD79,""))</f>
        <v/>
      </c>
      <c r="AH79" s="93">
        <f>IF($A79="","",IFERROR($Q79/$P79,""))</f>
        <v/>
      </c>
      <c r="AI79" s="93">
        <f>IF($A79="","",IFERROR($AF79*$AG79*$AH79,""))</f>
        <v/>
      </c>
      <c r="AJ79" s="93">
        <f>IF($A79="","",IFERROR($AE79/$F79,""))</f>
        <v/>
      </c>
      <c r="AK79" s="92">
        <f>IF($A79="","",IFERROR($AD79/$N79,""))</f>
        <v/>
      </c>
      <c r="AL79" s="92">
        <f>IF($A79="","",IFERROR($H79/$N79,""))</f>
        <v/>
      </c>
      <c r="AM79" s="92">
        <f>IF($A79="","",IFERROR(($P79-$Q79)/$P79*1000000,""))</f>
        <v/>
      </c>
      <c r="AN79" s="93">
        <f>IF($A79="","",IFERROR(($Q79+$R79)/$T79,""))</f>
        <v/>
      </c>
      <c r="AO79" s="93">
        <f>IF($A79="","",IFERROR($V79/$U79,""))</f>
        <v/>
      </c>
      <c r="AP79" s="92">
        <f>IF($A79="","",IFERROR(MAX(0,$AD79-$P79/$O79),""))</f>
        <v/>
      </c>
      <c r="AQ79" s="92">
        <f>IF($A79="","",IFERROR(($P79-$Q79)/$O79,""))</f>
        <v/>
      </c>
      <c r="AR79" s="94">
        <f>IF($A79="","",IF($F79="","Temps d'ouverture manquant",IF($O79="","Cadence produit inconnue",IF($G79&gt;$F79,"Arrêts planifiés &gt; temps d'ouverture",IF($AC79&gt;$AB79,"Arrêts subis &gt; temps requis",IF($P79&lt;&gt;$Q79+$R79+$S79,"Produite ≠ conforme + retouchée + rebutée",IF($Q79&gt;$P79,"Conforme &gt; produite",IF($V79&gt;$U79,"Présents &gt; prévus","OK"))))))))</f>
        <v/>
      </c>
      <c r="AS79" s="95">
        <f>IF($A79="",0,IF(AND(OR(COCKPIT!$H$4="Toutes",$C79=COCKPIT!$H$4),OR(COCKPIT!$K$4="Toutes",$B79=COCKPIT!$K$4)),1,0))</f>
        <v/>
      </c>
    </row>
    <row r="80" ht="15" customHeight="1">
      <c r="A80" s="87" t="n"/>
      <c r="B80" s="88" t="n"/>
      <c r="C80" s="88" t="n"/>
      <c r="D80" s="88" t="n"/>
      <c r="E80" s="88" t="n"/>
      <c r="F80" s="89" t="n"/>
      <c r="G80" s="89" t="n"/>
      <c r="H80" s="89" t="n"/>
      <c r="I80" s="89" t="n"/>
      <c r="J80" s="89" t="n"/>
      <c r="K80" s="89" t="n"/>
      <c r="L80" s="89" t="n"/>
      <c r="M80" s="89" t="n"/>
      <c r="N80" s="89" t="n"/>
      <c r="O80" s="90">
        <f>IF($E80="","",IFERROR(INDEX(PARAMETRES!$O$7:$O$36,MATCH($E80,PARAMETRES!$M$7:$M$36,0)),""))</f>
        <v/>
      </c>
      <c r="P80" s="89" t="n"/>
      <c r="Q80" s="89" t="n"/>
      <c r="R80" s="89" t="n"/>
      <c r="S80" s="89" t="n"/>
      <c r="T80" s="89" t="n"/>
      <c r="U80" s="91" t="n"/>
      <c r="V80" s="91" t="n"/>
      <c r="W80" s="91" t="n"/>
      <c r="X80" s="89" t="n"/>
      <c r="Y80" s="89" t="n"/>
      <c r="Z80" s="88" t="n"/>
      <c r="AA80" s="88" t="n"/>
      <c r="AB80" s="92">
        <f>IF($A80="","",MAX(0,$F80-$G80))</f>
        <v/>
      </c>
      <c r="AC80" s="92">
        <f>IF($A80="","",SUM($H80:$M80))</f>
        <v/>
      </c>
      <c r="AD80" s="92">
        <f>IF($A80="","",MAX(0,$AB80-$AC80))</f>
        <v/>
      </c>
      <c r="AE80" s="92">
        <f>IF($A80="","",IFERROR($Q80/$O80,""))</f>
        <v/>
      </c>
      <c r="AF80" s="93">
        <f>IF($A80="","",IFERROR($AD80/$AB80,""))</f>
        <v/>
      </c>
      <c r="AG80" s="93">
        <f>IF($A80="","",IFERROR(($P80/$O80)/$AD80,""))</f>
        <v/>
      </c>
      <c r="AH80" s="93">
        <f>IF($A80="","",IFERROR($Q80/$P80,""))</f>
        <v/>
      </c>
      <c r="AI80" s="93">
        <f>IF($A80="","",IFERROR($AF80*$AG80*$AH80,""))</f>
        <v/>
      </c>
      <c r="AJ80" s="93">
        <f>IF($A80="","",IFERROR($AE80/$F80,""))</f>
        <v/>
      </c>
      <c r="AK80" s="92">
        <f>IF($A80="","",IFERROR($AD80/$N80,""))</f>
        <v/>
      </c>
      <c r="AL80" s="92">
        <f>IF($A80="","",IFERROR($H80/$N80,""))</f>
        <v/>
      </c>
      <c r="AM80" s="92">
        <f>IF($A80="","",IFERROR(($P80-$Q80)/$P80*1000000,""))</f>
        <v/>
      </c>
      <c r="AN80" s="93">
        <f>IF($A80="","",IFERROR(($Q80+$R80)/$T80,""))</f>
        <v/>
      </c>
      <c r="AO80" s="93">
        <f>IF($A80="","",IFERROR($V80/$U80,""))</f>
        <v/>
      </c>
      <c r="AP80" s="92">
        <f>IF($A80="","",IFERROR(MAX(0,$AD80-$P80/$O80),""))</f>
        <v/>
      </c>
      <c r="AQ80" s="92">
        <f>IF($A80="","",IFERROR(($P80-$Q80)/$O80,""))</f>
        <v/>
      </c>
      <c r="AR80" s="94">
        <f>IF($A80="","",IF($F80="","Temps d'ouverture manquant",IF($O80="","Cadence produit inconnue",IF($G80&gt;$F80,"Arrêts planifiés &gt; temps d'ouverture",IF($AC80&gt;$AB80,"Arrêts subis &gt; temps requis",IF($P80&lt;&gt;$Q80+$R80+$S80,"Produite ≠ conforme + retouchée + rebutée",IF($Q80&gt;$P80,"Conforme &gt; produite",IF($V80&gt;$U80,"Présents &gt; prévus","OK"))))))))</f>
        <v/>
      </c>
      <c r="AS80" s="95">
        <f>IF($A80="",0,IF(AND(OR(COCKPIT!$H$4="Toutes",$C80=COCKPIT!$H$4),OR(COCKPIT!$K$4="Toutes",$B80=COCKPIT!$K$4)),1,0))</f>
        <v/>
      </c>
    </row>
    <row r="81" ht="15" customHeight="1">
      <c r="A81" s="87" t="n"/>
      <c r="B81" s="88" t="n"/>
      <c r="C81" s="88" t="n"/>
      <c r="D81" s="88" t="n"/>
      <c r="E81" s="88" t="n"/>
      <c r="F81" s="89" t="n"/>
      <c r="G81" s="89" t="n"/>
      <c r="H81" s="89" t="n"/>
      <c r="I81" s="89" t="n"/>
      <c r="J81" s="89" t="n"/>
      <c r="K81" s="89" t="n"/>
      <c r="L81" s="89" t="n"/>
      <c r="M81" s="89" t="n"/>
      <c r="N81" s="89" t="n"/>
      <c r="O81" s="90">
        <f>IF($E81="","",IFERROR(INDEX(PARAMETRES!$O$7:$O$36,MATCH($E81,PARAMETRES!$M$7:$M$36,0)),""))</f>
        <v/>
      </c>
      <c r="P81" s="89" t="n"/>
      <c r="Q81" s="89" t="n"/>
      <c r="R81" s="89" t="n"/>
      <c r="S81" s="89" t="n"/>
      <c r="T81" s="89" t="n"/>
      <c r="U81" s="91" t="n"/>
      <c r="V81" s="91" t="n"/>
      <c r="W81" s="91" t="n"/>
      <c r="X81" s="89" t="n"/>
      <c r="Y81" s="89" t="n"/>
      <c r="Z81" s="88" t="n"/>
      <c r="AA81" s="88" t="n"/>
      <c r="AB81" s="92">
        <f>IF($A81="","",MAX(0,$F81-$G81))</f>
        <v/>
      </c>
      <c r="AC81" s="92">
        <f>IF($A81="","",SUM($H81:$M81))</f>
        <v/>
      </c>
      <c r="AD81" s="92">
        <f>IF($A81="","",MAX(0,$AB81-$AC81))</f>
        <v/>
      </c>
      <c r="AE81" s="92">
        <f>IF($A81="","",IFERROR($Q81/$O81,""))</f>
        <v/>
      </c>
      <c r="AF81" s="93">
        <f>IF($A81="","",IFERROR($AD81/$AB81,""))</f>
        <v/>
      </c>
      <c r="AG81" s="93">
        <f>IF($A81="","",IFERROR(($P81/$O81)/$AD81,""))</f>
        <v/>
      </c>
      <c r="AH81" s="93">
        <f>IF($A81="","",IFERROR($Q81/$P81,""))</f>
        <v/>
      </c>
      <c r="AI81" s="93">
        <f>IF($A81="","",IFERROR($AF81*$AG81*$AH81,""))</f>
        <v/>
      </c>
      <c r="AJ81" s="93">
        <f>IF($A81="","",IFERROR($AE81/$F81,""))</f>
        <v/>
      </c>
      <c r="AK81" s="92">
        <f>IF($A81="","",IFERROR($AD81/$N81,""))</f>
        <v/>
      </c>
      <c r="AL81" s="92">
        <f>IF($A81="","",IFERROR($H81/$N81,""))</f>
        <v/>
      </c>
      <c r="AM81" s="92">
        <f>IF($A81="","",IFERROR(($P81-$Q81)/$P81*1000000,""))</f>
        <v/>
      </c>
      <c r="AN81" s="93">
        <f>IF($A81="","",IFERROR(($Q81+$R81)/$T81,""))</f>
        <v/>
      </c>
      <c r="AO81" s="93">
        <f>IF($A81="","",IFERROR($V81/$U81,""))</f>
        <v/>
      </c>
      <c r="AP81" s="92">
        <f>IF($A81="","",IFERROR(MAX(0,$AD81-$P81/$O81),""))</f>
        <v/>
      </c>
      <c r="AQ81" s="92">
        <f>IF($A81="","",IFERROR(($P81-$Q81)/$O81,""))</f>
        <v/>
      </c>
      <c r="AR81" s="94">
        <f>IF($A81="","",IF($F81="","Temps d'ouverture manquant",IF($O81="","Cadence produit inconnue",IF($G81&gt;$F81,"Arrêts planifiés &gt; temps d'ouverture",IF($AC81&gt;$AB81,"Arrêts subis &gt; temps requis",IF($P81&lt;&gt;$Q81+$R81+$S81,"Produite ≠ conforme + retouchée + rebutée",IF($Q81&gt;$P81,"Conforme &gt; produite",IF($V81&gt;$U81,"Présents &gt; prévus","OK"))))))))</f>
        <v/>
      </c>
      <c r="AS81" s="95">
        <f>IF($A81="",0,IF(AND(OR(COCKPIT!$H$4="Toutes",$C81=COCKPIT!$H$4),OR(COCKPIT!$K$4="Toutes",$B81=COCKPIT!$K$4)),1,0))</f>
        <v/>
      </c>
    </row>
    <row r="82" ht="15" customHeight="1">
      <c r="A82" s="87" t="n"/>
      <c r="B82" s="88" t="n"/>
      <c r="C82" s="88" t="n"/>
      <c r="D82" s="88" t="n"/>
      <c r="E82" s="88" t="n"/>
      <c r="F82" s="89" t="n"/>
      <c r="G82" s="89" t="n"/>
      <c r="H82" s="89" t="n"/>
      <c r="I82" s="89" t="n"/>
      <c r="J82" s="89" t="n"/>
      <c r="K82" s="89" t="n"/>
      <c r="L82" s="89" t="n"/>
      <c r="M82" s="89" t="n"/>
      <c r="N82" s="89" t="n"/>
      <c r="O82" s="90">
        <f>IF($E82="","",IFERROR(INDEX(PARAMETRES!$O$7:$O$36,MATCH($E82,PARAMETRES!$M$7:$M$36,0)),""))</f>
        <v/>
      </c>
      <c r="P82" s="89" t="n"/>
      <c r="Q82" s="89" t="n"/>
      <c r="R82" s="89" t="n"/>
      <c r="S82" s="89" t="n"/>
      <c r="T82" s="89" t="n"/>
      <c r="U82" s="91" t="n"/>
      <c r="V82" s="91" t="n"/>
      <c r="W82" s="91" t="n"/>
      <c r="X82" s="89" t="n"/>
      <c r="Y82" s="89" t="n"/>
      <c r="Z82" s="88" t="n"/>
      <c r="AA82" s="88" t="n"/>
      <c r="AB82" s="92">
        <f>IF($A82="","",MAX(0,$F82-$G82))</f>
        <v/>
      </c>
      <c r="AC82" s="92">
        <f>IF($A82="","",SUM($H82:$M82))</f>
        <v/>
      </c>
      <c r="AD82" s="92">
        <f>IF($A82="","",MAX(0,$AB82-$AC82))</f>
        <v/>
      </c>
      <c r="AE82" s="92">
        <f>IF($A82="","",IFERROR($Q82/$O82,""))</f>
        <v/>
      </c>
      <c r="AF82" s="93">
        <f>IF($A82="","",IFERROR($AD82/$AB82,""))</f>
        <v/>
      </c>
      <c r="AG82" s="93">
        <f>IF($A82="","",IFERROR(($P82/$O82)/$AD82,""))</f>
        <v/>
      </c>
      <c r="AH82" s="93">
        <f>IF($A82="","",IFERROR($Q82/$P82,""))</f>
        <v/>
      </c>
      <c r="AI82" s="93">
        <f>IF($A82="","",IFERROR($AF82*$AG82*$AH82,""))</f>
        <v/>
      </c>
      <c r="AJ82" s="93">
        <f>IF($A82="","",IFERROR($AE82/$F82,""))</f>
        <v/>
      </c>
      <c r="AK82" s="92">
        <f>IF($A82="","",IFERROR($AD82/$N82,""))</f>
        <v/>
      </c>
      <c r="AL82" s="92">
        <f>IF($A82="","",IFERROR($H82/$N82,""))</f>
        <v/>
      </c>
      <c r="AM82" s="92">
        <f>IF($A82="","",IFERROR(($P82-$Q82)/$P82*1000000,""))</f>
        <v/>
      </c>
      <c r="AN82" s="93">
        <f>IF($A82="","",IFERROR(($Q82+$R82)/$T82,""))</f>
        <v/>
      </c>
      <c r="AO82" s="93">
        <f>IF($A82="","",IFERROR($V82/$U82,""))</f>
        <v/>
      </c>
      <c r="AP82" s="92">
        <f>IF($A82="","",IFERROR(MAX(0,$AD82-$P82/$O82),""))</f>
        <v/>
      </c>
      <c r="AQ82" s="92">
        <f>IF($A82="","",IFERROR(($P82-$Q82)/$O82,""))</f>
        <v/>
      </c>
      <c r="AR82" s="94">
        <f>IF($A82="","",IF($F82="","Temps d'ouverture manquant",IF($O82="","Cadence produit inconnue",IF($G82&gt;$F82,"Arrêts planifiés &gt; temps d'ouverture",IF($AC82&gt;$AB82,"Arrêts subis &gt; temps requis",IF($P82&lt;&gt;$Q82+$R82+$S82,"Produite ≠ conforme + retouchée + rebutée",IF($Q82&gt;$P82,"Conforme &gt; produite",IF($V82&gt;$U82,"Présents &gt; prévus","OK"))))))))</f>
        <v/>
      </c>
      <c r="AS82" s="95">
        <f>IF($A82="",0,IF(AND(OR(COCKPIT!$H$4="Toutes",$C82=COCKPIT!$H$4),OR(COCKPIT!$K$4="Toutes",$B82=COCKPIT!$K$4)),1,0))</f>
        <v/>
      </c>
    </row>
    <row r="83" ht="15" customHeight="1">
      <c r="A83" s="87" t="n"/>
      <c r="B83" s="88" t="n"/>
      <c r="C83" s="88" t="n"/>
      <c r="D83" s="88" t="n"/>
      <c r="E83" s="88" t="n"/>
      <c r="F83" s="89" t="n"/>
      <c r="G83" s="89" t="n"/>
      <c r="H83" s="89" t="n"/>
      <c r="I83" s="89" t="n"/>
      <c r="J83" s="89" t="n"/>
      <c r="K83" s="89" t="n"/>
      <c r="L83" s="89" t="n"/>
      <c r="M83" s="89" t="n"/>
      <c r="N83" s="89" t="n"/>
      <c r="O83" s="90">
        <f>IF($E83="","",IFERROR(INDEX(PARAMETRES!$O$7:$O$36,MATCH($E83,PARAMETRES!$M$7:$M$36,0)),""))</f>
        <v/>
      </c>
      <c r="P83" s="89" t="n"/>
      <c r="Q83" s="89" t="n"/>
      <c r="R83" s="89" t="n"/>
      <c r="S83" s="89" t="n"/>
      <c r="T83" s="89" t="n"/>
      <c r="U83" s="91" t="n"/>
      <c r="V83" s="91" t="n"/>
      <c r="W83" s="91" t="n"/>
      <c r="X83" s="89" t="n"/>
      <c r="Y83" s="89" t="n"/>
      <c r="Z83" s="88" t="n"/>
      <c r="AA83" s="88" t="n"/>
      <c r="AB83" s="92">
        <f>IF($A83="","",MAX(0,$F83-$G83))</f>
        <v/>
      </c>
      <c r="AC83" s="92">
        <f>IF($A83="","",SUM($H83:$M83))</f>
        <v/>
      </c>
      <c r="AD83" s="92">
        <f>IF($A83="","",MAX(0,$AB83-$AC83))</f>
        <v/>
      </c>
      <c r="AE83" s="92">
        <f>IF($A83="","",IFERROR($Q83/$O83,""))</f>
        <v/>
      </c>
      <c r="AF83" s="93">
        <f>IF($A83="","",IFERROR($AD83/$AB83,""))</f>
        <v/>
      </c>
      <c r="AG83" s="93">
        <f>IF($A83="","",IFERROR(($P83/$O83)/$AD83,""))</f>
        <v/>
      </c>
      <c r="AH83" s="93">
        <f>IF($A83="","",IFERROR($Q83/$P83,""))</f>
        <v/>
      </c>
      <c r="AI83" s="93">
        <f>IF($A83="","",IFERROR($AF83*$AG83*$AH83,""))</f>
        <v/>
      </c>
      <c r="AJ83" s="93">
        <f>IF($A83="","",IFERROR($AE83/$F83,""))</f>
        <v/>
      </c>
      <c r="AK83" s="92">
        <f>IF($A83="","",IFERROR($AD83/$N83,""))</f>
        <v/>
      </c>
      <c r="AL83" s="92">
        <f>IF($A83="","",IFERROR($H83/$N83,""))</f>
        <v/>
      </c>
      <c r="AM83" s="92">
        <f>IF($A83="","",IFERROR(($P83-$Q83)/$P83*1000000,""))</f>
        <v/>
      </c>
      <c r="AN83" s="93">
        <f>IF($A83="","",IFERROR(($Q83+$R83)/$T83,""))</f>
        <v/>
      </c>
      <c r="AO83" s="93">
        <f>IF($A83="","",IFERROR($V83/$U83,""))</f>
        <v/>
      </c>
      <c r="AP83" s="92">
        <f>IF($A83="","",IFERROR(MAX(0,$AD83-$P83/$O83),""))</f>
        <v/>
      </c>
      <c r="AQ83" s="92">
        <f>IF($A83="","",IFERROR(($P83-$Q83)/$O83,""))</f>
        <v/>
      </c>
      <c r="AR83" s="94">
        <f>IF($A83="","",IF($F83="","Temps d'ouverture manquant",IF($O83="","Cadence produit inconnue",IF($G83&gt;$F83,"Arrêts planifiés &gt; temps d'ouverture",IF($AC83&gt;$AB83,"Arrêts subis &gt; temps requis",IF($P83&lt;&gt;$Q83+$R83+$S83,"Produite ≠ conforme + retouchée + rebutée",IF($Q83&gt;$P83,"Conforme &gt; produite",IF($V83&gt;$U83,"Présents &gt; prévus","OK"))))))))</f>
        <v/>
      </c>
      <c r="AS83" s="95">
        <f>IF($A83="",0,IF(AND(OR(COCKPIT!$H$4="Toutes",$C83=COCKPIT!$H$4),OR(COCKPIT!$K$4="Toutes",$B83=COCKPIT!$K$4)),1,0))</f>
        <v/>
      </c>
    </row>
    <row r="84" ht="15" customHeight="1">
      <c r="A84" s="87" t="n"/>
      <c r="B84" s="88" t="n"/>
      <c r="C84" s="88" t="n"/>
      <c r="D84" s="88" t="n"/>
      <c r="E84" s="88" t="n"/>
      <c r="F84" s="89" t="n"/>
      <c r="G84" s="89" t="n"/>
      <c r="H84" s="89" t="n"/>
      <c r="I84" s="89" t="n"/>
      <c r="J84" s="89" t="n"/>
      <c r="K84" s="89" t="n"/>
      <c r="L84" s="89" t="n"/>
      <c r="M84" s="89" t="n"/>
      <c r="N84" s="89" t="n"/>
      <c r="O84" s="90">
        <f>IF($E84="","",IFERROR(INDEX(PARAMETRES!$O$7:$O$36,MATCH($E84,PARAMETRES!$M$7:$M$36,0)),""))</f>
        <v/>
      </c>
      <c r="P84" s="89" t="n"/>
      <c r="Q84" s="89" t="n"/>
      <c r="R84" s="89" t="n"/>
      <c r="S84" s="89" t="n"/>
      <c r="T84" s="89" t="n"/>
      <c r="U84" s="91" t="n"/>
      <c r="V84" s="91" t="n"/>
      <c r="W84" s="91" t="n"/>
      <c r="X84" s="89" t="n"/>
      <c r="Y84" s="89" t="n"/>
      <c r="Z84" s="88" t="n"/>
      <c r="AA84" s="88" t="n"/>
      <c r="AB84" s="92">
        <f>IF($A84="","",MAX(0,$F84-$G84))</f>
        <v/>
      </c>
      <c r="AC84" s="92">
        <f>IF($A84="","",SUM($H84:$M84))</f>
        <v/>
      </c>
      <c r="AD84" s="92">
        <f>IF($A84="","",MAX(0,$AB84-$AC84))</f>
        <v/>
      </c>
      <c r="AE84" s="92">
        <f>IF($A84="","",IFERROR($Q84/$O84,""))</f>
        <v/>
      </c>
      <c r="AF84" s="93">
        <f>IF($A84="","",IFERROR($AD84/$AB84,""))</f>
        <v/>
      </c>
      <c r="AG84" s="93">
        <f>IF($A84="","",IFERROR(($P84/$O84)/$AD84,""))</f>
        <v/>
      </c>
      <c r="AH84" s="93">
        <f>IF($A84="","",IFERROR($Q84/$P84,""))</f>
        <v/>
      </c>
      <c r="AI84" s="93">
        <f>IF($A84="","",IFERROR($AF84*$AG84*$AH84,""))</f>
        <v/>
      </c>
      <c r="AJ84" s="93">
        <f>IF($A84="","",IFERROR($AE84/$F84,""))</f>
        <v/>
      </c>
      <c r="AK84" s="92">
        <f>IF($A84="","",IFERROR($AD84/$N84,""))</f>
        <v/>
      </c>
      <c r="AL84" s="92">
        <f>IF($A84="","",IFERROR($H84/$N84,""))</f>
        <v/>
      </c>
      <c r="AM84" s="92">
        <f>IF($A84="","",IFERROR(($P84-$Q84)/$P84*1000000,""))</f>
        <v/>
      </c>
      <c r="AN84" s="93">
        <f>IF($A84="","",IFERROR(($Q84+$R84)/$T84,""))</f>
        <v/>
      </c>
      <c r="AO84" s="93">
        <f>IF($A84="","",IFERROR($V84/$U84,""))</f>
        <v/>
      </c>
      <c r="AP84" s="92">
        <f>IF($A84="","",IFERROR(MAX(0,$AD84-$P84/$O84),""))</f>
        <v/>
      </c>
      <c r="AQ84" s="92">
        <f>IF($A84="","",IFERROR(($P84-$Q84)/$O84,""))</f>
        <v/>
      </c>
      <c r="AR84" s="94">
        <f>IF($A84="","",IF($F84="","Temps d'ouverture manquant",IF($O84="","Cadence produit inconnue",IF($G84&gt;$F84,"Arrêts planifiés &gt; temps d'ouverture",IF($AC84&gt;$AB84,"Arrêts subis &gt; temps requis",IF($P84&lt;&gt;$Q84+$R84+$S84,"Produite ≠ conforme + retouchée + rebutée",IF($Q84&gt;$P84,"Conforme &gt; produite",IF($V84&gt;$U84,"Présents &gt; prévus","OK"))))))))</f>
        <v/>
      </c>
      <c r="AS84" s="95">
        <f>IF($A84="",0,IF(AND(OR(COCKPIT!$H$4="Toutes",$C84=COCKPIT!$H$4),OR(COCKPIT!$K$4="Toutes",$B84=COCKPIT!$K$4)),1,0))</f>
        <v/>
      </c>
    </row>
    <row r="85" ht="15" customHeight="1">
      <c r="A85" s="87" t="n"/>
      <c r="B85" s="88" t="n"/>
      <c r="C85" s="88" t="n"/>
      <c r="D85" s="88" t="n"/>
      <c r="E85" s="88" t="n"/>
      <c r="F85" s="89" t="n"/>
      <c r="G85" s="89" t="n"/>
      <c r="H85" s="89" t="n"/>
      <c r="I85" s="89" t="n"/>
      <c r="J85" s="89" t="n"/>
      <c r="K85" s="89" t="n"/>
      <c r="L85" s="89" t="n"/>
      <c r="M85" s="89" t="n"/>
      <c r="N85" s="89" t="n"/>
      <c r="O85" s="90">
        <f>IF($E85="","",IFERROR(INDEX(PARAMETRES!$O$7:$O$36,MATCH($E85,PARAMETRES!$M$7:$M$36,0)),""))</f>
        <v/>
      </c>
      <c r="P85" s="89" t="n"/>
      <c r="Q85" s="89" t="n"/>
      <c r="R85" s="89" t="n"/>
      <c r="S85" s="89" t="n"/>
      <c r="T85" s="89" t="n"/>
      <c r="U85" s="91" t="n"/>
      <c r="V85" s="91" t="n"/>
      <c r="W85" s="91" t="n"/>
      <c r="X85" s="89" t="n"/>
      <c r="Y85" s="89" t="n"/>
      <c r="Z85" s="88" t="n"/>
      <c r="AA85" s="88" t="n"/>
      <c r="AB85" s="92">
        <f>IF($A85="","",MAX(0,$F85-$G85))</f>
        <v/>
      </c>
      <c r="AC85" s="92">
        <f>IF($A85="","",SUM($H85:$M85))</f>
        <v/>
      </c>
      <c r="AD85" s="92">
        <f>IF($A85="","",MAX(0,$AB85-$AC85))</f>
        <v/>
      </c>
      <c r="AE85" s="92">
        <f>IF($A85="","",IFERROR($Q85/$O85,""))</f>
        <v/>
      </c>
      <c r="AF85" s="93">
        <f>IF($A85="","",IFERROR($AD85/$AB85,""))</f>
        <v/>
      </c>
      <c r="AG85" s="93">
        <f>IF($A85="","",IFERROR(($P85/$O85)/$AD85,""))</f>
        <v/>
      </c>
      <c r="AH85" s="93">
        <f>IF($A85="","",IFERROR($Q85/$P85,""))</f>
        <v/>
      </c>
      <c r="AI85" s="93">
        <f>IF($A85="","",IFERROR($AF85*$AG85*$AH85,""))</f>
        <v/>
      </c>
      <c r="AJ85" s="93">
        <f>IF($A85="","",IFERROR($AE85/$F85,""))</f>
        <v/>
      </c>
      <c r="AK85" s="92">
        <f>IF($A85="","",IFERROR($AD85/$N85,""))</f>
        <v/>
      </c>
      <c r="AL85" s="92">
        <f>IF($A85="","",IFERROR($H85/$N85,""))</f>
        <v/>
      </c>
      <c r="AM85" s="92">
        <f>IF($A85="","",IFERROR(($P85-$Q85)/$P85*1000000,""))</f>
        <v/>
      </c>
      <c r="AN85" s="93">
        <f>IF($A85="","",IFERROR(($Q85+$R85)/$T85,""))</f>
        <v/>
      </c>
      <c r="AO85" s="93">
        <f>IF($A85="","",IFERROR($V85/$U85,""))</f>
        <v/>
      </c>
      <c r="AP85" s="92">
        <f>IF($A85="","",IFERROR(MAX(0,$AD85-$P85/$O85),""))</f>
        <v/>
      </c>
      <c r="AQ85" s="92">
        <f>IF($A85="","",IFERROR(($P85-$Q85)/$O85,""))</f>
        <v/>
      </c>
      <c r="AR85" s="94">
        <f>IF($A85="","",IF($F85="","Temps d'ouverture manquant",IF($O85="","Cadence produit inconnue",IF($G85&gt;$F85,"Arrêts planifiés &gt; temps d'ouverture",IF($AC85&gt;$AB85,"Arrêts subis &gt; temps requis",IF($P85&lt;&gt;$Q85+$R85+$S85,"Produite ≠ conforme + retouchée + rebutée",IF($Q85&gt;$P85,"Conforme &gt; produite",IF($V85&gt;$U85,"Présents &gt; prévus","OK"))))))))</f>
        <v/>
      </c>
      <c r="AS85" s="95">
        <f>IF($A85="",0,IF(AND(OR(COCKPIT!$H$4="Toutes",$C85=COCKPIT!$H$4),OR(COCKPIT!$K$4="Toutes",$B85=COCKPIT!$K$4)),1,0))</f>
        <v/>
      </c>
    </row>
    <row r="86" ht="15" customHeight="1">
      <c r="A86" s="87" t="n"/>
      <c r="B86" s="88" t="n"/>
      <c r="C86" s="88" t="n"/>
      <c r="D86" s="88" t="n"/>
      <c r="E86" s="88" t="n"/>
      <c r="F86" s="89" t="n"/>
      <c r="G86" s="89" t="n"/>
      <c r="H86" s="89" t="n"/>
      <c r="I86" s="89" t="n"/>
      <c r="J86" s="89" t="n"/>
      <c r="K86" s="89" t="n"/>
      <c r="L86" s="89" t="n"/>
      <c r="M86" s="89" t="n"/>
      <c r="N86" s="89" t="n"/>
      <c r="O86" s="90">
        <f>IF($E86="","",IFERROR(INDEX(PARAMETRES!$O$7:$O$36,MATCH($E86,PARAMETRES!$M$7:$M$36,0)),""))</f>
        <v/>
      </c>
      <c r="P86" s="89" t="n"/>
      <c r="Q86" s="89" t="n"/>
      <c r="R86" s="89" t="n"/>
      <c r="S86" s="89" t="n"/>
      <c r="T86" s="89" t="n"/>
      <c r="U86" s="91" t="n"/>
      <c r="V86" s="91" t="n"/>
      <c r="W86" s="91" t="n"/>
      <c r="X86" s="89" t="n"/>
      <c r="Y86" s="89" t="n"/>
      <c r="Z86" s="88" t="n"/>
      <c r="AA86" s="88" t="n"/>
      <c r="AB86" s="92">
        <f>IF($A86="","",MAX(0,$F86-$G86))</f>
        <v/>
      </c>
      <c r="AC86" s="92">
        <f>IF($A86="","",SUM($H86:$M86))</f>
        <v/>
      </c>
      <c r="AD86" s="92">
        <f>IF($A86="","",MAX(0,$AB86-$AC86))</f>
        <v/>
      </c>
      <c r="AE86" s="92">
        <f>IF($A86="","",IFERROR($Q86/$O86,""))</f>
        <v/>
      </c>
      <c r="AF86" s="93">
        <f>IF($A86="","",IFERROR($AD86/$AB86,""))</f>
        <v/>
      </c>
      <c r="AG86" s="93">
        <f>IF($A86="","",IFERROR(($P86/$O86)/$AD86,""))</f>
        <v/>
      </c>
      <c r="AH86" s="93">
        <f>IF($A86="","",IFERROR($Q86/$P86,""))</f>
        <v/>
      </c>
      <c r="AI86" s="93">
        <f>IF($A86="","",IFERROR($AF86*$AG86*$AH86,""))</f>
        <v/>
      </c>
      <c r="AJ86" s="93">
        <f>IF($A86="","",IFERROR($AE86/$F86,""))</f>
        <v/>
      </c>
      <c r="AK86" s="92">
        <f>IF($A86="","",IFERROR($AD86/$N86,""))</f>
        <v/>
      </c>
      <c r="AL86" s="92">
        <f>IF($A86="","",IFERROR($H86/$N86,""))</f>
        <v/>
      </c>
      <c r="AM86" s="92">
        <f>IF($A86="","",IFERROR(($P86-$Q86)/$P86*1000000,""))</f>
        <v/>
      </c>
      <c r="AN86" s="93">
        <f>IF($A86="","",IFERROR(($Q86+$R86)/$T86,""))</f>
        <v/>
      </c>
      <c r="AO86" s="93">
        <f>IF($A86="","",IFERROR($V86/$U86,""))</f>
        <v/>
      </c>
      <c r="AP86" s="92">
        <f>IF($A86="","",IFERROR(MAX(0,$AD86-$P86/$O86),""))</f>
        <v/>
      </c>
      <c r="AQ86" s="92">
        <f>IF($A86="","",IFERROR(($P86-$Q86)/$O86,""))</f>
        <v/>
      </c>
      <c r="AR86" s="94">
        <f>IF($A86="","",IF($F86="","Temps d'ouverture manquant",IF($O86="","Cadence produit inconnue",IF($G86&gt;$F86,"Arrêts planifiés &gt; temps d'ouverture",IF($AC86&gt;$AB86,"Arrêts subis &gt; temps requis",IF($P86&lt;&gt;$Q86+$R86+$S86,"Produite ≠ conforme + retouchée + rebutée",IF($Q86&gt;$P86,"Conforme &gt; produite",IF($V86&gt;$U86,"Présents &gt; prévus","OK"))))))))</f>
        <v/>
      </c>
      <c r="AS86" s="95">
        <f>IF($A86="",0,IF(AND(OR(COCKPIT!$H$4="Toutes",$C86=COCKPIT!$H$4),OR(COCKPIT!$K$4="Toutes",$B86=COCKPIT!$K$4)),1,0))</f>
        <v/>
      </c>
    </row>
    <row r="87" ht="15" customHeight="1">
      <c r="A87" s="87" t="n"/>
      <c r="B87" s="88" t="n"/>
      <c r="C87" s="88" t="n"/>
      <c r="D87" s="88" t="n"/>
      <c r="E87" s="88" t="n"/>
      <c r="F87" s="89" t="n"/>
      <c r="G87" s="89" t="n"/>
      <c r="H87" s="89" t="n"/>
      <c r="I87" s="89" t="n"/>
      <c r="J87" s="89" t="n"/>
      <c r="K87" s="89" t="n"/>
      <c r="L87" s="89" t="n"/>
      <c r="M87" s="89" t="n"/>
      <c r="N87" s="89" t="n"/>
      <c r="O87" s="90">
        <f>IF($E87="","",IFERROR(INDEX(PARAMETRES!$O$7:$O$36,MATCH($E87,PARAMETRES!$M$7:$M$36,0)),""))</f>
        <v/>
      </c>
      <c r="P87" s="89" t="n"/>
      <c r="Q87" s="89" t="n"/>
      <c r="R87" s="89" t="n"/>
      <c r="S87" s="89" t="n"/>
      <c r="T87" s="89" t="n"/>
      <c r="U87" s="91" t="n"/>
      <c r="V87" s="91" t="n"/>
      <c r="W87" s="91" t="n"/>
      <c r="X87" s="89" t="n"/>
      <c r="Y87" s="89" t="n"/>
      <c r="Z87" s="88" t="n"/>
      <c r="AA87" s="88" t="n"/>
      <c r="AB87" s="92">
        <f>IF($A87="","",MAX(0,$F87-$G87))</f>
        <v/>
      </c>
      <c r="AC87" s="92">
        <f>IF($A87="","",SUM($H87:$M87))</f>
        <v/>
      </c>
      <c r="AD87" s="92">
        <f>IF($A87="","",MAX(0,$AB87-$AC87))</f>
        <v/>
      </c>
      <c r="AE87" s="92">
        <f>IF($A87="","",IFERROR($Q87/$O87,""))</f>
        <v/>
      </c>
      <c r="AF87" s="93">
        <f>IF($A87="","",IFERROR($AD87/$AB87,""))</f>
        <v/>
      </c>
      <c r="AG87" s="93">
        <f>IF($A87="","",IFERROR(($P87/$O87)/$AD87,""))</f>
        <v/>
      </c>
      <c r="AH87" s="93">
        <f>IF($A87="","",IFERROR($Q87/$P87,""))</f>
        <v/>
      </c>
      <c r="AI87" s="93">
        <f>IF($A87="","",IFERROR($AF87*$AG87*$AH87,""))</f>
        <v/>
      </c>
      <c r="AJ87" s="93">
        <f>IF($A87="","",IFERROR($AE87/$F87,""))</f>
        <v/>
      </c>
      <c r="AK87" s="92">
        <f>IF($A87="","",IFERROR($AD87/$N87,""))</f>
        <v/>
      </c>
      <c r="AL87" s="92">
        <f>IF($A87="","",IFERROR($H87/$N87,""))</f>
        <v/>
      </c>
      <c r="AM87" s="92">
        <f>IF($A87="","",IFERROR(($P87-$Q87)/$P87*1000000,""))</f>
        <v/>
      </c>
      <c r="AN87" s="93">
        <f>IF($A87="","",IFERROR(($Q87+$R87)/$T87,""))</f>
        <v/>
      </c>
      <c r="AO87" s="93">
        <f>IF($A87="","",IFERROR($V87/$U87,""))</f>
        <v/>
      </c>
      <c r="AP87" s="92">
        <f>IF($A87="","",IFERROR(MAX(0,$AD87-$P87/$O87),""))</f>
        <v/>
      </c>
      <c r="AQ87" s="92">
        <f>IF($A87="","",IFERROR(($P87-$Q87)/$O87,""))</f>
        <v/>
      </c>
      <c r="AR87" s="94">
        <f>IF($A87="","",IF($F87="","Temps d'ouverture manquant",IF($O87="","Cadence produit inconnue",IF($G87&gt;$F87,"Arrêts planifiés &gt; temps d'ouverture",IF($AC87&gt;$AB87,"Arrêts subis &gt; temps requis",IF($P87&lt;&gt;$Q87+$R87+$S87,"Produite ≠ conforme + retouchée + rebutée",IF($Q87&gt;$P87,"Conforme &gt; produite",IF($V87&gt;$U87,"Présents &gt; prévus","OK"))))))))</f>
        <v/>
      </c>
      <c r="AS87" s="95">
        <f>IF($A87="",0,IF(AND(OR(COCKPIT!$H$4="Toutes",$C87=COCKPIT!$H$4),OR(COCKPIT!$K$4="Toutes",$B87=COCKPIT!$K$4)),1,0))</f>
        <v/>
      </c>
    </row>
    <row r="88" ht="15" customHeight="1">
      <c r="A88" s="87" t="n"/>
      <c r="B88" s="88" t="n"/>
      <c r="C88" s="88" t="n"/>
      <c r="D88" s="88" t="n"/>
      <c r="E88" s="88" t="n"/>
      <c r="F88" s="89" t="n"/>
      <c r="G88" s="89" t="n"/>
      <c r="H88" s="89" t="n"/>
      <c r="I88" s="89" t="n"/>
      <c r="J88" s="89" t="n"/>
      <c r="K88" s="89" t="n"/>
      <c r="L88" s="89" t="n"/>
      <c r="M88" s="89" t="n"/>
      <c r="N88" s="89" t="n"/>
      <c r="O88" s="90">
        <f>IF($E88="","",IFERROR(INDEX(PARAMETRES!$O$7:$O$36,MATCH($E88,PARAMETRES!$M$7:$M$36,0)),""))</f>
        <v/>
      </c>
      <c r="P88" s="89" t="n"/>
      <c r="Q88" s="89" t="n"/>
      <c r="R88" s="89" t="n"/>
      <c r="S88" s="89" t="n"/>
      <c r="T88" s="89" t="n"/>
      <c r="U88" s="91" t="n"/>
      <c r="V88" s="91" t="n"/>
      <c r="W88" s="91" t="n"/>
      <c r="X88" s="89" t="n"/>
      <c r="Y88" s="89" t="n"/>
      <c r="Z88" s="88" t="n"/>
      <c r="AA88" s="88" t="n"/>
      <c r="AB88" s="92">
        <f>IF($A88="","",MAX(0,$F88-$G88))</f>
        <v/>
      </c>
      <c r="AC88" s="92">
        <f>IF($A88="","",SUM($H88:$M88))</f>
        <v/>
      </c>
      <c r="AD88" s="92">
        <f>IF($A88="","",MAX(0,$AB88-$AC88))</f>
        <v/>
      </c>
      <c r="AE88" s="92">
        <f>IF($A88="","",IFERROR($Q88/$O88,""))</f>
        <v/>
      </c>
      <c r="AF88" s="93">
        <f>IF($A88="","",IFERROR($AD88/$AB88,""))</f>
        <v/>
      </c>
      <c r="AG88" s="93">
        <f>IF($A88="","",IFERROR(($P88/$O88)/$AD88,""))</f>
        <v/>
      </c>
      <c r="AH88" s="93">
        <f>IF($A88="","",IFERROR($Q88/$P88,""))</f>
        <v/>
      </c>
      <c r="AI88" s="93">
        <f>IF($A88="","",IFERROR($AF88*$AG88*$AH88,""))</f>
        <v/>
      </c>
      <c r="AJ88" s="93">
        <f>IF($A88="","",IFERROR($AE88/$F88,""))</f>
        <v/>
      </c>
      <c r="AK88" s="92">
        <f>IF($A88="","",IFERROR($AD88/$N88,""))</f>
        <v/>
      </c>
      <c r="AL88" s="92">
        <f>IF($A88="","",IFERROR($H88/$N88,""))</f>
        <v/>
      </c>
      <c r="AM88" s="92">
        <f>IF($A88="","",IFERROR(($P88-$Q88)/$P88*1000000,""))</f>
        <v/>
      </c>
      <c r="AN88" s="93">
        <f>IF($A88="","",IFERROR(($Q88+$R88)/$T88,""))</f>
        <v/>
      </c>
      <c r="AO88" s="93">
        <f>IF($A88="","",IFERROR($V88/$U88,""))</f>
        <v/>
      </c>
      <c r="AP88" s="92">
        <f>IF($A88="","",IFERROR(MAX(0,$AD88-$P88/$O88),""))</f>
        <v/>
      </c>
      <c r="AQ88" s="92">
        <f>IF($A88="","",IFERROR(($P88-$Q88)/$O88,""))</f>
        <v/>
      </c>
      <c r="AR88" s="94">
        <f>IF($A88="","",IF($F88="","Temps d'ouverture manquant",IF($O88="","Cadence produit inconnue",IF($G88&gt;$F88,"Arrêts planifiés &gt; temps d'ouverture",IF($AC88&gt;$AB88,"Arrêts subis &gt; temps requis",IF($P88&lt;&gt;$Q88+$R88+$S88,"Produite ≠ conforme + retouchée + rebutée",IF($Q88&gt;$P88,"Conforme &gt; produite",IF($V88&gt;$U88,"Présents &gt; prévus","OK"))))))))</f>
        <v/>
      </c>
      <c r="AS88" s="95">
        <f>IF($A88="",0,IF(AND(OR(COCKPIT!$H$4="Toutes",$C88=COCKPIT!$H$4),OR(COCKPIT!$K$4="Toutes",$B88=COCKPIT!$K$4)),1,0))</f>
        <v/>
      </c>
    </row>
    <row r="89" ht="15" customHeight="1">
      <c r="A89" s="87" t="n"/>
      <c r="B89" s="88" t="n"/>
      <c r="C89" s="88" t="n"/>
      <c r="D89" s="88" t="n"/>
      <c r="E89" s="88" t="n"/>
      <c r="F89" s="89" t="n"/>
      <c r="G89" s="89" t="n"/>
      <c r="H89" s="89" t="n"/>
      <c r="I89" s="89" t="n"/>
      <c r="J89" s="89" t="n"/>
      <c r="K89" s="89" t="n"/>
      <c r="L89" s="89" t="n"/>
      <c r="M89" s="89" t="n"/>
      <c r="N89" s="89" t="n"/>
      <c r="O89" s="90">
        <f>IF($E89="","",IFERROR(INDEX(PARAMETRES!$O$7:$O$36,MATCH($E89,PARAMETRES!$M$7:$M$36,0)),""))</f>
        <v/>
      </c>
      <c r="P89" s="89" t="n"/>
      <c r="Q89" s="89" t="n"/>
      <c r="R89" s="89" t="n"/>
      <c r="S89" s="89" t="n"/>
      <c r="T89" s="89" t="n"/>
      <c r="U89" s="91" t="n"/>
      <c r="V89" s="91" t="n"/>
      <c r="W89" s="91" t="n"/>
      <c r="X89" s="89" t="n"/>
      <c r="Y89" s="89" t="n"/>
      <c r="Z89" s="88" t="n"/>
      <c r="AA89" s="88" t="n"/>
      <c r="AB89" s="92">
        <f>IF($A89="","",MAX(0,$F89-$G89))</f>
        <v/>
      </c>
      <c r="AC89" s="92">
        <f>IF($A89="","",SUM($H89:$M89))</f>
        <v/>
      </c>
      <c r="AD89" s="92">
        <f>IF($A89="","",MAX(0,$AB89-$AC89))</f>
        <v/>
      </c>
      <c r="AE89" s="92">
        <f>IF($A89="","",IFERROR($Q89/$O89,""))</f>
        <v/>
      </c>
      <c r="AF89" s="93">
        <f>IF($A89="","",IFERROR($AD89/$AB89,""))</f>
        <v/>
      </c>
      <c r="AG89" s="93">
        <f>IF($A89="","",IFERROR(($P89/$O89)/$AD89,""))</f>
        <v/>
      </c>
      <c r="AH89" s="93">
        <f>IF($A89="","",IFERROR($Q89/$P89,""))</f>
        <v/>
      </c>
      <c r="AI89" s="93">
        <f>IF($A89="","",IFERROR($AF89*$AG89*$AH89,""))</f>
        <v/>
      </c>
      <c r="AJ89" s="93">
        <f>IF($A89="","",IFERROR($AE89/$F89,""))</f>
        <v/>
      </c>
      <c r="AK89" s="92">
        <f>IF($A89="","",IFERROR($AD89/$N89,""))</f>
        <v/>
      </c>
      <c r="AL89" s="92">
        <f>IF($A89="","",IFERROR($H89/$N89,""))</f>
        <v/>
      </c>
      <c r="AM89" s="92">
        <f>IF($A89="","",IFERROR(($P89-$Q89)/$P89*1000000,""))</f>
        <v/>
      </c>
      <c r="AN89" s="93">
        <f>IF($A89="","",IFERROR(($Q89+$R89)/$T89,""))</f>
        <v/>
      </c>
      <c r="AO89" s="93">
        <f>IF($A89="","",IFERROR($V89/$U89,""))</f>
        <v/>
      </c>
      <c r="AP89" s="92">
        <f>IF($A89="","",IFERROR(MAX(0,$AD89-$P89/$O89),""))</f>
        <v/>
      </c>
      <c r="AQ89" s="92">
        <f>IF($A89="","",IFERROR(($P89-$Q89)/$O89,""))</f>
        <v/>
      </c>
      <c r="AR89" s="94">
        <f>IF($A89="","",IF($F89="","Temps d'ouverture manquant",IF($O89="","Cadence produit inconnue",IF($G89&gt;$F89,"Arrêts planifiés &gt; temps d'ouverture",IF($AC89&gt;$AB89,"Arrêts subis &gt; temps requis",IF($P89&lt;&gt;$Q89+$R89+$S89,"Produite ≠ conforme + retouchée + rebutée",IF($Q89&gt;$P89,"Conforme &gt; produite",IF($V89&gt;$U89,"Présents &gt; prévus","OK"))))))))</f>
        <v/>
      </c>
      <c r="AS89" s="95">
        <f>IF($A89="",0,IF(AND(OR(COCKPIT!$H$4="Toutes",$C89=COCKPIT!$H$4),OR(COCKPIT!$K$4="Toutes",$B89=COCKPIT!$K$4)),1,0))</f>
        <v/>
      </c>
    </row>
    <row r="90" ht="15" customHeight="1">
      <c r="A90" s="87" t="n"/>
      <c r="B90" s="88" t="n"/>
      <c r="C90" s="88" t="n"/>
      <c r="D90" s="88" t="n"/>
      <c r="E90" s="88" t="n"/>
      <c r="F90" s="89" t="n"/>
      <c r="G90" s="89" t="n"/>
      <c r="H90" s="89" t="n"/>
      <c r="I90" s="89" t="n"/>
      <c r="J90" s="89" t="n"/>
      <c r="K90" s="89" t="n"/>
      <c r="L90" s="89" t="n"/>
      <c r="M90" s="89" t="n"/>
      <c r="N90" s="89" t="n"/>
      <c r="O90" s="90">
        <f>IF($E90="","",IFERROR(INDEX(PARAMETRES!$O$7:$O$36,MATCH($E90,PARAMETRES!$M$7:$M$36,0)),""))</f>
        <v/>
      </c>
      <c r="P90" s="89" t="n"/>
      <c r="Q90" s="89" t="n"/>
      <c r="R90" s="89" t="n"/>
      <c r="S90" s="89" t="n"/>
      <c r="T90" s="89" t="n"/>
      <c r="U90" s="91" t="n"/>
      <c r="V90" s="91" t="n"/>
      <c r="W90" s="91" t="n"/>
      <c r="X90" s="89" t="n"/>
      <c r="Y90" s="89" t="n"/>
      <c r="Z90" s="88" t="n"/>
      <c r="AA90" s="88" t="n"/>
      <c r="AB90" s="92">
        <f>IF($A90="","",MAX(0,$F90-$G90))</f>
        <v/>
      </c>
      <c r="AC90" s="92">
        <f>IF($A90="","",SUM($H90:$M90))</f>
        <v/>
      </c>
      <c r="AD90" s="92">
        <f>IF($A90="","",MAX(0,$AB90-$AC90))</f>
        <v/>
      </c>
      <c r="AE90" s="92">
        <f>IF($A90="","",IFERROR($Q90/$O90,""))</f>
        <v/>
      </c>
      <c r="AF90" s="93">
        <f>IF($A90="","",IFERROR($AD90/$AB90,""))</f>
        <v/>
      </c>
      <c r="AG90" s="93">
        <f>IF($A90="","",IFERROR(($P90/$O90)/$AD90,""))</f>
        <v/>
      </c>
      <c r="AH90" s="93">
        <f>IF($A90="","",IFERROR($Q90/$P90,""))</f>
        <v/>
      </c>
      <c r="AI90" s="93">
        <f>IF($A90="","",IFERROR($AF90*$AG90*$AH90,""))</f>
        <v/>
      </c>
      <c r="AJ90" s="93">
        <f>IF($A90="","",IFERROR($AE90/$F90,""))</f>
        <v/>
      </c>
      <c r="AK90" s="92">
        <f>IF($A90="","",IFERROR($AD90/$N90,""))</f>
        <v/>
      </c>
      <c r="AL90" s="92">
        <f>IF($A90="","",IFERROR($H90/$N90,""))</f>
        <v/>
      </c>
      <c r="AM90" s="92">
        <f>IF($A90="","",IFERROR(($P90-$Q90)/$P90*1000000,""))</f>
        <v/>
      </c>
      <c r="AN90" s="93">
        <f>IF($A90="","",IFERROR(($Q90+$R90)/$T90,""))</f>
        <v/>
      </c>
      <c r="AO90" s="93">
        <f>IF($A90="","",IFERROR($V90/$U90,""))</f>
        <v/>
      </c>
      <c r="AP90" s="92">
        <f>IF($A90="","",IFERROR(MAX(0,$AD90-$P90/$O90),""))</f>
        <v/>
      </c>
      <c r="AQ90" s="92">
        <f>IF($A90="","",IFERROR(($P90-$Q90)/$O90,""))</f>
        <v/>
      </c>
      <c r="AR90" s="94">
        <f>IF($A90="","",IF($F90="","Temps d'ouverture manquant",IF($O90="","Cadence produit inconnue",IF($G90&gt;$F90,"Arrêts planifiés &gt; temps d'ouverture",IF($AC90&gt;$AB90,"Arrêts subis &gt; temps requis",IF($P90&lt;&gt;$Q90+$R90+$S90,"Produite ≠ conforme + retouchée + rebutée",IF($Q90&gt;$P90,"Conforme &gt; produite",IF($V90&gt;$U90,"Présents &gt; prévus","OK"))))))))</f>
        <v/>
      </c>
      <c r="AS90" s="95">
        <f>IF($A90="",0,IF(AND(OR(COCKPIT!$H$4="Toutes",$C90=COCKPIT!$H$4),OR(COCKPIT!$K$4="Toutes",$B90=COCKPIT!$K$4)),1,0))</f>
        <v/>
      </c>
    </row>
    <row r="91" ht="15" customHeight="1">
      <c r="A91" s="87" t="n"/>
      <c r="B91" s="88" t="n"/>
      <c r="C91" s="88" t="n"/>
      <c r="D91" s="88" t="n"/>
      <c r="E91" s="88" t="n"/>
      <c r="F91" s="89" t="n"/>
      <c r="G91" s="89" t="n"/>
      <c r="H91" s="89" t="n"/>
      <c r="I91" s="89" t="n"/>
      <c r="J91" s="89" t="n"/>
      <c r="K91" s="89" t="n"/>
      <c r="L91" s="89" t="n"/>
      <c r="M91" s="89" t="n"/>
      <c r="N91" s="89" t="n"/>
      <c r="O91" s="90">
        <f>IF($E91="","",IFERROR(INDEX(PARAMETRES!$O$7:$O$36,MATCH($E91,PARAMETRES!$M$7:$M$36,0)),""))</f>
        <v/>
      </c>
      <c r="P91" s="89" t="n"/>
      <c r="Q91" s="89" t="n"/>
      <c r="R91" s="89" t="n"/>
      <c r="S91" s="89" t="n"/>
      <c r="T91" s="89" t="n"/>
      <c r="U91" s="91" t="n"/>
      <c r="V91" s="91" t="n"/>
      <c r="W91" s="91" t="n"/>
      <c r="X91" s="89" t="n"/>
      <c r="Y91" s="89" t="n"/>
      <c r="Z91" s="88" t="n"/>
      <c r="AA91" s="88" t="n"/>
      <c r="AB91" s="92">
        <f>IF($A91="","",MAX(0,$F91-$G91))</f>
        <v/>
      </c>
      <c r="AC91" s="92">
        <f>IF($A91="","",SUM($H91:$M91))</f>
        <v/>
      </c>
      <c r="AD91" s="92">
        <f>IF($A91="","",MAX(0,$AB91-$AC91))</f>
        <v/>
      </c>
      <c r="AE91" s="92">
        <f>IF($A91="","",IFERROR($Q91/$O91,""))</f>
        <v/>
      </c>
      <c r="AF91" s="93">
        <f>IF($A91="","",IFERROR($AD91/$AB91,""))</f>
        <v/>
      </c>
      <c r="AG91" s="93">
        <f>IF($A91="","",IFERROR(($P91/$O91)/$AD91,""))</f>
        <v/>
      </c>
      <c r="AH91" s="93">
        <f>IF($A91="","",IFERROR($Q91/$P91,""))</f>
        <v/>
      </c>
      <c r="AI91" s="93">
        <f>IF($A91="","",IFERROR($AF91*$AG91*$AH91,""))</f>
        <v/>
      </c>
      <c r="AJ91" s="93">
        <f>IF($A91="","",IFERROR($AE91/$F91,""))</f>
        <v/>
      </c>
      <c r="AK91" s="92">
        <f>IF($A91="","",IFERROR($AD91/$N91,""))</f>
        <v/>
      </c>
      <c r="AL91" s="92">
        <f>IF($A91="","",IFERROR($H91/$N91,""))</f>
        <v/>
      </c>
      <c r="AM91" s="92">
        <f>IF($A91="","",IFERROR(($P91-$Q91)/$P91*1000000,""))</f>
        <v/>
      </c>
      <c r="AN91" s="93">
        <f>IF($A91="","",IFERROR(($Q91+$R91)/$T91,""))</f>
        <v/>
      </c>
      <c r="AO91" s="93">
        <f>IF($A91="","",IFERROR($V91/$U91,""))</f>
        <v/>
      </c>
      <c r="AP91" s="92">
        <f>IF($A91="","",IFERROR(MAX(0,$AD91-$P91/$O91),""))</f>
        <v/>
      </c>
      <c r="AQ91" s="92">
        <f>IF($A91="","",IFERROR(($P91-$Q91)/$O91,""))</f>
        <v/>
      </c>
      <c r="AR91" s="94">
        <f>IF($A91="","",IF($F91="","Temps d'ouverture manquant",IF($O91="","Cadence produit inconnue",IF($G91&gt;$F91,"Arrêts planifiés &gt; temps d'ouverture",IF($AC91&gt;$AB91,"Arrêts subis &gt; temps requis",IF($P91&lt;&gt;$Q91+$R91+$S91,"Produite ≠ conforme + retouchée + rebutée",IF($Q91&gt;$P91,"Conforme &gt; produite",IF($V91&gt;$U91,"Présents &gt; prévus","OK"))))))))</f>
        <v/>
      </c>
      <c r="AS91" s="95">
        <f>IF($A91="",0,IF(AND(OR(COCKPIT!$H$4="Toutes",$C91=COCKPIT!$H$4),OR(COCKPIT!$K$4="Toutes",$B91=COCKPIT!$K$4)),1,0))</f>
        <v/>
      </c>
    </row>
    <row r="92" ht="15" customHeight="1">
      <c r="A92" s="87" t="n"/>
      <c r="B92" s="88" t="n"/>
      <c r="C92" s="88" t="n"/>
      <c r="D92" s="88" t="n"/>
      <c r="E92" s="88" t="n"/>
      <c r="F92" s="89" t="n"/>
      <c r="G92" s="89" t="n"/>
      <c r="H92" s="89" t="n"/>
      <c r="I92" s="89" t="n"/>
      <c r="J92" s="89" t="n"/>
      <c r="K92" s="89" t="n"/>
      <c r="L92" s="89" t="n"/>
      <c r="M92" s="89" t="n"/>
      <c r="N92" s="89" t="n"/>
      <c r="O92" s="90">
        <f>IF($E92="","",IFERROR(INDEX(PARAMETRES!$O$7:$O$36,MATCH($E92,PARAMETRES!$M$7:$M$36,0)),""))</f>
        <v/>
      </c>
      <c r="P92" s="89" t="n"/>
      <c r="Q92" s="89" t="n"/>
      <c r="R92" s="89" t="n"/>
      <c r="S92" s="89" t="n"/>
      <c r="T92" s="89" t="n"/>
      <c r="U92" s="91" t="n"/>
      <c r="V92" s="91" t="n"/>
      <c r="W92" s="91" t="n"/>
      <c r="X92" s="89" t="n"/>
      <c r="Y92" s="89" t="n"/>
      <c r="Z92" s="88" t="n"/>
      <c r="AA92" s="88" t="n"/>
      <c r="AB92" s="92">
        <f>IF($A92="","",MAX(0,$F92-$G92))</f>
        <v/>
      </c>
      <c r="AC92" s="92">
        <f>IF($A92="","",SUM($H92:$M92))</f>
        <v/>
      </c>
      <c r="AD92" s="92">
        <f>IF($A92="","",MAX(0,$AB92-$AC92))</f>
        <v/>
      </c>
      <c r="AE92" s="92">
        <f>IF($A92="","",IFERROR($Q92/$O92,""))</f>
        <v/>
      </c>
      <c r="AF92" s="93">
        <f>IF($A92="","",IFERROR($AD92/$AB92,""))</f>
        <v/>
      </c>
      <c r="AG92" s="93">
        <f>IF($A92="","",IFERROR(($P92/$O92)/$AD92,""))</f>
        <v/>
      </c>
      <c r="AH92" s="93">
        <f>IF($A92="","",IFERROR($Q92/$P92,""))</f>
        <v/>
      </c>
      <c r="AI92" s="93">
        <f>IF($A92="","",IFERROR($AF92*$AG92*$AH92,""))</f>
        <v/>
      </c>
      <c r="AJ92" s="93">
        <f>IF($A92="","",IFERROR($AE92/$F92,""))</f>
        <v/>
      </c>
      <c r="AK92" s="92">
        <f>IF($A92="","",IFERROR($AD92/$N92,""))</f>
        <v/>
      </c>
      <c r="AL92" s="92">
        <f>IF($A92="","",IFERROR($H92/$N92,""))</f>
        <v/>
      </c>
      <c r="AM92" s="92">
        <f>IF($A92="","",IFERROR(($P92-$Q92)/$P92*1000000,""))</f>
        <v/>
      </c>
      <c r="AN92" s="93">
        <f>IF($A92="","",IFERROR(($Q92+$R92)/$T92,""))</f>
        <v/>
      </c>
      <c r="AO92" s="93">
        <f>IF($A92="","",IFERROR($V92/$U92,""))</f>
        <v/>
      </c>
      <c r="AP92" s="92">
        <f>IF($A92="","",IFERROR(MAX(0,$AD92-$P92/$O92),""))</f>
        <v/>
      </c>
      <c r="AQ92" s="92">
        <f>IF($A92="","",IFERROR(($P92-$Q92)/$O92,""))</f>
        <v/>
      </c>
      <c r="AR92" s="94">
        <f>IF($A92="","",IF($F92="","Temps d'ouverture manquant",IF($O92="","Cadence produit inconnue",IF($G92&gt;$F92,"Arrêts planifiés &gt; temps d'ouverture",IF($AC92&gt;$AB92,"Arrêts subis &gt; temps requis",IF($P92&lt;&gt;$Q92+$R92+$S92,"Produite ≠ conforme + retouchée + rebutée",IF($Q92&gt;$P92,"Conforme &gt; produite",IF($V92&gt;$U92,"Présents &gt; prévus","OK"))))))))</f>
        <v/>
      </c>
      <c r="AS92" s="95">
        <f>IF($A92="",0,IF(AND(OR(COCKPIT!$H$4="Toutes",$C92=COCKPIT!$H$4),OR(COCKPIT!$K$4="Toutes",$B92=COCKPIT!$K$4)),1,0))</f>
        <v/>
      </c>
    </row>
    <row r="93" ht="15" customHeight="1">
      <c r="A93" s="87" t="n"/>
      <c r="B93" s="88" t="n"/>
      <c r="C93" s="88" t="n"/>
      <c r="D93" s="88" t="n"/>
      <c r="E93" s="88" t="n"/>
      <c r="F93" s="89" t="n"/>
      <c r="G93" s="89" t="n"/>
      <c r="H93" s="89" t="n"/>
      <c r="I93" s="89" t="n"/>
      <c r="J93" s="89" t="n"/>
      <c r="K93" s="89" t="n"/>
      <c r="L93" s="89" t="n"/>
      <c r="M93" s="89" t="n"/>
      <c r="N93" s="89" t="n"/>
      <c r="O93" s="90">
        <f>IF($E93="","",IFERROR(INDEX(PARAMETRES!$O$7:$O$36,MATCH($E93,PARAMETRES!$M$7:$M$36,0)),""))</f>
        <v/>
      </c>
      <c r="P93" s="89" t="n"/>
      <c r="Q93" s="89" t="n"/>
      <c r="R93" s="89" t="n"/>
      <c r="S93" s="89" t="n"/>
      <c r="T93" s="89" t="n"/>
      <c r="U93" s="91" t="n"/>
      <c r="V93" s="91" t="n"/>
      <c r="W93" s="91" t="n"/>
      <c r="X93" s="89" t="n"/>
      <c r="Y93" s="89" t="n"/>
      <c r="Z93" s="88" t="n"/>
      <c r="AA93" s="88" t="n"/>
      <c r="AB93" s="92">
        <f>IF($A93="","",MAX(0,$F93-$G93))</f>
        <v/>
      </c>
      <c r="AC93" s="92">
        <f>IF($A93="","",SUM($H93:$M93))</f>
        <v/>
      </c>
      <c r="AD93" s="92">
        <f>IF($A93="","",MAX(0,$AB93-$AC93))</f>
        <v/>
      </c>
      <c r="AE93" s="92">
        <f>IF($A93="","",IFERROR($Q93/$O93,""))</f>
        <v/>
      </c>
      <c r="AF93" s="93">
        <f>IF($A93="","",IFERROR($AD93/$AB93,""))</f>
        <v/>
      </c>
      <c r="AG93" s="93">
        <f>IF($A93="","",IFERROR(($P93/$O93)/$AD93,""))</f>
        <v/>
      </c>
      <c r="AH93" s="93">
        <f>IF($A93="","",IFERROR($Q93/$P93,""))</f>
        <v/>
      </c>
      <c r="AI93" s="93">
        <f>IF($A93="","",IFERROR($AF93*$AG93*$AH93,""))</f>
        <v/>
      </c>
      <c r="AJ93" s="93">
        <f>IF($A93="","",IFERROR($AE93/$F93,""))</f>
        <v/>
      </c>
      <c r="AK93" s="92">
        <f>IF($A93="","",IFERROR($AD93/$N93,""))</f>
        <v/>
      </c>
      <c r="AL93" s="92">
        <f>IF($A93="","",IFERROR($H93/$N93,""))</f>
        <v/>
      </c>
      <c r="AM93" s="92">
        <f>IF($A93="","",IFERROR(($P93-$Q93)/$P93*1000000,""))</f>
        <v/>
      </c>
      <c r="AN93" s="93">
        <f>IF($A93="","",IFERROR(($Q93+$R93)/$T93,""))</f>
        <v/>
      </c>
      <c r="AO93" s="93">
        <f>IF($A93="","",IFERROR($V93/$U93,""))</f>
        <v/>
      </c>
      <c r="AP93" s="92">
        <f>IF($A93="","",IFERROR(MAX(0,$AD93-$P93/$O93),""))</f>
        <v/>
      </c>
      <c r="AQ93" s="92">
        <f>IF($A93="","",IFERROR(($P93-$Q93)/$O93,""))</f>
        <v/>
      </c>
      <c r="AR93" s="94">
        <f>IF($A93="","",IF($F93="","Temps d'ouverture manquant",IF($O93="","Cadence produit inconnue",IF($G93&gt;$F93,"Arrêts planifiés &gt; temps d'ouverture",IF($AC93&gt;$AB93,"Arrêts subis &gt; temps requis",IF($P93&lt;&gt;$Q93+$R93+$S93,"Produite ≠ conforme + retouchée + rebutée",IF($Q93&gt;$P93,"Conforme &gt; produite",IF($V93&gt;$U93,"Présents &gt; prévus","OK"))))))))</f>
        <v/>
      </c>
      <c r="AS93" s="95">
        <f>IF($A93="",0,IF(AND(OR(COCKPIT!$H$4="Toutes",$C93=COCKPIT!$H$4),OR(COCKPIT!$K$4="Toutes",$B93=COCKPIT!$K$4)),1,0))</f>
        <v/>
      </c>
    </row>
    <row r="94" ht="15" customHeight="1">
      <c r="A94" s="87" t="n"/>
      <c r="B94" s="88" t="n"/>
      <c r="C94" s="88" t="n"/>
      <c r="D94" s="88" t="n"/>
      <c r="E94" s="88" t="n"/>
      <c r="F94" s="89" t="n"/>
      <c r="G94" s="89" t="n"/>
      <c r="H94" s="89" t="n"/>
      <c r="I94" s="89" t="n"/>
      <c r="J94" s="89" t="n"/>
      <c r="K94" s="89" t="n"/>
      <c r="L94" s="89" t="n"/>
      <c r="M94" s="89" t="n"/>
      <c r="N94" s="89" t="n"/>
      <c r="O94" s="90">
        <f>IF($E94="","",IFERROR(INDEX(PARAMETRES!$O$7:$O$36,MATCH($E94,PARAMETRES!$M$7:$M$36,0)),""))</f>
        <v/>
      </c>
      <c r="P94" s="89" t="n"/>
      <c r="Q94" s="89" t="n"/>
      <c r="R94" s="89" t="n"/>
      <c r="S94" s="89" t="n"/>
      <c r="T94" s="89" t="n"/>
      <c r="U94" s="91" t="n"/>
      <c r="V94" s="91" t="n"/>
      <c r="W94" s="91" t="n"/>
      <c r="X94" s="89" t="n"/>
      <c r="Y94" s="89" t="n"/>
      <c r="Z94" s="88" t="n"/>
      <c r="AA94" s="88" t="n"/>
      <c r="AB94" s="92">
        <f>IF($A94="","",MAX(0,$F94-$G94))</f>
        <v/>
      </c>
      <c r="AC94" s="92">
        <f>IF($A94="","",SUM($H94:$M94))</f>
        <v/>
      </c>
      <c r="AD94" s="92">
        <f>IF($A94="","",MAX(0,$AB94-$AC94))</f>
        <v/>
      </c>
      <c r="AE94" s="92">
        <f>IF($A94="","",IFERROR($Q94/$O94,""))</f>
        <v/>
      </c>
      <c r="AF94" s="93">
        <f>IF($A94="","",IFERROR($AD94/$AB94,""))</f>
        <v/>
      </c>
      <c r="AG94" s="93">
        <f>IF($A94="","",IFERROR(($P94/$O94)/$AD94,""))</f>
        <v/>
      </c>
      <c r="AH94" s="93">
        <f>IF($A94="","",IFERROR($Q94/$P94,""))</f>
        <v/>
      </c>
      <c r="AI94" s="93">
        <f>IF($A94="","",IFERROR($AF94*$AG94*$AH94,""))</f>
        <v/>
      </c>
      <c r="AJ94" s="93">
        <f>IF($A94="","",IFERROR($AE94/$F94,""))</f>
        <v/>
      </c>
      <c r="AK94" s="92">
        <f>IF($A94="","",IFERROR($AD94/$N94,""))</f>
        <v/>
      </c>
      <c r="AL94" s="92">
        <f>IF($A94="","",IFERROR($H94/$N94,""))</f>
        <v/>
      </c>
      <c r="AM94" s="92">
        <f>IF($A94="","",IFERROR(($P94-$Q94)/$P94*1000000,""))</f>
        <v/>
      </c>
      <c r="AN94" s="93">
        <f>IF($A94="","",IFERROR(($Q94+$R94)/$T94,""))</f>
        <v/>
      </c>
      <c r="AO94" s="93">
        <f>IF($A94="","",IFERROR($V94/$U94,""))</f>
        <v/>
      </c>
      <c r="AP94" s="92">
        <f>IF($A94="","",IFERROR(MAX(0,$AD94-$P94/$O94),""))</f>
        <v/>
      </c>
      <c r="AQ94" s="92">
        <f>IF($A94="","",IFERROR(($P94-$Q94)/$O94,""))</f>
        <v/>
      </c>
      <c r="AR94" s="94">
        <f>IF($A94="","",IF($F94="","Temps d'ouverture manquant",IF($O94="","Cadence produit inconnue",IF($G94&gt;$F94,"Arrêts planifiés &gt; temps d'ouverture",IF($AC94&gt;$AB94,"Arrêts subis &gt; temps requis",IF($P94&lt;&gt;$Q94+$R94+$S94,"Produite ≠ conforme + retouchée + rebutée",IF($Q94&gt;$P94,"Conforme &gt; produite",IF($V94&gt;$U94,"Présents &gt; prévus","OK"))))))))</f>
        <v/>
      </c>
      <c r="AS94" s="95">
        <f>IF($A94="",0,IF(AND(OR(COCKPIT!$H$4="Toutes",$C94=COCKPIT!$H$4),OR(COCKPIT!$K$4="Toutes",$B94=COCKPIT!$K$4)),1,0))</f>
        <v/>
      </c>
    </row>
    <row r="95" ht="15" customHeight="1">
      <c r="A95" s="87" t="n"/>
      <c r="B95" s="88" t="n"/>
      <c r="C95" s="88" t="n"/>
      <c r="D95" s="88" t="n"/>
      <c r="E95" s="88" t="n"/>
      <c r="F95" s="89" t="n"/>
      <c r="G95" s="89" t="n"/>
      <c r="H95" s="89" t="n"/>
      <c r="I95" s="89" t="n"/>
      <c r="J95" s="89" t="n"/>
      <c r="K95" s="89" t="n"/>
      <c r="L95" s="89" t="n"/>
      <c r="M95" s="89" t="n"/>
      <c r="N95" s="89" t="n"/>
      <c r="O95" s="90">
        <f>IF($E95="","",IFERROR(INDEX(PARAMETRES!$O$7:$O$36,MATCH($E95,PARAMETRES!$M$7:$M$36,0)),""))</f>
        <v/>
      </c>
      <c r="P95" s="89" t="n"/>
      <c r="Q95" s="89" t="n"/>
      <c r="R95" s="89" t="n"/>
      <c r="S95" s="89" t="n"/>
      <c r="T95" s="89" t="n"/>
      <c r="U95" s="91" t="n"/>
      <c r="V95" s="91" t="n"/>
      <c r="W95" s="91" t="n"/>
      <c r="X95" s="89" t="n"/>
      <c r="Y95" s="89" t="n"/>
      <c r="Z95" s="88" t="n"/>
      <c r="AA95" s="88" t="n"/>
      <c r="AB95" s="92">
        <f>IF($A95="","",MAX(0,$F95-$G95))</f>
        <v/>
      </c>
      <c r="AC95" s="92">
        <f>IF($A95="","",SUM($H95:$M95))</f>
        <v/>
      </c>
      <c r="AD95" s="92">
        <f>IF($A95="","",MAX(0,$AB95-$AC95))</f>
        <v/>
      </c>
      <c r="AE95" s="92">
        <f>IF($A95="","",IFERROR($Q95/$O95,""))</f>
        <v/>
      </c>
      <c r="AF95" s="93">
        <f>IF($A95="","",IFERROR($AD95/$AB95,""))</f>
        <v/>
      </c>
      <c r="AG95" s="93">
        <f>IF($A95="","",IFERROR(($P95/$O95)/$AD95,""))</f>
        <v/>
      </c>
      <c r="AH95" s="93">
        <f>IF($A95="","",IFERROR($Q95/$P95,""))</f>
        <v/>
      </c>
      <c r="AI95" s="93">
        <f>IF($A95="","",IFERROR($AF95*$AG95*$AH95,""))</f>
        <v/>
      </c>
      <c r="AJ95" s="93">
        <f>IF($A95="","",IFERROR($AE95/$F95,""))</f>
        <v/>
      </c>
      <c r="AK95" s="92">
        <f>IF($A95="","",IFERROR($AD95/$N95,""))</f>
        <v/>
      </c>
      <c r="AL95" s="92">
        <f>IF($A95="","",IFERROR($H95/$N95,""))</f>
        <v/>
      </c>
      <c r="AM95" s="92">
        <f>IF($A95="","",IFERROR(($P95-$Q95)/$P95*1000000,""))</f>
        <v/>
      </c>
      <c r="AN95" s="93">
        <f>IF($A95="","",IFERROR(($Q95+$R95)/$T95,""))</f>
        <v/>
      </c>
      <c r="AO95" s="93">
        <f>IF($A95="","",IFERROR($V95/$U95,""))</f>
        <v/>
      </c>
      <c r="AP95" s="92">
        <f>IF($A95="","",IFERROR(MAX(0,$AD95-$P95/$O95),""))</f>
        <v/>
      </c>
      <c r="AQ95" s="92">
        <f>IF($A95="","",IFERROR(($P95-$Q95)/$O95,""))</f>
        <v/>
      </c>
      <c r="AR95" s="94">
        <f>IF($A95="","",IF($F95="","Temps d'ouverture manquant",IF($O95="","Cadence produit inconnue",IF($G95&gt;$F95,"Arrêts planifiés &gt; temps d'ouverture",IF($AC95&gt;$AB95,"Arrêts subis &gt; temps requis",IF($P95&lt;&gt;$Q95+$R95+$S95,"Produite ≠ conforme + retouchée + rebutée",IF($Q95&gt;$P95,"Conforme &gt; produite",IF($V95&gt;$U95,"Présents &gt; prévus","OK"))))))))</f>
        <v/>
      </c>
      <c r="AS95" s="95">
        <f>IF($A95="",0,IF(AND(OR(COCKPIT!$H$4="Toutes",$C95=COCKPIT!$H$4),OR(COCKPIT!$K$4="Toutes",$B95=COCKPIT!$K$4)),1,0))</f>
        <v/>
      </c>
    </row>
    <row r="96" ht="15" customHeight="1">
      <c r="A96" s="87" t="n"/>
      <c r="B96" s="88" t="n"/>
      <c r="C96" s="88" t="n"/>
      <c r="D96" s="88" t="n"/>
      <c r="E96" s="88" t="n"/>
      <c r="F96" s="89" t="n"/>
      <c r="G96" s="89" t="n"/>
      <c r="H96" s="89" t="n"/>
      <c r="I96" s="89" t="n"/>
      <c r="J96" s="89" t="n"/>
      <c r="K96" s="89" t="n"/>
      <c r="L96" s="89" t="n"/>
      <c r="M96" s="89" t="n"/>
      <c r="N96" s="89" t="n"/>
      <c r="O96" s="90">
        <f>IF($E96="","",IFERROR(INDEX(PARAMETRES!$O$7:$O$36,MATCH($E96,PARAMETRES!$M$7:$M$36,0)),""))</f>
        <v/>
      </c>
      <c r="P96" s="89" t="n"/>
      <c r="Q96" s="89" t="n"/>
      <c r="R96" s="89" t="n"/>
      <c r="S96" s="89" t="n"/>
      <c r="T96" s="89" t="n"/>
      <c r="U96" s="91" t="n"/>
      <c r="V96" s="91" t="n"/>
      <c r="W96" s="91" t="n"/>
      <c r="X96" s="89" t="n"/>
      <c r="Y96" s="89" t="n"/>
      <c r="Z96" s="88" t="n"/>
      <c r="AA96" s="88" t="n"/>
      <c r="AB96" s="92">
        <f>IF($A96="","",MAX(0,$F96-$G96))</f>
        <v/>
      </c>
      <c r="AC96" s="92">
        <f>IF($A96="","",SUM($H96:$M96))</f>
        <v/>
      </c>
      <c r="AD96" s="92">
        <f>IF($A96="","",MAX(0,$AB96-$AC96))</f>
        <v/>
      </c>
      <c r="AE96" s="92">
        <f>IF($A96="","",IFERROR($Q96/$O96,""))</f>
        <v/>
      </c>
      <c r="AF96" s="93">
        <f>IF($A96="","",IFERROR($AD96/$AB96,""))</f>
        <v/>
      </c>
      <c r="AG96" s="93">
        <f>IF($A96="","",IFERROR(($P96/$O96)/$AD96,""))</f>
        <v/>
      </c>
      <c r="AH96" s="93">
        <f>IF($A96="","",IFERROR($Q96/$P96,""))</f>
        <v/>
      </c>
      <c r="AI96" s="93">
        <f>IF($A96="","",IFERROR($AF96*$AG96*$AH96,""))</f>
        <v/>
      </c>
      <c r="AJ96" s="93">
        <f>IF($A96="","",IFERROR($AE96/$F96,""))</f>
        <v/>
      </c>
      <c r="AK96" s="92">
        <f>IF($A96="","",IFERROR($AD96/$N96,""))</f>
        <v/>
      </c>
      <c r="AL96" s="92">
        <f>IF($A96="","",IFERROR($H96/$N96,""))</f>
        <v/>
      </c>
      <c r="AM96" s="92">
        <f>IF($A96="","",IFERROR(($P96-$Q96)/$P96*1000000,""))</f>
        <v/>
      </c>
      <c r="AN96" s="93">
        <f>IF($A96="","",IFERROR(($Q96+$R96)/$T96,""))</f>
        <v/>
      </c>
      <c r="AO96" s="93">
        <f>IF($A96="","",IFERROR($V96/$U96,""))</f>
        <v/>
      </c>
      <c r="AP96" s="92">
        <f>IF($A96="","",IFERROR(MAX(0,$AD96-$P96/$O96),""))</f>
        <v/>
      </c>
      <c r="AQ96" s="92">
        <f>IF($A96="","",IFERROR(($P96-$Q96)/$O96,""))</f>
        <v/>
      </c>
      <c r="AR96" s="94">
        <f>IF($A96="","",IF($F96="","Temps d'ouverture manquant",IF($O96="","Cadence produit inconnue",IF($G96&gt;$F96,"Arrêts planifiés &gt; temps d'ouverture",IF($AC96&gt;$AB96,"Arrêts subis &gt; temps requis",IF($P96&lt;&gt;$Q96+$R96+$S96,"Produite ≠ conforme + retouchée + rebutée",IF($Q96&gt;$P96,"Conforme &gt; produite",IF($V96&gt;$U96,"Présents &gt; prévus","OK"))))))))</f>
        <v/>
      </c>
      <c r="AS96" s="95">
        <f>IF($A96="",0,IF(AND(OR(COCKPIT!$H$4="Toutes",$C96=COCKPIT!$H$4),OR(COCKPIT!$K$4="Toutes",$B96=COCKPIT!$K$4)),1,0))</f>
        <v/>
      </c>
    </row>
    <row r="97" ht="15" customHeight="1">
      <c r="A97" s="87" t="n"/>
      <c r="B97" s="88" t="n"/>
      <c r="C97" s="88" t="n"/>
      <c r="D97" s="88" t="n"/>
      <c r="E97" s="88" t="n"/>
      <c r="F97" s="89" t="n"/>
      <c r="G97" s="89" t="n"/>
      <c r="H97" s="89" t="n"/>
      <c r="I97" s="89" t="n"/>
      <c r="J97" s="89" t="n"/>
      <c r="K97" s="89" t="n"/>
      <c r="L97" s="89" t="n"/>
      <c r="M97" s="89" t="n"/>
      <c r="N97" s="89" t="n"/>
      <c r="O97" s="90">
        <f>IF($E97="","",IFERROR(INDEX(PARAMETRES!$O$7:$O$36,MATCH($E97,PARAMETRES!$M$7:$M$36,0)),""))</f>
        <v/>
      </c>
      <c r="P97" s="89" t="n"/>
      <c r="Q97" s="89" t="n"/>
      <c r="R97" s="89" t="n"/>
      <c r="S97" s="89" t="n"/>
      <c r="T97" s="89" t="n"/>
      <c r="U97" s="91" t="n"/>
      <c r="V97" s="91" t="n"/>
      <c r="W97" s="91" t="n"/>
      <c r="X97" s="89" t="n"/>
      <c r="Y97" s="89" t="n"/>
      <c r="Z97" s="88" t="n"/>
      <c r="AA97" s="88" t="n"/>
      <c r="AB97" s="92">
        <f>IF($A97="","",MAX(0,$F97-$G97))</f>
        <v/>
      </c>
      <c r="AC97" s="92">
        <f>IF($A97="","",SUM($H97:$M97))</f>
        <v/>
      </c>
      <c r="AD97" s="92">
        <f>IF($A97="","",MAX(0,$AB97-$AC97))</f>
        <v/>
      </c>
      <c r="AE97" s="92">
        <f>IF($A97="","",IFERROR($Q97/$O97,""))</f>
        <v/>
      </c>
      <c r="AF97" s="93">
        <f>IF($A97="","",IFERROR($AD97/$AB97,""))</f>
        <v/>
      </c>
      <c r="AG97" s="93">
        <f>IF($A97="","",IFERROR(($P97/$O97)/$AD97,""))</f>
        <v/>
      </c>
      <c r="AH97" s="93">
        <f>IF($A97="","",IFERROR($Q97/$P97,""))</f>
        <v/>
      </c>
      <c r="AI97" s="93">
        <f>IF($A97="","",IFERROR($AF97*$AG97*$AH97,""))</f>
        <v/>
      </c>
      <c r="AJ97" s="93">
        <f>IF($A97="","",IFERROR($AE97/$F97,""))</f>
        <v/>
      </c>
      <c r="AK97" s="92">
        <f>IF($A97="","",IFERROR($AD97/$N97,""))</f>
        <v/>
      </c>
      <c r="AL97" s="92">
        <f>IF($A97="","",IFERROR($H97/$N97,""))</f>
        <v/>
      </c>
      <c r="AM97" s="92">
        <f>IF($A97="","",IFERROR(($P97-$Q97)/$P97*1000000,""))</f>
        <v/>
      </c>
      <c r="AN97" s="93">
        <f>IF($A97="","",IFERROR(($Q97+$R97)/$T97,""))</f>
        <v/>
      </c>
      <c r="AO97" s="93">
        <f>IF($A97="","",IFERROR($V97/$U97,""))</f>
        <v/>
      </c>
      <c r="AP97" s="92">
        <f>IF($A97="","",IFERROR(MAX(0,$AD97-$P97/$O97),""))</f>
        <v/>
      </c>
      <c r="AQ97" s="92">
        <f>IF($A97="","",IFERROR(($P97-$Q97)/$O97,""))</f>
        <v/>
      </c>
      <c r="AR97" s="94">
        <f>IF($A97="","",IF($F97="","Temps d'ouverture manquant",IF($O97="","Cadence produit inconnue",IF($G97&gt;$F97,"Arrêts planifiés &gt; temps d'ouverture",IF($AC97&gt;$AB97,"Arrêts subis &gt; temps requis",IF($P97&lt;&gt;$Q97+$R97+$S97,"Produite ≠ conforme + retouchée + rebutée",IF($Q97&gt;$P97,"Conforme &gt; produite",IF($V97&gt;$U97,"Présents &gt; prévus","OK"))))))))</f>
        <v/>
      </c>
      <c r="AS97" s="95">
        <f>IF($A97="",0,IF(AND(OR(COCKPIT!$H$4="Toutes",$C97=COCKPIT!$H$4),OR(COCKPIT!$K$4="Toutes",$B97=COCKPIT!$K$4)),1,0))</f>
        <v/>
      </c>
    </row>
    <row r="98" ht="15" customHeight="1">
      <c r="A98" s="87" t="n"/>
      <c r="B98" s="88" t="n"/>
      <c r="C98" s="88" t="n"/>
      <c r="D98" s="88" t="n"/>
      <c r="E98" s="88" t="n"/>
      <c r="F98" s="89" t="n"/>
      <c r="G98" s="89" t="n"/>
      <c r="H98" s="89" t="n"/>
      <c r="I98" s="89" t="n"/>
      <c r="J98" s="89" t="n"/>
      <c r="K98" s="89" t="n"/>
      <c r="L98" s="89" t="n"/>
      <c r="M98" s="89" t="n"/>
      <c r="N98" s="89" t="n"/>
      <c r="O98" s="90">
        <f>IF($E98="","",IFERROR(INDEX(PARAMETRES!$O$7:$O$36,MATCH($E98,PARAMETRES!$M$7:$M$36,0)),""))</f>
        <v/>
      </c>
      <c r="P98" s="89" t="n"/>
      <c r="Q98" s="89" t="n"/>
      <c r="R98" s="89" t="n"/>
      <c r="S98" s="89" t="n"/>
      <c r="T98" s="89" t="n"/>
      <c r="U98" s="91" t="n"/>
      <c r="V98" s="91" t="n"/>
      <c r="W98" s="91" t="n"/>
      <c r="X98" s="89" t="n"/>
      <c r="Y98" s="89" t="n"/>
      <c r="Z98" s="88" t="n"/>
      <c r="AA98" s="88" t="n"/>
      <c r="AB98" s="92">
        <f>IF($A98="","",MAX(0,$F98-$G98))</f>
        <v/>
      </c>
      <c r="AC98" s="92">
        <f>IF($A98="","",SUM($H98:$M98))</f>
        <v/>
      </c>
      <c r="AD98" s="92">
        <f>IF($A98="","",MAX(0,$AB98-$AC98))</f>
        <v/>
      </c>
      <c r="AE98" s="92">
        <f>IF($A98="","",IFERROR($Q98/$O98,""))</f>
        <v/>
      </c>
      <c r="AF98" s="93">
        <f>IF($A98="","",IFERROR($AD98/$AB98,""))</f>
        <v/>
      </c>
      <c r="AG98" s="93">
        <f>IF($A98="","",IFERROR(($P98/$O98)/$AD98,""))</f>
        <v/>
      </c>
      <c r="AH98" s="93">
        <f>IF($A98="","",IFERROR($Q98/$P98,""))</f>
        <v/>
      </c>
      <c r="AI98" s="93">
        <f>IF($A98="","",IFERROR($AF98*$AG98*$AH98,""))</f>
        <v/>
      </c>
      <c r="AJ98" s="93">
        <f>IF($A98="","",IFERROR($AE98/$F98,""))</f>
        <v/>
      </c>
      <c r="AK98" s="92">
        <f>IF($A98="","",IFERROR($AD98/$N98,""))</f>
        <v/>
      </c>
      <c r="AL98" s="92">
        <f>IF($A98="","",IFERROR($H98/$N98,""))</f>
        <v/>
      </c>
      <c r="AM98" s="92">
        <f>IF($A98="","",IFERROR(($P98-$Q98)/$P98*1000000,""))</f>
        <v/>
      </c>
      <c r="AN98" s="93">
        <f>IF($A98="","",IFERROR(($Q98+$R98)/$T98,""))</f>
        <v/>
      </c>
      <c r="AO98" s="93">
        <f>IF($A98="","",IFERROR($V98/$U98,""))</f>
        <v/>
      </c>
      <c r="AP98" s="92">
        <f>IF($A98="","",IFERROR(MAX(0,$AD98-$P98/$O98),""))</f>
        <v/>
      </c>
      <c r="AQ98" s="92">
        <f>IF($A98="","",IFERROR(($P98-$Q98)/$O98,""))</f>
        <v/>
      </c>
      <c r="AR98" s="94">
        <f>IF($A98="","",IF($F98="","Temps d'ouverture manquant",IF($O98="","Cadence produit inconnue",IF($G98&gt;$F98,"Arrêts planifiés &gt; temps d'ouverture",IF($AC98&gt;$AB98,"Arrêts subis &gt; temps requis",IF($P98&lt;&gt;$Q98+$R98+$S98,"Produite ≠ conforme + retouchée + rebutée",IF($Q98&gt;$P98,"Conforme &gt; produite",IF($V98&gt;$U98,"Présents &gt; prévus","OK"))))))))</f>
        <v/>
      </c>
      <c r="AS98" s="95">
        <f>IF($A98="",0,IF(AND(OR(COCKPIT!$H$4="Toutes",$C98=COCKPIT!$H$4),OR(COCKPIT!$K$4="Toutes",$B98=COCKPIT!$K$4)),1,0))</f>
        <v/>
      </c>
    </row>
    <row r="99" ht="15" customHeight="1">
      <c r="A99" s="87" t="n"/>
      <c r="B99" s="88" t="n"/>
      <c r="C99" s="88" t="n"/>
      <c r="D99" s="88" t="n"/>
      <c r="E99" s="88" t="n"/>
      <c r="F99" s="89" t="n"/>
      <c r="G99" s="89" t="n"/>
      <c r="H99" s="89" t="n"/>
      <c r="I99" s="89" t="n"/>
      <c r="J99" s="89" t="n"/>
      <c r="K99" s="89" t="n"/>
      <c r="L99" s="89" t="n"/>
      <c r="M99" s="89" t="n"/>
      <c r="N99" s="89" t="n"/>
      <c r="O99" s="90">
        <f>IF($E99="","",IFERROR(INDEX(PARAMETRES!$O$7:$O$36,MATCH($E99,PARAMETRES!$M$7:$M$36,0)),""))</f>
        <v/>
      </c>
      <c r="P99" s="89" t="n"/>
      <c r="Q99" s="89" t="n"/>
      <c r="R99" s="89" t="n"/>
      <c r="S99" s="89" t="n"/>
      <c r="T99" s="89" t="n"/>
      <c r="U99" s="91" t="n"/>
      <c r="V99" s="91" t="n"/>
      <c r="W99" s="91" t="n"/>
      <c r="X99" s="89" t="n"/>
      <c r="Y99" s="89" t="n"/>
      <c r="Z99" s="88" t="n"/>
      <c r="AA99" s="88" t="n"/>
      <c r="AB99" s="92">
        <f>IF($A99="","",MAX(0,$F99-$G99))</f>
        <v/>
      </c>
      <c r="AC99" s="92">
        <f>IF($A99="","",SUM($H99:$M99))</f>
        <v/>
      </c>
      <c r="AD99" s="92">
        <f>IF($A99="","",MAX(0,$AB99-$AC99))</f>
        <v/>
      </c>
      <c r="AE99" s="92">
        <f>IF($A99="","",IFERROR($Q99/$O99,""))</f>
        <v/>
      </c>
      <c r="AF99" s="93">
        <f>IF($A99="","",IFERROR($AD99/$AB99,""))</f>
        <v/>
      </c>
      <c r="AG99" s="93">
        <f>IF($A99="","",IFERROR(($P99/$O99)/$AD99,""))</f>
        <v/>
      </c>
      <c r="AH99" s="93">
        <f>IF($A99="","",IFERROR($Q99/$P99,""))</f>
        <v/>
      </c>
      <c r="AI99" s="93">
        <f>IF($A99="","",IFERROR($AF99*$AG99*$AH99,""))</f>
        <v/>
      </c>
      <c r="AJ99" s="93">
        <f>IF($A99="","",IFERROR($AE99/$F99,""))</f>
        <v/>
      </c>
      <c r="AK99" s="92">
        <f>IF($A99="","",IFERROR($AD99/$N99,""))</f>
        <v/>
      </c>
      <c r="AL99" s="92">
        <f>IF($A99="","",IFERROR($H99/$N99,""))</f>
        <v/>
      </c>
      <c r="AM99" s="92">
        <f>IF($A99="","",IFERROR(($P99-$Q99)/$P99*1000000,""))</f>
        <v/>
      </c>
      <c r="AN99" s="93">
        <f>IF($A99="","",IFERROR(($Q99+$R99)/$T99,""))</f>
        <v/>
      </c>
      <c r="AO99" s="93">
        <f>IF($A99="","",IFERROR($V99/$U99,""))</f>
        <v/>
      </c>
      <c r="AP99" s="92">
        <f>IF($A99="","",IFERROR(MAX(0,$AD99-$P99/$O99),""))</f>
        <v/>
      </c>
      <c r="AQ99" s="92">
        <f>IF($A99="","",IFERROR(($P99-$Q99)/$O99,""))</f>
        <v/>
      </c>
      <c r="AR99" s="94">
        <f>IF($A99="","",IF($F99="","Temps d'ouverture manquant",IF($O99="","Cadence produit inconnue",IF($G99&gt;$F99,"Arrêts planifiés &gt; temps d'ouverture",IF($AC99&gt;$AB99,"Arrêts subis &gt; temps requis",IF($P99&lt;&gt;$Q99+$R99+$S99,"Produite ≠ conforme + retouchée + rebutée",IF($Q99&gt;$P99,"Conforme &gt; produite",IF($V99&gt;$U99,"Présents &gt; prévus","OK"))))))))</f>
        <v/>
      </c>
      <c r="AS99" s="95">
        <f>IF($A99="",0,IF(AND(OR(COCKPIT!$H$4="Toutes",$C99=COCKPIT!$H$4),OR(COCKPIT!$K$4="Toutes",$B99=COCKPIT!$K$4)),1,0))</f>
        <v/>
      </c>
    </row>
    <row r="100" ht="15" customHeight="1">
      <c r="A100" s="87" t="n"/>
      <c r="B100" s="88" t="n"/>
      <c r="C100" s="88" t="n"/>
      <c r="D100" s="88" t="n"/>
      <c r="E100" s="88" t="n"/>
      <c r="F100" s="89" t="n"/>
      <c r="G100" s="89" t="n"/>
      <c r="H100" s="89" t="n"/>
      <c r="I100" s="89" t="n"/>
      <c r="J100" s="89" t="n"/>
      <c r="K100" s="89" t="n"/>
      <c r="L100" s="89" t="n"/>
      <c r="M100" s="89" t="n"/>
      <c r="N100" s="89" t="n"/>
      <c r="O100" s="90">
        <f>IF($E100="","",IFERROR(INDEX(PARAMETRES!$O$7:$O$36,MATCH($E100,PARAMETRES!$M$7:$M$36,0)),""))</f>
        <v/>
      </c>
      <c r="P100" s="89" t="n"/>
      <c r="Q100" s="89" t="n"/>
      <c r="R100" s="89" t="n"/>
      <c r="S100" s="89" t="n"/>
      <c r="T100" s="89" t="n"/>
      <c r="U100" s="91" t="n"/>
      <c r="V100" s="91" t="n"/>
      <c r="W100" s="91" t="n"/>
      <c r="X100" s="89" t="n"/>
      <c r="Y100" s="89" t="n"/>
      <c r="Z100" s="88" t="n"/>
      <c r="AA100" s="88" t="n"/>
      <c r="AB100" s="92">
        <f>IF($A100="","",MAX(0,$F100-$G100))</f>
        <v/>
      </c>
      <c r="AC100" s="92">
        <f>IF($A100="","",SUM($H100:$M100))</f>
        <v/>
      </c>
      <c r="AD100" s="92">
        <f>IF($A100="","",MAX(0,$AB100-$AC100))</f>
        <v/>
      </c>
      <c r="AE100" s="92">
        <f>IF($A100="","",IFERROR($Q100/$O100,""))</f>
        <v/>
      </c>
      <c r="AF100" s="93">
        <f>IF($A100="","",IFERROR($AD100/$AB100,""))</f>
        <v/>
      </c>
      <c r="AG100" s="93">
        <f>IF($A100="","",IFERROR(($P100/$O100)/$AD100,""))</f>
        <v/>
      </c>
      <c r="AH100" s="93">
        <f>IF($A100="","",IFERROR($Q100/$P100,""))</f>
        <v/>
      </c>
      <c r="AI100" s="93">
        <f>IF($A100="","",IFERROR($AF100*$AG100*$AH100,""))</f>
        <v/>
      </c>
      <c r="AJ100" s="93">
        <f>IF($A100="","",IFERROR($AE100/$F100,""))</f>
        <v/>
      </c>
      <c r="AK100" s="92">
        <f>IF($A100="","",IFERROR($AD100/$N100,""))</f>
        <v/>
      </c>
      <c r="AL100" s="92">
        <f>IF($A100="","",IFERROR($H100/$N100,""))</f>
        <v/>
      </c>
      <c r="AM100" s="92">
        <f>IF($A100="","",IFERROR(($P100-$Q100)/$P100*1000000,""))</f>
        <v/>
      </c>
      <c r="AN100" s="93">
        <f>IF($A100="","",IFERROR(($Q100+$R100)/$T100,""))</f>
        <v/>
      </c>
      <c r="AO100" s="93">
        <f>IF($A100="","",IFERROR($V100/$U100,""))</f>
        <v/>
      </c>
      <c r="AP100" s="92">
        <f>IF($A100="","",IFERROR(MAX(0,$AD100-$P100/$O100),""))</f>
        <v/>
      </c>
      <c r="AQ100" s="92">
        <f>IF($A100="","",IFERROR(($P100-$Q100)/$O100,""))</f>
        <v/>
      </c>
      <c r="AR100" s="94">
        <f>IF($A100="","",IF($F100="","Temps d'ouverture manquant",IF($O100="","Cadence produit inconnue",IF($G100&gt;$F100,"Arrêts planifiés &gt; temps d'ouverture",IF($AC100&gt;$AB100,"Arrêts subis &gt; temps requis",IF($P100&lt;&gt;$Q100+$R100+$S100,"Produite ≠ conforme + retouchée + rebutée",IF($Q100&gt;$P100,"Conforme &gt; produite",IF($V100&gt;$U100,"Présents &gt; prévus","OK"))))))))</f>
        <v/>
      </c>
      <c r="AS100" s="95">
        <f>IF($A100="",0,IF(AND(OR(COCKPIT!$H$4="Toutes",$C100=COCKPIT!$H$4),OR(COCKPIT!$K$4="Toutes",$B100=COCKPIT!$K$4)),1,0))</f>
        <v/>
      </c>
    </row>
    <row r="101" ht="15" customHeight="1">
      <c r="A101" s="87" t="n"/>
      <c r="B101" s="88" t="n"/>
      <c r="C101" s="88" t="n"/>
      <c r="D101" s="88" t="n"/>
      <c r="E101" s="88" t="n"/>
      <c r="F101" s="89" t="n"/>
      <c r="G101" s="89" t="n"/>
      <c r="H101" s="89" t="n"/>
      <c r="I101" s="89" t="n"/>
      <c r="J101" s="89" t="n"/>
      <c r="K101" s="89" t="n"/>
      <c r="L101" s="89" t="n"/>
      <c r="M101" s="89" t="n"/>
      <c r="N101" s="89" t="n"/>
      <c r="O101" s="90">
        <f>IF($E101="","",IFERROR(INDEX(PARAMETRES!$O$7:$O$36,MATCH($E101,PARAMETRES!$M$7:$M$36,0)),""))</f>
        <v/>
      </c>
      <c r="P101" s="89" t="n"/>
      <c r="Q101" s="89" t="n"/>
      <c r="R101" s="89" t="n"/>
      <c r="S101" s="89" t="n"/>
      <c r="T101" s="89" t="n"/>
      <c r="U101" s="91" t="n"/>
      <c r="V101" s="91" t="n"/>
      <c r="W101" s="91" t="n"/>
      <c r="X101" s="89" t="n"/>
      <c r="Y101" s="89" t="n"/>
      <c r="Z101" s="88" t="n"/>
      <c r="AA101" s="88" t="n"/>
      <c r="AB101" s="92">
        <f>IF($A101="","",MAX(0,$F101-$G101))</f>
        <v/>
      </c>
      <c r="AC101" s="92">
        <f>IF($A101="","",SUM($H101:$M101))</f>
        <v/>
      </c>
      <c r="AD101" s="92">
        <f>IF($A101="","",MAX(0,$AB101-$AC101))</f>
        <v/>
      </c>
      <c r="AE101" s="92">
        <f>IF($A101="","",IFERROR($Q101/$O101,""))</f>
        <v/>
      </c>
      <c r="AF101" s="93">
        <f>IF($A101="","",IFERROR($AD101/$AB101,""))</f>
        <v/>
      </c>
      <c r="AG101" s="93">
        <f>IF($A101="","",IFERROR(($P101/$O101)/$AD101,""))</f>
        <v/>
      </c>
      <c r="AH101" s="93">
        <f>IF($A101="","",IFERROR($Q101/$P101,""))</f>
        <v/>
      </c>
      <c r="AI101" s="93">
        <f>IF($A101="","",IFERROR($AF101*$AG101*$AH101,""))</f>
        <v/>
      </c>
      <c r="AJ101" s="93">
        <f>IF($A101="","",IFERROR($AE101/$F101,""))</f>
        <v/>
      </c>
      <c r="AK101" s="92">
        <f>IF($A101="","",IFERROR($AD101/$N101,""))</f>
        <v/>
      </c>
      <c r="AL101" s="92">
        <f>IF($A101="","",IFERROR($H101/$N101,""))</f>
        <v/>
      </c>
      <c r="AM101" s="92">
        <f>IF($A101="","",IFERROR(($P101-$Q101)/$P101*1000000,""))</f>
        <v/>
      </c>
      <c r="AN101" s="93">
        <f>IF($A101="","",IFERROR(($Q101+$R101)/$T101,""))</f>
        <v/>
      </c>
      <c r="AO101" s="93">
        <f>IF($A101="","",IFERROR($V101/$U101,""))</f>
        <v/>
      </c>
      <c r="AP101" s="92">
        <f>IF($A101="","",IFERROR(MAX(0,$AD101-$P101/$O101),""))</f>
        <v/>
      </c>
      <c r="AQ101" s="92">
        <f>IF($A101="","",IFERROR(($P101-$Q101)/$O101,""))</f>
        <v/>
      </c>
      <c r="AR101" s="94">
        <f>IF($A101="","",IF($F101="","Temps d'ouverture manquant",IF($O101="","Cadence produit inconnue",IF($G101&gt;$F101,"Arrêts planifiés &gt; temps d'ouverture",IF($AC101&gt;$AB101,"Arrêts subis &gt; temps requis",IF($P101&lt;&gt;$Q101+$R101+$S101,"Produite ≠ conforme + retouchée + rebutée",IF($Q101&gt;$P101,"Conforme &gt; produite",IF($V101&gt;$U101,"Présents &gt; prévus","OK"))))))))</f>
        <v/>
      </c>
      <c r="AS101" s="95">
        <f>IF($A101="",0,IF(AND(OR(COCKPIT!$H$4="Toutes",$C101=COCKPIT!$H$4),OR(COCKPIT!$K$4="Toutes",$B101=COCKPIT!$K$4)),1,0))</f>
        <v/>
      </c>
    </row>
    <row r="102" ht="15" customHeight="1">
      <c r="A102" s="87" t="n"/>
      <c r="B102" s="88" t="n"/>
      <c r="C102" s="88" t="n"/>
      <c r="D102" s="88" t="n"/>
      <c r="E102" s="88" t="n"/>
      <c r="F102" s="89" t="n"/>
      <c r="G102" s="89" t="n"/>
      <c r="H102" s="89" t="n"/>
      <c r="I102" s="89" t="n"/>
      <c r="J102" s="89" t="n"/>
      <c r="K102" s="89" t="n"/>
      <c r="L102" s="89" t="n"/>
      <c r="M102" s="89" t="n"/>
      <c r="N102" s="89" t="n"/>
      <c r="O102" s="90">
        <f>IF($E102="","",IFERROR(INDEX(PARAMETRES!$O$7:$O$36,MATCH($E102,PARAMETRES!$M$7:$M$36,0)),""))</f>
        <v/>
      </c>
      <c r="P102" s="89" t="n"/>
      <c r="Q102" s="89" t="n"/>
      <c r="R102" s="89" t="n"/>
      <c r="S102" s="89" t="n"/>
      <c r="T102" s="89" t="n"/>
      <c r="U102" s="91" t="n"/>
      <c r="V102" s="91" t="n"/>
      <c r="W102" s="91" t="n"/>
      <c r="X102" s="89" t="n"/>
      <c r="Y102" s="89" t="n"/>
      <c r="Z102" s="88" t="n"/>
      <c r="AA102" s="88" t="n"/>
      <c r="AB102" s="92">
        <f>IF($A102="","",MAX(0,$F102-$G102))</f>
        <v/>
      </c>
      <c r="AC102" s="92">
        <f>IF($A102="","",SUM($H102:$M102))</f>
        <v/>
      </c>
      <c r="AD102" s="92">
        <f>IF($A102="","",MAX(0,$AB102-$AC102))</f>
        <v/>
      </c>
      <c r="AE102" s="92">
        <f>IF($A102="","",IFERROR($Q102/$O102,""))</f>
        <v/>
      </c>
      <c r="AF102" s="93">
        <f>IF($A102="","",IFERROR($AD102/$AB102,""))</f>
        <v/>
      </c>
      <c r="AG102" s="93">
        <f>IF($A102="","",IFERROR(($P102/$O102)/$AD102,""))</f>
        <v/>
      </c>
      <c r="AH102" s="93">
        <f>IF($A102="","",IFERROR($Q102/$P102,""))</f>
        <v/>
      </c>
      <c r="AI102" s="93">
        <f>IF($A102="","",IFERROR($AF102*$AG102*$AH102,""))</f>
        <v/>
      </c>
      <c r="AJ102" s="93">
        <f>IF($A102="","",IFERROR($AE102/$F102,""))</f>
        <v/>
      </c>
      <c r="AK102" s="92">
        <f>IF($A102="","",IFERROR($AD102/$N102,""))</f>
        <v/>
      </c>
      <c r="AL102" s="92">
        <f>IF($A102="","",IFERROR($H102/$N102,""))</f>
        <v/>
      </c>
      <c r="AM102" s="92">
        <f>IF($A102="","",IFERROR(($P102-$Q102)/$P102*1000000,""))</f>
        <v/>
      </c>
      <c r="AN102" s="93">
        <f>IF($A102="","",IFERROR(($Q102+$R102)/$T102,""))</f>
        <v/>
      </c>
      <c r="AO102" s="93">
        <f>IF($A102="","",IFERROR($V102/$U102,""))</f>
        <v/>
      </c>
      <c r="AP102" s="92">
        <f>IF($A102="","",IFERROR(MAX(0,$AD102-$P102/$O102),""))</f>
        <v/>
      </c>
      <c r="AQ102" s="92">
        <f>IF($A102="","",IFERROR(($P102-$Q102)/$O102,""))</f>
        <v/>
      </c>
      <c r="AR102" s="94">
        <f>IF($A102="","",IF($F102="","Temps d'ouverture manquant",IF($O102="","Cadence produit inconnue",IF($G102&gt;$F102,"Arrêts planifiés &gt; temps d'ouverture",IF($AC102&gt;$AB102,"Arrêts subis &gt; temps requis",IF($P102&lt;&gt;$Q102+$R102+$S102,"Produite ≠ conforme + retouchée + rebutée",IF($Q102&gt;$P102,"Conforme &gt; produite",IF($V102&gt;$U102,"Présents &gt; prévus","OK"))))))))</f>
        <v/>
      </c>
      <c r="AS102" s="95">
        <f>IF($A102="",0,IF(AND(OR(COCKPIT!$H$4="Toutes",$C102=COCKPIT!$H$4),OR(COCKPIT!$K$4="Toutes",$B102=COCKPIT!$K$4)),1,0))</f>
        <v/>
      </c>
    </row>
    <row r="103" ht="15" customHeight="1">
      <c r="A103" s="87" t="n"/>
      <c r="B103" s="88" t="n"/>
      <c r="C103" s="88" t="n"/>
      <c r="D103" s="88" t="n"/>
      <c r="E103" s="88" t="n"/>
      <c r="F103" s="89" t="n"/>
      <c r="G103" s="89" t="n"/>
      <c r="H103" s="89" t="n"/>
      <c r="I103" s="89" t="n"/>
      <c r="J103" s="89" t="n"/>
      <c r="K103" s="89" t="n"/>
      <c r="L103" s="89" t="n"/>
      <c r="M103" s="89" t="n"/>
      <c r="N103" s="89" t="n"/>
      <c r="O103" s="90">
        <f>IF($E103="","",IFERROR(INDEX(PARAMETRES!$O$7:$O$36,MATCH($E103,PARAMETRES!$M$7:$M$36,0)),""))</f>
        <v/>
      </c>
      <c r="P103" s="89" t="n"/>
      <c r="Q103" s="89" t="n"/>
      <c r="R103" s="89" t="n"/>
      <c r="S103" s="89" t="n"/>
      <c r="T103" s="89" t="n"/>
      <c r="U103" s="91" t="n"/>
      <c r="V103" s="91" t="n"/>
      <c r="W103" s="91" t="n"/>
      <c r="X103" s="89" t="n"/>
      <c r="Y103" s="89" t="n"/>
      <c r="Z103" s="88" t="n"/>
      <c r="AA103" s="88" t="n"/>
      <c r="AB103" s="92">
        <f>IF($A103="","",MAX(0,$F103-$G103))</f>
        <v/>
      </c>
      <c r="AC103" s="92">
        <f>IF($A103="","",SUM($H103:$M103))</f>
        <v/>
      </c>
      <c r="AD103" s="92">
        <f>IF($A103="","",MAX(0,$AB103-$AC103))</f>
        <v/>
      </c>
      <c r="AE103" s="92">
        <f>IF($A103="","",IFERROR($Q103/$O103,""))</f>
        <v/>
      </c>
      <c r="AF103" s="93">
        <f>IF($A103="","",IFERROR($AD103/$AB103,""))</f>
        <v/>
      </c>
      <c r="AG103" s="93">
        <f>IF($A103="","",IFERROR(($P103/$O103)/$AD103,""))</f>
        <v/>
      </c>
      <c r="AH103" s="93">
        <f>IF($A103="","",IFERROR($Q103/$P103,""))</f>
        <v/>
      </c>
      <c r="AI103" s="93">
        <f>IF($A103="","",IFERROR($AF103*$AG103*$AH103,""))</f>
        <v/>
      </c>
      <c r="AJ103" s="93">
        <f>IF($A103="","",IFERROR($AE103/$F103,""))</f>
        <v/>
      </c>
      <c r="AK103" s="92">
        <f>IF($A103="","",IFERROR($AD103/$N103,""))</f>
        <v/>
      </c>
      <c r="AL103" s="92">
        <f>IF($A103="","",IFERROR($H103/$N103,""))</f>
        <v/>
      </c>
      <c r="AM103" s="92">
        <f>IF($A103="","",IFERROR(($P103-$Q103)/$P103*1000000,""))</f>
        <v/>
      </c>
      <c r="AN103" s="93">
        <f>IF($A103="","",IFERROR(($Q103+$R103)/$T103,""))</f>
        <v/>
      </c>
      <c r="AO103" s="93">
        <f>IF($A103="","",IFERROR($V103/$U103,""))</f>
        <v/>
      </c>
      <c r="AP103" s="92">
        <f>IF($A103="","",IFERROR(MAX(0,$AD103-$P103/$O103),""))</f>
        <v/>
      </c>
      <c r="AQ103" s="92">
        <f>IF($A103="","",IFERROR(($P103-$Q103)/$O103,""))</f>
        <v/>
      </c>
      <c r="AR103" s="94">
        <f>IF($A103="","",IF($F103="","Temps d'ouverture manquant",IF($O103="","Cadence produit inconnue",IF($G103&gt;$F103,"Arrêts planifiés &gt; temps d'ouverture",IF($AC103&gt;$AB103,"Arrêts subis &gt; temps requis",IF($P103&lt;&gt;$Q103+$R103+$S103,"Produite ≠ conforme + retouchée + rebutée",IF($Q103&gt;$P103,"Conforme &gt; produite",IF($V103&gt;$U103,"Présents &gt; prévus","OK"))))))))</f>
        <v/>
      </c>
      <c r="AS103" s="95">
        <f>IF($A103="",0,IF(AND(OR(COCKPIT!$H$4="Toutes",$C103=COCKPIT!$H$4),OR(COCKPIT!$K$4="Toutes",$B103=COCKPIT!$K$4)),1,0))</f>
        <v/>
      </c>
    </row>
    <row r="104" ht="15" customHeight="1">
      <c r="A104" s="87" t="n"/>
      <c r="B104" s="88" t="n"/>
      <c r="C104" s="88" t="n"/>
      <c r="D104" s="88" t="n"/>
      <c r="E104" s="88" t="n"/>
      <c r="F104" s="89" t="n"/>
      <c r="G104" s="89" t="n"/>
      <c r="H104" s="89" t="n"/>
      <c r="I104" s="89" t="n"/>
      <c r="J104" s="89" t="n"/>
      <c r="K104" s="89" t="n"/>
      <c r="L104" s="89" t="n"/>
      <c r="M104" s="89" t="n"/>
      <c r="N104" s="89" t="n"/>
      <c r="O104" s="90">
        <f>IF($E104="","",IFERROR(INDEX(PARAMETRES!$O$7:$O$36,MATCH($E104,PARAMETRES!$M$7:$M$36,0)),""))</f>
        <v/>
      </c>
      <c r="P104" s="89" t="n"/>
      <c r="Q104" s="89" t="n"/>
      <c r="R104" s="89" t="n"/>
      <c r="S104" s="89" t="n"/>
      <c r="T104" s="89" t="n"/>
      <c r="U104" s="91" t="n"/>
      <c r="V104" s="91" t="n"/>
      <c r="W104" s="91" t="n"/>
      <c r="X104" s="89" t="n"/>
      <c r="Y104" s="89" t="n"/>
      <c r="Z104" s="88" t="n"/>
      <c r="AA104" s="88" t="n"/>
      <c r="AB104" s="92">
        <f>IF($A104="","",MAX(0,$F104-$G104))</f>
        <v/>
      </c>
      <c r="AC104" s="92">
        <f>IF($A104="","",SUM($H104:$M104))</f>
        <v/>
      </c>
      <c r="AD104" s="92">
        <f>IF($A104="","",MAX(0,$AB104-$AC104))</f>
        <v/>
      </c>
      <c r="AE104" s="92">
        <f>IF($A104="","",IFERROR($Q104/$O104,""))</f>
        <v/>
      </c>
      <c r="AF104" s="93">
        <f>IF($A104="","",IFERROR($AD104/$AB104,""))</f>
        <v/>
      </c>
      <c r="AG104" s="93">
        <f>IF($A104="","",IFERROR(($P104/$O104)/$AD104,""))</f>
        <v/>
      </c>
      <c r="AH104" s="93">
        <f>IF($A104="","",IFERROR($Q104/$P104,""))</f>
        <v/>
      </c>
      <c r="AI104" s="93">
        <f>IF($A104="","",IFERROR($AF104*$AG104*$AH104,""))</f>
        <v/>
      </c>
      <c r="AJ104" s="93">
        <f>IF($A104="","",IFERROR($AE104/$F104,""))</f>
        <v/>
      </c>
      <c r="AK104" s="92">
        <f>IF($A104="","",IFERROR($AD104/$N104,""))</f>
        <v/>
      </c>
      <c r="AL104" s="92">
        <f>IF($A104="","",IFERROR($H104/$N104,""))</f>
        <v/>
      </c>
      <c r="AM104" s="92">
        <f>IF($A104="","",IFERROR(($P104-$Q104)/$P104*1000000,""))</f>
        <v/>
      </c>
      <c r="AN104" s="93">
        <f>IF($A104="","",IFERROR(($Q104+$R104)/$T104,""))</f>
        <v/>
      </c>
      <c r="AO104" s="93">
        <f>IF($A104="","",IFERROR($V104/$U104,""))</f>
        <v/>
      </c>
      <c r="AP104" s="92">
        <f>IF($A104="","",IFERROR(MAX(0,$AD104-$P104/$O104),""))</f>
        <v/>
      </c>
      <c r="AQ104" s="92">
        <f>IF($A104="","",IFERROR(($P104-$Q104)/$O104,""))</f>
        <v/>
      </c>
      <c r="AR104" s="94">
        <f>IF($A104="","",IF($F104="","Temps d'ouverture manquant",IF($O104="","Cadence produit inconnue",IF($G104&gt;$F104,"Arrêts planifiés &gt; temps d'ouverture",IF($AC104&gt;$AB104,"Arrêts subis &gt; temps requis",IF($P104&lt;&gt;$Q104+$R104+$S104,"Produite ≠ conforme + retouchée + rebutée",IF($Q104&gt;$P104,"Conforme &gt; produite",IF($V104&gt;$U104,"Présents &gt; prévus","OK"))))))))</f>
        <v/>
      </c>
      <c r="AS104" s="95">
        <f>IF($A104="",0,IF(AND(OR(COCKPIT!$H$4="Toutes",$C104=COCKPIT!$H$4),OR(COCKPIT!$K$4="Toutes",$B104=COCKPIT!$K$4)),1,0))</f>
        <v/>
      </c>
    </row>
    <row r="105" ht="15" customHeight="1">
      <c r="A105" s="87" t="n"/>
      <c r="B105" s="88" t="n"/>
      <c r="C105" s="88" t="n"/>
      <c r="D105" s="88" t="n"/>
      <c r="E105" s="88" t="n"/>
      <c r="F105" s="89" t="n"/>
      <c r="G105" s="89" t="n"/>
      <c r="H105" s="89" t="n"/>
      <c r="I105" s="89" t="n"/>
      <c r="J105" s="89" t="n"/>
      <c r="K105" s="89" t="n"/>
      <c r="L105" s="89" t="n"/>
      <c r="M105" s="89" t="n"/>
      <c r="N105" s="89" t="n"/>
      <c r="O105" s="90">
        <f>IF($E105="","",IFERROR(INDEX(PARAMETRES!$O$7:$O$36,MATCH($E105,PARAMETRES!$M$7:$M$36,0)),""))</f>
        <v/>
      </c>
      <c r="P105" s="89" t="n"/>
      <c r="Q105" s="89" t="n"/>
      <c r="R105" s="89" t="n"/>
      <c r="S105" s="89" t="n"/>
      <c r="T105" s="89" t="n"/>
      <c r="U105" s="91" t="n"/>
      <c r="V105" s="91" t="n"/>
      <c r="W105" s="91" t="n"/>
      <c r="X105" s="89" t="n"/>
      <c r="Y105" s="89" t="n"/>
      <c r="Z105" s="88" t="n"/>
      <c r="AA105" s="88" t="n"/>
      <c r="AB105" s="92">
        <f>IF($A105="","",MAX(0,$F105-$G105))</f>
        <v/>
      </c>
      <c r="AC105" s="92">
        <f>IF($A105="","",SUM($H105:$M105))</f>
        <v/>
      </c>
      <c r="AD105" s="92">
        <f>IF($A105="","",MAX(0,$AB105-$AC105))</f>
        <v/>
      </c>
      <c r="AE105" s="92">
        <f>IF($A105="","",IFERROR($Q105/$O105,""))</f>
        <v/>
      </c>
      <c r="AF105" s="93">
        <f>IF($A105="","",IFERROR($AD105/$AB105,""))</f>
        <v/>
      </c>
      <c r="AG105" s="93">
        <f>IF($A105="","",IFERROR(($P105/$O105)/$AD105,""))</f>
        <v/>
      </c>
      <c r="AH105" s="93">
        <f>IF($A105="","",IFERROR($Q105/$P105,""))</f>
        <v/>
      </c>
      <c r="AI105" s="93">
        <f>IF($A105="","",IFERROR($AF105*$AG105*$AH105,""))</f>
        <v/>
      </c>
      <c r="AJ105" s="93">
        <f>IF($A105="","",IFERROR($AE105/$F105,""))</f>
        <v/>
      </c>
      <c r="AK105" s="92">
        <f>IF($A105="","",IFERROR($AD105/$N105,""))</f>
        <v/>
      </c>
      <c r="AL105" s="92">
        <f>IF($A105="","",IFERROR($H105/$N105,""))</f>
        <v/>
      </c>
      <c r="AM105" s="92">
        <f>IF($A105="","",IFERROR(($P105-$Q105)/$P105*1000000,""))</f>
        <v/>
      </c>
      <c r="AN105" s="93">
        <f>IF($A105="","",IFERROR(($Q105+$R105)/$T105,""))</f>
        <v/>
      </c>
      <c r="AO105" s="93">
        <f>IF($A105="","",IFERROR($V105/$U105,""))</f>
        <v/>
      </c>
      <c r="AP105" s="92">
        <f>IF($A105="","",IFERROR(MAX(0,$AD105-$P105/$O105),""))</f>
        <v/>
      </c>
      <c r="AQ105" s="92">
        <f>IF($A105="","",IFERROR(($P105-$Q105)/$O105,""))</f>
        <v/>
      </c>
      <c r="AR105" s="94">
        <f>IF($A105="","",IF($F105="","Temps d'ouverture manquant",IF($O105="","Cadence produit inconnue",IF($G105&gt;$F105,"Arrêts planifiés &gt; temps d'ouverture",IF($AC105&gt;$AB105,"Arrêts subis &gt; temps requis",IF($P105&lt;&gt;$Q105+$R105+$S105,"Produite ≠ conforme + retouchée + rebutée",IF($Q105&gt;$P105,"Conforme &gt; produite",IF($V105&gt;$U105,"Présents &gt; prévus","OK"))))))))</f>
        <v/>
      </c>
      <c r="AS105" s="95">
        <f>IF($A105="",0,IF(AND(OR(COCKPIT!$H$4="Toutes",$C105=COCKPIT!$H$4),OR(COCKPIT!$K$4="Toutes",$B105=COCKPIT!$K$4)),1,0))</f>
        <v/>
      </c>
    </row>
    <row r="106" ht="15" customHeight="1">
      <c r="A106" s="87" t="n"/>
      <c r="B106" s="88" t="n"/>
      <c r="C106" s="88" t="n"/>
      <c r="D106" s="88" t="n"/>
      <c r="E106" s="88" t="n"/>
      <c r="F106" s="89" t="n"/>
      <c r="G106" s="89" t="n"/>
      <c r="H106" s="89" t="n"/>
      <c r="I106" s="89" t="n"/>
      <c r="J106" s="89" t="n"/>
      <c r="K106" s="89" t="n"/>
      <c r="L106" s="89" t="n"/>
      <c r="M106" s="89" t="n"/>
      <c r="N106" s="89" t="n"/>
      <c r="O106" s="90">
        <f>IF($E106="","",IFERROR(INDEX(PARAMETRES!$O$7:$O$36,MATCH($E106,PARAMETRES!$M$7:$M$36,0)),""))</f>
        <v/>
      </c>
      <c r="P106" s="89" t="n"/>
      <c r="Q106" s="89" t="n"/>
      <c r="R106" s="89" t="n"/>
      <c r="S106" s="89" t="n"/>
      <c r="T106" s="89" t="n"/>
      <c r="U106" s="91" t="n"/>
      <c r="V106" s="91" t="n"/>
      <c r="W106" s="91" t="n"/>
      <c r="X106" s="89" t="n"/>
      <c r="Y106" s="89" t="n"/>
      <c r="Z106" s="88" t="n"/>
      <c r="AA106" s="88" t="n"/>
      <c r="AB106" s="92">
        <f>IF($A106="","",MAX(0,$F106-$G106))</f>
        <v/>
      </c>
      <c r="AC106" s="92">
        <f>IF($A106="","",SUM($H106:$M106))</f>
        <v/>
      </c>
      <c r="AD106" s="92">
        <f>IF($A106="","",MAX(0,$AB106-$AC106))</f>
        <v/>
      </c>
      <c r="AE106" s="92">
        <f>IF($A106="","",IFERROR($Q106/$O106,""))</f>
        <v/>
      </c>
      <c r="AF106" s="93">
        <f>IF($A106="","",IFERROR($AD106/$AB106,""))</f>
        <v/>
      </c>
      <c r="AG106" s="93">
        <f>IF($A106="","",IFERROR(($P106/$O106)/$AD106,""))</f>
        <v/>
      </c>
      <c r="AH106" s="93">
        <f>IF($A106="","",IFERROR($Q106/$P106,""))</f>
        <v/>
      </c>
      <c r="AI106" s="93">
        <f>IF($A106="","",IFERROR($AF106*$AG106*$AH106,""))</f>
        <v/>
      </c>
      <c r="AJ106" s="93">
        <f>IF($A106="","",IFERROR($AE106/$F106,""))</f>
        <v/>
      </c>
      <c r="AK106" s="92">
        <f>IF($A106="","",IFERROR($AD106/$N106,""))</f>
        <v/>
      </c>
      <c r="AL106" s="92">
        <f>IF($A106="","",IFERROR($H106/$N106,""))</f>
        <v/>
      </c>
      <c r="AM106" s="92">
        <f>IF($A106="","",IFERROR(($P106-$Q106)/$P106*1000000,""))</f>
        <v/>
      </c>
      <c r="AN106" s="93">
        <f>IF($A106="","",IFERROR(($Q106+$R106)/$T106,""))</f>
        <v/>
      </c>
      <c r="AO106" s="93">
        <f>IF($A106="","",IFERROR($V106/$U106,""))</f>
        <v/>
      </c>
      <c r="AP106" s="92">
        <f>IF($A106="","",IFERROR(MAX(0,$AD106-$P106/$O106),""))</f>
        <v/>
      </c>
      <c r="AQ106" s="92">
        <f>IF($A106="","",IFERROR(($P106-$Q106)/$O106,""))</f>
        <v/>
      </c>
      <c r="AR106" s="94">
        <f>IF($A106="","",IF($F106="","Temps d'ouverture manquant",IF($O106="","Cadence produit inconnue",IF($G106&gt;$F106,"Arrêts planifiés &gt; temps d'ouverture",IF($AC106&gt;$AB106,"Arrêts subis &gt; temps requis",IF($P106&lt;&gt;$Q106+$R106+$S106,"Produite ≠ conforme + retouchée + rebutée",IF($Q106&gt;$P106,"Conforme &gt; produite",IF($V106&gt;$U106,"Présents &gt; prévus","OK"))))))))</f>
        <v/>
      </c>
      <c r="AS106" s="95">
        <f>IF($A106="",0,IF(AND(OR(COCKPIT!$H$4="Toutes",$C106=COCKPIT!$H$4),OR(COCKPIT!$K$4="Toutes",$B106=COCKPIT!$K$4)),1,0))</f>
        <v/>
      </c>
    </row>
    <row r="107" ht="15" customHeight="1">
      <c r="A107" s="87" t="n"/>
      <c r="B107" s="88" t="n"/>
      <c r="C107" s="88" t="n"/>
      <c r="D107" s="88" t="n"/>
      <c r="E107" s="88" t="n"/>
      <c r="F107" s="89" t="n"/>
      <c r="G107" s="89" t="n"/>
      <c r="H107" s="89" t="n"/>
      <c r="I107" s="89" t="n"/>
      <c r="J107" s="89" t="n"/>
      <c r="K107" s="89" t="n"/>
      <c r="L107" s="89" t="n"/>
      <c r="M107" s="89" t="n"/>
      <c r="N107" s="89" t="n"/>
      <c r="O107" s="90">
        <f>IF($E107="","",IFERROR(INDEX(PARAMETRES!$O$7:$O$36,MATCH($E107,PARAMETRES!$M$7:$M$36,0)),""))</f>
        <v/>
      </c>
      <c r="P107" s="89" t="n"/>
      <c r="Q107" s="89" t="n"/>
      <c r="R107" s="89" t="n"/>
      <c r="S107" s="89" t="n"/>
      <c r="T107" s="89" t="n"/>
      <c r="U107" s="91" t="n"/>
      <c r="V107" s="91" t="n"/>
      <c r="W107" s="91" t="n"/>
      <c r="X107" s="89" t="n"/>
      <c r="Y107" s="89" t="n"/>
      <c r="Z107" s="88" t="n"/>
      <c r="AA107" s="88" t="n"/>
      <c r="AB107" s="92">
        <f>IF($A107="","",MAX(0,$F107-$G107))</f>
        <v/>
      </c>
      <c r="AC107" s="92">
        <f>IF($A107="","",SUM($H107:$M107))</f>
        <v/>
      </c>
      <c r="AD107" s="92">
        <f>IF($A107="","",MAX(0,$AB107-$AC107))</f>
        <v/>
      </c>
      <c r="AE107" s="92">
        <f>IF($A107="","",IFERROR($Q107/$O107,""))</f>
        <v/>
      </c>
      <c r="AF107" s="93">
        <f>IF($A107="","",IFERROR($AD107/$AB107,""))</f>
        <v/>
      </c>
      <c r="AG107" s="93">
        <f>IF($A107="","",IFERROR(($P107/$O107)/$AD107,""))</f>
        <v/>
      </c>
      <c r="AH107" s="93">
        <f>IF($A107="","",IFERROR($Q107/$P107,""))</f>
        <v/>
      </c>
      <c r="AI107" s="93">
        <f>IF($A107="","",IFERROR($AF107*$AG107*$AH107,""))</f>
        <v/>
      </c>
      <c r="AJ107" s="93">
        <f>IF($A107="","",IFERROR($AE107/$F107,""))</f>
        <v/>
      </c>
      <c r="AK107" s="92">
        <f>IF($A107="","",IFERROR($AD107/$N107,""))</f>
        <v/>
      </c>
      <c r="AL107" s="92">
        <f>IF($A107="","",IFERROR($H107/$N107,""))</f>
        <v/>
      </c>
      <c r="AM107" s="92">
        <f>IF($A107="","",IFERROR(($P107-$Q107)/$P107*1000000,""))</f>
        <v/>
      </c>
      <c r="AN107" s="93">
        <f>IF($A107="","",IFERROR(($Q107+$R107)/$T107,""))</f>
        <v/>
      </c>
      <c r="AO107" s="93">
        <f>IF($A107="","",IFERROR($V107/$U107,""))</f>
        <v/>
      </c>
      <c r="AP107" s="92">
        <f>IF($A107="","",IFERROR(MAX(0,$AD107-$P107/$O107),""))</f>
        <v/>
      </c>
      <c r="AQ107" s="92">
        <f>IF($A107="","",IFERROR(($P107-$Q107)/$O107,""))</f>
        <v/>
      </c>
      <c r="AR107" s="94">
        <f>IF($A107="","",IF($F107="","Temps d'ouverture manquant",IF($O107="","Cadence produit inconnue",IF($G107&gt;$F107,"Arrêts planifiés &gt; temps d'ouverture",IF($AC107&gt;$AB107,"Arrêts subis &gt; temps requis",IF($P107&lt;&gt;$Q107+$R107+$S107,"Produite ≠ conforme + retouchée + rebutée",IF($Q107&gt;$P107,"Conforme &gt; produite",IF($V107&gt;$U107,"Présents &gt; prévus","OK"))))))))</f>
        <v/>
      </c>
      <c r="AS107" s="95">
        <f>IF($A107="",0,IF(AND(OR(COCKPIT!$H$4="Toutes",$C107=COCKPIT!$H$4),OR(COCKPIT!$K$4="Toutes",$B107=COCKPIT!$K$4)),1,0))</f>
        <v/>
      </c>
    </row>
    <row r="108" ht="15" customHeight="1">
      <c r="A108" s="87" t="n"/>
      <c r="B108" s="88" t="n"/>
      <c r="C108" s="88" t="n"/>
      <c r="D108" s="88" t="n"/>
      <c r="E108" s="88" t="n"/>
      <c r="F108" s="89" t="n"/>
      <c r="G108" s="89" t="n"/>
      <c r="H108" s="89" t="n"/>
      <c r="I108" s="89" t="n"/>
      <c r="J108" s="89" t="n"/>
      <c r="K108" s="89" t="n"/>
      <c r="L108" s="89" t="n"/>
      <c r="M108" s="89" t="n"/>
      <c r="N108" s="89" t="n"/>
      <c r="O108" s="90">
        <f>IF($E108="","",IFERROR(INDEX(PARAMETRES!$O$7:$O$36,MATCH($E108,PARAMETRES!$M$7:$M$36,0)),""))</f>
        <v/>
      </c>
      <c r="P108" s="89" t="n"/>
      <c r="Q108" s="89" t="n"/>
      <c r="R108" s="89" t="n"/>
      <c r="S108" s="89" t="n"/>
      <c r="T108" s="89" t="n"/>
      <c r="U108" s="91" t="n"/>
      <c r="V108" s="91" t="n"/>
      <c r="W108" s="91" t="n"/>
      <c r="X108" s="89" t="n"/>
      <c r="Y108" s="89" t="n"/>
      <c r="Z108" s="88" t="n"/>
      <c r="AA108" s="88" t="n"/>
      <c r="AB108" s="92">
        <f>IF($A108="","",MAX(0,$F108-$G108))</f>
        <v/>
      </c>
      <c r="AC108" s="92">
        <f>IF($A108="","",SUM($H108:$M108))</f>
        <v/>
      </c>
      <c r="AD108" s="92">
        <f>IF($A108="","",MAX(0,$AB108-$AC108))</f>
        <v/>
      </c>
      <c r="AE108" s="92">
        <f>IF($A108="","",IFERROR($Q108/$O108,""))</f>
        <v/>
      </c>
      <c r="AF108" s="93">
        <f>IF($A108="","",IFERROR($AD108/$AB108,""))</f>
        <v/>
      </c>
      <c r="AG108" s="93">
        <f>IF($A108="","",IFERROR(($P108/$O108)/$AD108,""))</f>
        <v/>
      </c>
      <c r="AH108" s="93">
        <f>IF($A108="","",IFERROR($Q108/$P108,""))</f>
        <v/>
      </c>
      <c r="AI108" s="93">
        <f>IF($A108="","",IFERROR($AF108*$AG108*$AH108,""))</f>
        <v/>
      </c>
      <c r="AJ108" s="93">
        <f>IF($A108="","",IFERROR($AE108/$F108,""))</f>
        <v/>
      </c>
      <c r="AK108" s="92">
        <f>IF($A108="","",IFERROR($AD108/$N108,""))</f>
        <v/>
      </c>
      <c r="AL108" s="92">
        <f>IF($A108="","",IFERROR($H108/$N108,""))</f>
        <v/>
      </c>
      <c r="AM108" s="92">
        <f>IF($A108="","",IFERROR(($P108-$Q108)/$P108*1000000,""))</f>
        <v/>
      </c>
      <c r="AN108" s="93">
        <f>IF($A108="","",IFERROR(($Q108+$R108)/$T108,""))</f>
        <v/>
      </c>
      <c r="AO108" s="93">
        <f>IF($A108="","",IFERROR($V108/$U108,""))</f>
        <v/>
      </c>
      <c r="AP108" s="92">
        <f>IF($A108="","",IFERROR(MAX(0,$AD108-$P108/$O108),""))</f>
        <v/>
      </c>
      <c r="AQ108" s="92">
        <f>IF($A108="","",IFERROR(($P108-$Q108)/$O108,""))</f>
        <v/>
      </c>
      <c r="AR108" s="94">
        <f>IF($A108="","",IF($F108="","Temps d'ouverture manquant",IF($O108="","Cadence produit inconnue",IF($G108&gt;$F108,"Arrêts planifiés &gt; temps d'ouverture",IF($AC108&gt;$AB108,"Arrêts subis &gt; temps requis",IF($P108&lt;&gt;$Q108+$R108+$S108,"Produite ≠ conforme + retouchée + rebutée",IF($Q108&gt;$P108,"Conforme &gt; produite",IF($V108&gt;$U108,"Présents &gt; prévus","OK"))))))))</f>
        <v/>
      </c>
      <c r="AS108" s="95">
        <f>IF($A108="",0,IF(AND(OR(COCKPIT!$H$4="Toutes",$C108=COCKPIT!$H$4),OR(COCKPIT!$K$4="Toutes",$B108=COCKPIT!$K$4)),1,0))</f>
        <v/>
      </c>
    </row>
    <row r="109" ht="15" customHeight="1">
      <c r="A109" s="87" t="n"/>
      <c r="B109" s="88" t="n"/>
      <c r="C109" s="88" t="n"/>
      <c r="D109" s="88" t="n"/>
      <c r="E109" s="88" t="n"/>
      <c r="F109" s="89" t="n"/>
      <c r="G109" s="89" t="n"/>
      <c r="H109" s="89" t="n"/>
      <c r="I109" s="89" t="n"/>
      <c r="J109" s="89" t="n"/>
      <c r="K109" s="89" t="n"/>
      <c r="L109" s="89" t="n"/>
      <c r="M109" s="89" t="n"/>
      <c r="N109" s="89" t="n"/>
      <c r="O109" s="90">
        <f>IF($E109="","",IFERROR(INDEX(PARAMETRES!$O$7:$O$36,MATCH($E109,PARAMETRES!$M$7:$M$36,0)),""))</f>
        <v/>
      </c>
      <c r="P109" s="89" t="n"/>
      <c r="Q109" s="89" t="n"/>
      <c r="R109" s="89" t="n"/>
      <c r="S109" s="89" t="n"/>
      <c r="T109" s="89" t="n"/>
      <c r="U109" s="91" t="n"/>
      <c r="V109" s="91" t="n"/>
      <c r="W109" s="91" t="n"/>
      <c r="X109" s="89" t="n"/>
      <c r="Y109" s="89" t="n"/>
      <c r="Z109" s="88" t="n"/>
      <c r="AA109" s="88" t="n"/>
      <c r="AB109" s="92">
        <f>IF($A109="","",MAX(0,$F109-$G109))</f>
        <v/>
      </c>
      <c r="AC109" s="92">
        <f>IF($A109="","",SUM($H109:$M109))</f>
        <v/>
      </c>
      <c r="AD109" s="92">
        <f>IF($A109="","",MAX(0,$AB109-$AC109))</f>
        <v/>
      </c>
      <c r="AE109" s="92">
        <f>IF($A109="","",IFERROR($Q109/$O109,""))</f>
        <v/>
      </c>
      <c r="AF109" s="93">
        <f>IF($A109="","",IFERROR($AD109/$AB109,""))</f>
        <v/>
      </c>
      <c r="AG109" s="93">
        <f>IF($A109="","",IFERROR(($P109/$O109)/$AD109,""))</f>
        <v/>
      </c>
      <c r="AH109" s="93">
        <f>IF($A109="","",IFERROR($Q109/$P109,""))</f>
        <v/>
      </c>
      <c r="AI109" s="93">
        <f>IF($A109="","",IFERROR($AF109*$AG109*$AH109,""))</f>
        <v/>
      </c>
      <c r="AJ109" s="93">
        <f>IF($A109="","",IFERROR($AE109/$F109,""))</f>
        <v/>
      </c>
      <c r="AK109" s="92">
        <f>IF($A109="","",IFERROR($AD109/$N109,""))</f>
        <v/>
      </c>
      <c r="AL109" s="92">
        <f>IF($A109="","",IFERROR($H109/$N109,""))</f>
        <v/>
      </c>
      <c r="AM109" s="92">
        <f>IF($A109="","",IFERROR(($P109-$Q109)/$P109*1000000,""))</f>
        <v/>
      </c>
      <c r="AN109" s="93">
        <f>IF($A109="","",IFERROR(($Q109+$R109)/$T109,""))</f>
        <v/>
      </c>
      <c r="AO109" s="93">
        <f>IF($A109="","",IFERROR($V109/$U109,""))</f>
        <v/>
      </c>
      <c r="AP109" s="92">
        <f>IF($A109="","",IFERROR(MAX(0,$AD109-$P109/$O109),""))</f>
        <v/>
      </c>
      <c r="AQ109" s="92">
        <f>IF($A109="","",IFERROR(($P109-$Q109)/$O109,""))</f>
        <v/>
      </c>
      <c r="AR109" s="94">
        <f>IF($A109="","",IF($F109="","Temps d'ouverture manquant",IF($O109="","Cadence produit inconnue",IF($G109&gt;$F109,"Arrêts planifiés &gt; temps d'ouverture",IF($AC109&gt;$AB109,"Arrêts subis &gt; temps requis",IF($P109&lt;&gt;$Q109+$R109+$S109,"Produite ≠ conforme + retouchée + rebutée",IF($Q109&gt;$P109,"Conforme &gt; produite",IF($V109&gt;$U109,"Présents &gt; prévus","OK"))))))))</f>
        <v/>
      </c>
      <c r="AS109" s="95">
        <f>IF($A109="",0,IF(AND(OR(COCKPIT!$H$4="Toutes",$C109=COCKPIT!$H$4),OR(COCKPIT!$K$4="Toutes",$B109=COCKPIT!$K$4)),1,0))</f>
        <v/>
      </c>
    </row>
    <row r="110" ht="15" customHeight="1">
      <c r="A110" s="87" t="n"/>
      <c r="B110" s="88" t="n"/>
      <c r="C110" s="88" t="n"/>
      <c r="D110" s="88" t="n"/>
      <c r="E110" s="88" t="n"/>
      <c r="F110" s="89" t="n"/>
      <c r="G110" s="89" t="n"/>
      <c r="H110" s="89" t="n"/>
      <c r="I110" s="89" t="n"/>
      <c r="J110" s="89" t="n"/>
      <c r="K110" s="89" t="n"/>
      <c r="L110" s="89" t="n"/>
      <c r="M110" s="89" t="n"/>
      <c r="N110" s="89" t="n"/>
      <c r="O110" s="90">
        <f>IF($E110="","",IFERROR(INDEX(PARAMETRES!$O$7:$O$36,MATCH($E110,PARAMETRES!$M$7:$M$36,0)),""))</f>
        <v/>
      </c>
      <c r="P110" s="89" t="n"/>
      <c r="Q110" s="89" t="n"/>
      <c r="R110" s="89" t="n"/>
      <c r="S110" s="89" t="n"/>
      <c r="T110" s="89" t="n"/>
      <c r="U110" s="91" t="n"/>
      <c r="V110" s="91" t="n"/>
      <c r="W110" s="91" t="n"/>
      <c r="X110" s="89" t="n"/>
      <c r="Y110" s="89" t="n"/>
      <c r="Z110" s="88" t="n"/>
      <c r="AA110" s="88" t="n"/>
      <c r="AB110" s="92">
        <f>IF($A110="","",MAX(0,$F110-$G110))</f>
        <v/>
      </c>
      <c r="AC110" s="92">
        <f>IF($A110="","",SUM($H110:$M110))</f>
        <v/>
      </c>
      <c r="AD110" s="92">
        <f>IF($A110="","",MAX(0,$AB110-$AC110))</f>
        <v/>
      </c>
      <c r="AE110" s="92">
        <f>IF($A110="","",IFERROR($Q110/$O110,""))</f>
        <v/>
      </c>
      <c r="AF110" s="93">
        <f>IF($A110="","",IFERROR($AD110/$AB110,""))</f>
        <v/>
      </c>
      <c r="AG110" s="93">
        <f>IF($A110="","",IFERROR(($P110/$O110)/$AD110,""))</f>
        <v/>
      </c>
      <c r="AH110" s="93">
        <f>IF($A110="","",IFERROR($Q110/$P110,""))</f>
        <v/>
      </c>
      <c r="AI110" s="93">
        <f>IF($A110="","",IFERROR($AF110*$AG110*$AH110,""))</f>
        <v/>
      </c>
      <c r="AJ110" s="93">
        <f>IF($A110="","",IFERROR($AE110/$F110,""))</f>
        <v/>
      </c>
      <c r="AK110" s="92">
        <f>IF($A110="","",IFERROR($AD110/$N110,""))</f>
        <v/>
      </c>
      <c r="AL110" s="92">
        <f>IF($A110="","",IFERROR($H110/$N110,""))</f>
        <v/>
      </c>
      <c r="AM110" s="92">
        <f>IF($A110="","",IFERROR(($P110-$Q110)/$P110*1000000,""))</f>
        <v/>
      </c>
      <c r="AN110" s="93">
        <f>IF($A110="","",IFERROR(($Q110+$R110)/$T110,""))</f>
        <v/>
      </c>
      <c r="AO110" s="93">
        <f>IF($A110="","",IFERROR($V110/$U110,""))</f>
        <v/>
      </c>
      <c r="AP110" s="92">
        <f>IF($A110="","",IFERROR(MAX(0,$AD110-$P110/$O110),""))</f>
        <v/>
      </c>
      <c r="AQ110" s="92">
        <f>IF($A110="","",IFERROR(($P110-$Q110)/$O110,""))</f>
        <v/>
      </c>
      <c r="AR110" s="94">
        <f>IF($A110="","",IF($F110="","Temps d'ouverture manquant",IF($O110="","Cadence produit inconnue",IF($G110&gt;$F110,"Arrêts planifiés &gt; temps d'ouverture",IF($AC110&gt;$AB110,"Arrêts subis &gt; temps requis",IF($P110&lt;&gt;$Q110+$R110+$S110,"Produite ≠ conforme + retouchée + rebutée",IF($Q110&gt;$P110,"Conforme &gt; produite",IF($V110&gt;$U110,"Présents &gt; prévus","OK"))))))))</f>
        <v/>
      </c>
      <c r="AS110" s="95">
        <f>IF($A110="",0,IF(AND(OR(COCKPIT!$H$4="Toutes",$C110=COCKPIT!$H$4),OR(COCKPIT!$K$4="Toutes",$B110=COCKPIT!$K$4)),1,0))</f>
        <v/>
      </c>
    </row>
    <row r="111" ht="15" customHeight="1">
      <c r="A111" s="87" t="n"/>
      <c r="B111" s="88" t="n"/>
      <c r="C111" s="88" t="n"/>
      <c r="D111" s="88" t="n"/>
      <c r="E111" s="88" t="n"/>
      <c r="F111" s="89" t="n"/>
      <c r="G111" s="89" t="n"/>
      <c r="H111" s="89" t="n"/>
      <c r="I111" s="89" t="n"/>
      <c r="J111" s="89" t="n"/>
      <c r="K111" s="89" t="n"/>
      <c r="L111" s="89" t="n"/>
      <c r="M111" s="89" t="n"/>
      <c r="N111" s="89" t="n"/>
      <c r="O111" s="90">
        <f>IF($E111="","",IFERROR(INDEX(PARAMETRES!$O$7:$O$36,MATCH($E111,PARAMETRES!$M$7:$M$36,0)),""))</f>
        <v/>
      </c>
      <c r="P111" s="89" t="n"/>
      <c r="Q111" s="89" t="n"/>
      <c r="R111" s="89" t="n"/>
      <c r="S111" s="89" t="n"/>
      <c r="T111" s="89" t="n"/>
      <c r="U111" s="91" t="n"/>
      <c r="V111" s="91" t="n"/>
      <c r="W111" s="91" t="n"/>
      <c r="X111" s="89" t="n"/>
      <c r="Y111" s="89" t="n"/>
      <c r="Z111" s="88" t="n"/>
      <c r="AA111" s="88" t="n"/>
      <c r="AB111" s="92">
        <f>IF($A111="","",MAX(0,$F111-$G111))</f>
        <v/>
      </c>
      <c r="AC111" s="92">
        <f>IF($A111="","",SUM($H111:$M111))</f>
        <v/>
      </c>
      <c r="AD111" s="92">
        <f>IF($A111="","",MAX(0,$AB111-$AC111))</f>
        <v/>
      </c>
      <c r="AE111" s="92">
        <f>IF($A111="","",IFERROR($Q111/$O111,""))</f>
        <v/>
      </c>
      <c r="AF111" s="93">
        <f>IF($A111="","",IFERROR($AD111/$AB111,""))</f>
        <v/>
      </c>
      <c r="AG111" s="93">
        <f>IF($A111="","",IFERROR(($P111/$O111)/$AD111,""))</f>
        <v/>
      </c>
      <c r="AH111" s="93">
        <f>IF($A111="","",IFERROR($Q111/$P111,""))</f>
        <v/>
      </c>
      <c r="AI111" s="93">
        <f>IF($A111="","",IFERROR($AF111*$AG111*$AH111,""))</f>
        <v/>
      </c>
      <c r="AJ111" s="93">
        <f>IF($A111="","",IFERROR($AE111/$F111,""))</f>
        <v/>
      </c>
      <c r="AK111" s="92">
        <f>IF($A111="","",IFERROR($AD111/$N111,""))</f>
        <v/>
      </c>
      <c r="AL111" s="92">
        <f>IF($A111="","",IFERROR($H111/$N111,""))</f>
        <v/>
      </c>
      <c r="AM111" s="92">
        <f>IF($A111="","",IFERROR(($P111-$Q111)/$P111*1000000,""))</f>
        <v/>
      </c>
      <c r="AN111" s="93">
        <f>IF($A111="","",IFERROR(($Q111+$R111)/$T111,""))</f>
        <v/>
      </c>
      <c r="AO111" s="93">
        <f>IF($A111="","",IFERROR($V111/$U111,""))</f>
        <v/>
      </c>
      <c r="AP111" s="92">
        <f>IF($A111="","",IFERROR(MAX(0,$AD111-$P111/$O111),""))</f>
        <v/>
      </c>
      <c r="AQ111" s="92">
        <f>IF($A111="","",IFERROR(($P111-$Q111)/$O111,""))</f>
        <v/>
      </c>
      <c r="AR111" s="94">
        <f>IF($A111="","",IF($F111="","Temps d'ouverture manquant",IF($O111="","Cadence produit inconnue",IF($G111&gt;$F111,"Arrêts planifiés &gt; temps d'ouverture",IF($AC111&gt;$AB111,"Arrêts subis &gt; temps requis",IF($P111&lt;&gt;$Q111+$R111+$S111,"Produite ≠ conforme + retouchée + rebutée",IF($Q111&gt;$P111,"Conforme &gt; produite",IF($V111&gt;$U111,"Présents &gt; prévus","OK"))))))))</f>
        <v/>
      </c>
      <c r="AS111" s="95">
        <f>IF($A111="",0,IF(AND(OR(COCKPIT!$H$4="Toutes",$C111=COCKPIT!$H$4),OR(COCKPIT!$K$4="Toutes",$B111=COCKPIT!$K$4)),1,0))</f>
        <v/>
      </c>
    </row>
    <row r="112" ht="15" customHeight="1">
      <c r="A112" s="87" t="n"/>
      <c r="B112" s="88" t="n"/>
      <c r="C112" s="88" t="n"/>
      <c r="D112" s="88" t="n"/>
      <c r="E112" s="88" t="n"/>
      <c r="F112" s="89" t="n"/>
      <c r="G112" s="89" t="n"/>
      <c r="H112" s="89" t="n"/>
      <c r="I112" s="89" t="n"/>
      <c r="J112" s="89" t="n"/>
      <c r="K112" s="89" t="n"/>
      <c r="L112" s="89" t="n"/>
      <c r="M112" s="89" t="n"/>
      <c r="N112" s="89" t="n"/>
      <c r="O112" s="90">
        <f>IF($E112="","",IFERROR(INDEX(PARAMETRES!$O$7:$O$36,MATCH($E112,PARAMETRES!$M$7:$M$36,0)),""))</f>
        <v/>
      </c>
      <c r="P112" s="89" t="n"/>
      <c r="Q112" s="89" t="n"/>
      <c r="R112" s="89" t="n"/>
      <c r="S112" s="89" t="n"/>
      <c r="T112" s="89" t="n"/>
      <c r="U112" s="91" t="n"/>
      <c r="V112" s="91" t="n"/>
      <c r="W112" s="91" t="n"/>
      <c r="X112" s="89" t="n"/>
      <c r="Y112" s="89" t="n"/>
      <c r="Z112" s="88" t="n"/>
      <c r="AA112" s="88" t="n"/>
      <c r="AB112" s="92">
        <f>IF($A112="","",MAX(0,$F112-$G112))</f>
        <v/>
      </c>
      <c r="AC112" s="92">
        <f>IF($A112="","",SUM($H112:$M112))</f>
        <v/>
      </c>
      <c r="AD112" s="92">
        <f>IF($A112="","",MAX(0,$AB112-$AC112))</f>
        <v/>
      </c>
      <c r="AE112" s="92">
        <f>IF($A112="","",IFERROR($Q112/$O112,""))</f>
        <v/>
      </c>
      <c r="AF112" s="93">
        <f>IF($A112="","",IFERROR($AD112/$AB112,""))</f>
        <v/>
      </c>
      <c r="AG112" s="93">
        <f>IF($A112="","",IFERROR(($P112/$O112)/$AD112,""))</f>
        <v/>
      </c>
      <c r="AH112" s="93">
        <f>IF($A112="","",IFERROR($Q112/$P112,""))</f>
        <v/>
      </c>
      <c r="AI112" s="93">
        <f>IF($A112="","",IFERROR($AF112*$AG112*$AH112,""))</f>
        <v/>
      </c>
      <c r="AJ112" s="93">
        <f>IF($A112="","",IFERROR($AE112/$F112,""))</f>
        <v/>
      </c>
      <c r="AK112" s="92">
        <f>IF($A112="","",IFERROR($AD112/$N112,""))</f>
        <v/>
      </c>
      <c r="AL112" s="92">
        <f>IF($A112="","",IFERROR($H112/$N112,""))</f>
        <v/>
      </c>
      <c r="AM112" s="92">
        <f>IF($A112="","",IFERROR(($P112-$Q112)/$P112*1000000,""))</f>
        <v/>
      </c>
      <c r="AN112" s="93">
        <f>IF($A112="","",IFERROR(($Q112+$R112)/$T112,""))</f>
        <v/>
      </c>
      <c r="AO112" s="93">
        <f>IF($A112="","",IFERROR($V112/$U112,""))</f>
        <v/>
      </c>
      <c r="AP112" s="92">
        <f>IF($A112="","",IFERROR(MAX(0,$AD112-$P112/$O112),""))</f>
        <v/>
      </c>
      <c r="AQ112" s="92">
        <f>IF($A112="","",IFERROR(($P112-$Q112)/$O112,""))</f>
        <v/>
      </c>
      <c r="AR112" s="94">
        <f>IF($A112="","",IF($F112="","Temps d'ouverture manquant",IF($O112="","Cadence produit inconnue",IF($G112&gt;$F112,"Arrêts planifiés &gt; temps d'ouverture",IF($AC112&gt;$AB112,"Arrêts subis &gt; temps requis",IF($P112&lt;&gt;$Q112+$R112+$S112,"Produite ≠ conforme + retouchée + rebutée",IF($Q112&gt;$P112,"Conforme &gt; produite",IF($V112&gt;$U112,"Présents &gt; prévus","OK"))))))))</f>
        <v/>
      </c>
      <c r="AS112" s="95">
        <f>IF($A112="",0,IF(AND(OR(COCKPIT!$H$4="Toutes",$C112=COCKPIT!$H$4),OR(COCKPIT!$K$4="Toutes",$B112=COCKPIT!$K$4)),1,0))</f>
        <v/>
      </c>
    </row>
    <row r="113" ht="15" customHeight="1">
      <c r="A113" s="87" t="n"/>
      <c r="B113" s="88" t="n"/>
      <c r="C113" s="88" t="n"/>
      <c r="D113" s="88" t="n"/>
      <c r="E113" s="88" t="n"/>
      <c r="F113" s="89" t="n"/>
      <c r="G113" s="89" t="n"/>
      <c r="H113" s="89" t="n"/>
      <c r="I113" s="89" t="n"/>
      <c r="J113" s="89" t="n"/>
      <c r="K113" s="89" t="n"/>
      <c r="L113" s="89" t="n"/>
      <c r="M113" s="89" t="n"/>
      <c r="N113" s="89" t="n"/>
      <c r="O113" s="90">
        <f>IF($E113="","",IFERROR(INDEX(PARAMETRES!$O$7:$O$36,MATCH($E113,PARAMETRES!$M$7:$M$36,0)),""))</f>
        <v/>
      </c>
      <c r="P113" s="89" t="n"/>
      <c r="Q113" s="89" t="n"/>
      <c r="R113" s="89" t="n"/>
      <c r="S113" s="89" t="n"/>
      <c r="T113" s="89" t="n"/>
      <c r="U113" s="91" t="n"/>
      <c r="V113" s="91" t="n"/>
      <c r="W113" s="91" t="n"/>
      <c r="X113" s="89" t="n"/>
      <c r="Y113" s="89" t="n"/>
      <c r="Z113" s="88" t="n"/>
      <c r="AA113" s="88" t="n"/>
      <c r="AB113" s="92">
        <f>IF($A113="","",MAX(0,$F113-$G113))</f>
        <v/>
      </c>
      <c r="AC113" s="92">
        <f>IF($A113="","",SUM($H113:$M113))</f>
        <v/>
      </c>
      <c r="AD113" s="92">
        <f>IF($A113="","",MAX(0,$AB113-$AC113))</f>
        <v/>
      </c>
      <c r="AE113" s="92">
        <f>IF($A113="","",IFERROR($Q113/$O113,""))</f>
        <v/>
      </c>
      <c r="AF113" s="93">
        <f>IF($A113="","",IFERROR($AD113/$AB113,""))</f>
        <v/>
      </c>
      <c r="AG113" s="93">
        <f>IF($A113="","",IFERROR(($P113/$O113)/$AD113,""))</f>
        <v/>
      </c>
      <c r="AH113" s="93">
        <f>IF($A113="","",IFERROR($Q113/$P113,""))</f>
        <v/>
      </c>
      <c r="AI113" s="93">
        <f>IF($A113="","",IFERROR($AF113*$AG113*$AH113,""))</f>
        <v/>
      </c>
      <c r="AJ113" s="93">
        <f>IF($A113="","",IFERROR($AE113/$F113,""))</f>
        <v/>
      </c>
      <c r="AK113" s="92">
        <f>IF($A113="","",IFERROR($AD113/$N113,""))</f>
        <v/>
      </c>
      <c r="AL113" s="92">
        <f>IF($A113="","",IFERROR($H113/$N113,""))</f>
        <v/>
      </c>
      <c r="AM113" s="92">
        <f>IF($A113="","",IFERROR(($P113-$Q113)/$P113*1000000,""))</f>
        <v/>
      </c>
      <c r="AN113" s="93">
        <f>IF($A113="","",IFERROR(($Q113+$R113)/$T113,""))</f>
        <v/>
      </c>
      <c r="AO113" s="93">
        <f>IF($A113="","",IFERROR($V113/$U113,""))</f>
        <v/>
      </c>
      <c r="AP113" s="92">
        <f>IF($A113="","",IFERROR(MAX(0,$AD113-$P113/$O113),""))</f>
        <v/>
      </c>
      <c r="AQ113" s="92">
        <f>IF($A113="","",IFERROR(($P113-$Q113)/$O113,""))</f>
        <v/>
      </c>
      <c r="AR113" s="94">
        <f>IF($A113="","",IF($F113="","Temps d'ouverture manquant",IF($O113="","Cadence produit inconnue",IF($G113&gt;$F113,"Arrêts planifiés &gt; temps d'ouverture",IF($AC113&gt;$AB113,"Arrêts subis &gt; temps requis",IF($P113&lt;&gt;$Q113+$R113+$S113,"Produite ≠ conforme + retouchée + rebutée",IF($Q113&gt;$P113,"Conforme &gt; produite",IF($V113&gt;$U113,"Présents &gt; prévus","OK"))))))))</f>
        <v/>
      </c>
      <c r="AS113" s="95">
        <f>IF($A113="",0,IF(AND(OR(COCKPIT!$H$4="Toutes",$C113=COCKPIT!$H$4),OR(COCKPIT!$K$4="Toutes",$B113=COCKPIT!$K$4)),1,0))</f>
        <v/>
      </c>
    </row>
    <row r="114" ht="15" customHeight="1">
      <c r="A114" s="87" t="n"/>
      <c r="B114" s="88" t="n"/>
      <c r="C114" s="88" t="n"/>
      <c r="D114" s="88" t="n"/>
      <c r="E114" s="88" t="n"/>
      <c r="F114" s="89" t="n"/>
      <c r="G114" s="89" t="n"/>
      <c r="H114" s="89" t="n"/>
      <c r="I114" s="89" t="n"/>
      <c r="J114" s="89" t="n"/>
      <c r="K114" s="89" t="n"/>
      <c r="L114" s="89" t="n"/>
      <c r="M114" s="89" t="n"/>
      <c r="N114" s="89" t="n"/>
      <c r="O114" s="90">
        <f>IF($E114="","",IFERROR(INDEX(PARAMETRES!$O$7:$O$36,MATCH($E114,PARAMETRES!$M$7:$M$36,0)),""))</f>
        <v/>
      </c>
      <c r="P114" s="89" t="n"/>
      <c r="Q114" s="89" t="n"/>
      <c r="R114" s="89" t="n"/>
      <c r="S114" s="89" t="n"/>
      <c r="T114" s="89" t="n"/>
      <c r="U114" s="91" t="n"/>
      <c r="V114" s="91" t="n"/>
      <c r="W114" s="91" t="n"/>
      <c r="X114" s="89" t="n"/>
      <c r="Y114" s="89" t="n"/>
      <c r="Z114" s="88" t="n"/>
      <c r="AA114" s="88" t="n"/>
      <c r="AB114" s="92">
        <f>IF($A114="","",MAX(0,$F114-$G114))</f>
        <v/>
      </c>
      <c r="AC114" s="92">
        <f>IF($A114="","",SUM($H114:$M114))</f>
        <v/>
      </c>
      <c r="AD114" s="92">
        <f>IF($A114="","",MAX(0,$AB114-$AC114))</f>
        <v/>
      </c>
      <c r="AE114" s="92">
        <f>IF($A114="","",IFERROR($Q114/$O114,""))</f>
        <v/>
      </c>
      <c r="AF114" s="93">
        <f>IF($A114="","",IFERROR($AD114/$AB114,""))</f>
        <v/>
      </c>
      <c r="AG114" s="93">
        <f>IF($A114="","",IFERROR(($P114/$O114)/$AD114,""))</f>
        <v/>
      </c>
      <c r="AH114" s="93">
        <f>IF($A114="","",IFERROR($Q114/$P114,""))</f>
        <v/>
      </c>
      <c r="AI114" s="93">
        <f>IF($A114="","",IFERROR($AF114*$AG114*$AH114,""))</f>
        <v/>
      </c>
      <c r="AJ114" s="93">
        <f>IF($A114="","",IFERROR($AE114/$F114,""))</f>
        <v/>
      </c>
      <c r="AK114" s="92">
        <f>IF($A114="","",IFERROR($AD114/$N114,""))</f>
        <v/>
      </c>
      <c r="AL114" s="92">
        <f>IF($A114="","",IFERROR($H114/$N114,""))</f>
        <v/>
      </c>
      <c r="AM114" s="92">
        <f>IF($A114="","",IFERROR(($P114-$Q114)/$P114*1000000,""))</f>
        <v/>
      </c>
      <c r="AN114" s="93">
        <f>IF($A114="","",IFERROR(($Q114+$R114)/$T114,""))</f>
        <v/>
      </c>
      <c r="AO114" s="93">
        <f>IF($A114="","",IFERROR($V114/$U114,""))</f>
        <v/>
      </c>
      <c r="AP114" s="92">
        <f>IF($A114="","",IFERROR(MAX(0,$AD114-$P114/$O114),""))</f>
        <v/>
      </c>
      <c r="AQ114" s="92">
        <f>IF($A114="","",IFERROR(($P114-$Q114)/$O114,""))</f>
        <v/>
      </c>
      <c r="AR114" s="94">
        <f>IF($A114="","",IF($F114="","Temps d'ouverture manquant",IF($O114="","Cadence produit inconnue",IF($G114&gt;$F114,"Arrêts planifiés &gt; temps d'ouverture",IF($AC114&gt;$AB114,"Arrêts subis &gt; temps requis",IF($P114&lt;&gt;$Q114+$R114+$S114,"Produite ≠ conforme + retouchée + rebutée",IF($Q114&gt;$P114,"Conforme &gt; produite",IF($V114&gt;$U114,"Présents &gt; prévus","OK"))))))))</f>
        <v/>
      </c>
      <c r="AS114" s="95">
        <f>IF($A114="",0,IF(AND(OR(COCKPIT!$H$4="Toutes",$C114=COCKPIT!$H$4),OR(COCKPIT!$K$4="Toutes",$B114=COCKPIT!$K$4)),1,0))</f>
        <v/>
      </c>
    </row>
    <row r="115" ht="15" customHeight="1">
      <c r="A115" s="87" t="n"/>
      <c r="B115" s="88" t="n"/>
      <c r="C115" s="88" t="n"/>
      <c r="D115" s="88" t="n"/>
      <c r="E115" s="88" t="n"/>
      <c r="F115" s="89" t="n"/>
      <c r="G115" s="89" t="n"/>
      <c r="H115" s="89" t="n"/>
      <c r="I115" s="89" t="n"/>
      <c r="J115" s="89" t="n"/>
      <c r="K115" s="89" t="n"/>
      <c r="L115" s="89" t="n"/>
      <c r="M115" s="89" t="n"/>
      <c r="N115" s="89" t="n"/>
      <c r="O115" s="90">
        <f>IF($E115="","",IFERROR(INDEX(PARAMETRES!$O$7:$O$36,MATCH($E115,PARAMETRES!$M$7:$M$36,0)),""))</f>
        <v/>
      </c>
      <c r="P115" s="89" t="n"/>
      <c r="Q115" s="89" t="n"/>
      <c r="R115" s="89" t="n"/>
      <c r="S115" s="89" t="n"/>
      <c r="T115" s="89" t="n"/>
      <c r="U115" s="91" t="n"/>
      <c r="V115" s="91" t="n"/>
      <c r="W115" s="91" t="n"/>
      <c r="X115" s="89" t="n"/>
      <c r="Y115" s="89" t="n"/>
      <c r="Z115" s="88" t="n"/>
      <c r="AA115" s="88" t="n"/>
      <c r="AB115" s="92">
        <f>IF($A115="","",MAX(0,$F115-$G115))</f>
        <v/>
      </c>
      <c r="AC115" s="92">
        <f>IF($A115="","",SUM($H115:$M115))</f>
        <v/>
      </c>
      <c r="AD115" s="92">
        <f>IF($A115="","",MAX(0,$AB115-$AC115))</f>
        <v/>
      </c>
      <c r="AE115" s="92">
        <f>IF($A115="","",IFERROR($Q115/$O115,""))</f>
        <v/>
      </c>
      <c r="AF115" s="93">
        <f>IF($A115="","",IFERROR($AD115/$AB115,""))</f>
        <v/>
      </c>
      <c r="AG115" s="93">
        <f>IF($A115="","",IFERROR(($P115/$O115)/$AD115,""))</f>
        <v/>
      </c>
      <c r="AH115" s="93">
        <f>IF($A115="","",IFERROR($Q115/$P115,""))</f>
        <v/>
      </c>
      <c r="AI115" s="93">
        <f>IF($A115="","",IFERROR($AF115*$AG115*$AH115,""))</f>
        <v/>
      </c>
      <c r="AJ115" s="93">
        <f>IF($A115="","",IFERROR($AE115/$F115,""))</f>
        <v/>
      </c>
      <c r="AK115" s="92">
        <f>IF($A115="","",IFERROR($AD115/$N115,""))</f>
        <v/>
      </c>
      <c r="AL115" s="92">
        <f>IF($A115="","",IFERROR($H115/$N115,""))</f>
        <v/>
      </c>
      <c r="AM115" s="92">
        <f>IF($A115="","",IFERROR(($P115-$Q115)/$P115*1000000,""))</f>
        <v/>
      </c>
      <c r="AN115" s="93">
        <f>IF($A115="","",IFERROR(($Q115+$R115)/$T115,""))</f>
        <v/>
      </c>
      <c r="AO115" s="93">
        <f>IF($A115="","",IFERROR($V115/$U115,""))</f>
        <v/>
      </c>
      <c r="AP115" s="92">
        <f>IF($A115="","",IFERROR(MAX(0,$AD115-$P115/$O115),""))</f>
        <v/>
      </c>
      <c r="AQ115" s="92">
        <f>IF($A115="","",IFERROR(($P115-$Q115)/$O115,""))</f>
        <v/>
      </c>
      <c r="AR115" s="94">
        <f>IF($A115="","",IF($F115="","Temps d'ouverture manquant",IF($O115="","Cadence produit inconnue",IF($G115&gt;$F115,"Arrêts planifiés &gt; temps d'ouverture",IF($AC115&gt;$AB115,"Arrêts subis &gt; temps requis",IF($P115&lt;&gt;$Q115+$R115+$S115,"Produite ≠ conforme + retouchée + rebutée",IF($Q115&gt;$P115,"Conforme &gt; produite",IF($V115&gt;$U115,"Présents &gt; prévus","OK"))))))))</f>
        <v/>
      </c>
      <c r="AS115" s="95">
        <f>IF($A115="",0,IF(AND(OR(COCKPIT!$H$4="Toutes",$C115=COCKPIT!$H$4),OR(COCKPIT!$K$4="Toutes",$B115=COCKPIT!$K$4)),1,0))</f>
        <v/>
      </c>
    </row>
    <row r="116" ht="15" customHeight="1">
      <c r="A116" s="87" t="n"/>
      <c r="B116" s="88" t="n"/>
      <c r="C116" s="88" t="n"/>
      <c r="D116" s="88" t="n"/>
      <c r="E116" s="88" t="n"/>
      <c r="F116" s="89" t="n"/>
      <c r="G116" s="89" t="n"/>
      <c r="H116" s="89" t="n"/>
      <c r="I116" s="89" t="n"/>
      <c r="J116" s="89" t="n"/>
      <c r="K116" s="89" t="n"/>
      <c r="L116" s="89" t="n"/>
      <c r="M116" s="89" t="n"/>
      <c r="N116" s="89" t="n"/>
      <c r="O116" s="90">
        <f>IF($E116="","",IFERROR(INDEX(PARAMETRES!$O$7:$O$36,MATCH($E116,PARAMETRES!$M$7:$M$36,0)),""))</f>
        <v/>
      </c>
      <c r="P116" s="89" t="n"/>
      <c r="Q116" s="89" t="n"/>
      <c r="R116" s="89" t="n"/>
      <c r="S116" s="89" t="n"/>
      <c r="T116" s="89" t="n"/>
      <c r="U116" s="91" t="n"/>
      <c r="V116" s="91" t="n"/>
      <c r="W116" s="91" t="n"/>
      <c r="X116" s="89" t="n"/>
      <c r="Y116" s="89" t="n"/>
      <c r="Z116" s="88" t="n"/>
      <c r="AA116" s="88" t="n"/>
      <c r="AB116" s="92">
        <f>IF($A116="","",MAX(0,$F116-$G116))</f>
        <v/>
      </c>
      <c r="AC116" s="92">
        <f>IF($A116="","",SUM($H116:$M116))</f>
        <v/>
      </c>
      <c r="AD116" s="92">
        <f>IF($A116="","",MAX(0,$AB116-$AC116))</f>
        <v/>
      </c>
      <c r="AE116" s="92">
        <f>IF($A116="","",IFERROR($Q116/$O116,""))</f>
        <v/>
      </c>
      <c r="AF116" s="93">
        <f>IF($A116="","",IFERROR($AD116/$AB116,""))</f>
        <v/>
      </c>
      <c r="AG116" s="93">
        <f>IF($A116="","",IFERROR(($P116/$O116)/$AD116,""))</f>
        <v/>
      </c>
      <c r="AH116" s="93">
        <f>IF($A116="","",IFERROR($Q116/$P116,""))</f>
        <v/>
      </c>
      <c r="AI116" s="93">
        <f>IF($A116="","",IFERROR($AF116*$AG116*$AH116,""))</f>
        <v/>
      </c>
      <c r="AJ116" s="93">
        <f>IF($A116="","",IFERROR($AE116/$F116,""))</f>
        <v/>
      </c>
      <c r="AK116" s="92">
        <f>IF($A116="","",IFERROR($AD116/$N116,""))</f>
        <v/>
      </c>
      <c r="AL116" s="92">
        <f>IF($A116="","",IFERROR($H116/$N116,""))</f>
        <v/>
      </c>
      <c r="AM116" s="92">
        <f>IF($A116="","",IFERROR(($P116-$Q116)/$P116*1000000,""))</f>
        <v/>
      </c>
      <c r="AN116" s="93">
        <f>IF($A116="","",IFERROR(($Q116+$R116)/$T116,""))</f>
        <v/>
      </c>
      <c r="AO116" s="93">
        <f>IF($A116="","",IFERROR($V116/$U116,""))</f>
        <v/>
      </c>
      <c r="AP116" s="92">
        <f>IF($A116="","",IFERROR(MAX(0,$AD116-$P116/$O116),""))</f>
        <v/>
      </c>
      <c r="AQ116" s="92">
        <f>IF($A116="","",IFERROR(($P116-$Q116)/$O116,""))</f>
        <v/>
      </c>
      <c r="AR116" s="94">
        <f>IF($A116="","",IF($F116="","Temps d'ouverture manquant",IF($O116="","Cadence produit inconnue",IF($G116&gt;$F116,"Arrêts planifiés &gt; temps d'ouverture",IF($AC116&gt;$AB116,"Arrêts subis &gt; temps requis",IF($P116&lt;&gt;$Q116+$R116+$S116,"Produite ≠ conforme + retouchée + rebutée",IF($Q116&gt;$P116,"Conforme &gt; produite",IF($V116&gt;$U116,"Présents &gt; prévus","OK"))))))))</f>
        <v/>
      </c>
      <c r="AS116" s="95">
        <f>IF($A116="",0,IF(AND(OR(COCKPIT!$H$4="Toutes",$C116=COCKPIT!$H$4),OR(COCKPIT!$K$4="Toutes",$B116=COCKPIT!$K$4)),1,0))</f>
        <v/>
      </c>
    </row>
    <row r="117" ht="15" customHeight="1">
      <c r="A117" s="87" t="n"/>
      <c r="B117" s="88" t="n"/>
      <c r="C117" s="88" t="n"/>
      <c r="D117" s="88" t="n"/>
      <c r="E117" s="88" t="n"/>
      <c r="F117" s="89" t="n"/>
      <c r="G117" s="89" t="n"/>
      <c r="H117" s="89" t="n"/>
      <c r="I117" s="89" t="n"/>
      <c r="J117" s="89" t="n"/>
      <c r="K117" s="89" t="n"/>
      <c r="L117" s="89" t="n"/>
      <c r="M117" s="89" t="n"/>
      <c r="N117" s="89" t="n"/>
      <c r="O117" s="90">
        <f>IF($E117="","",IFERROR(INDEX(PARAMETRES!$O$7:$O$36,MATCH($E117,PARAMETRES!$M$7:$M$36,0)),""))</f>
        <v/>
      </c>
      <c r="P117" s="89" t="n"/>
      <c r="Q117" s="89" t="n"/>
      <c r="R117" s="89" t="n"/>
      <c r="S117" s="89" t="n"/>
      <c r="T117" s="89" t="n"/>
      <c r="U117" s="91" t="n"/>
      <c r="V117" s="91" t="n"/>
      <c r="W117" s="91" t="n"/>
      <c r="X117" s="89" t="n"/>
      <c r="Y117" s="89" t="n"/>
      <c r="Z117" s="88" t="n"/>
      <c r="AA117" s="88" t="n"/>
      <c r="AB117" s="92">
        <f>IF($A117="","",MAX(0,$F117-$G117))</f>
        <v/>
      </c>
      <c r="AC117" s="92">
        <f>IF($A117="","",SUM($H117:$M117))</f>
        <v/>
      </c>
      <c r="AD117" s="92">
        <f>IF($A117="","",MAX(0,$AB117-$AC117))</f>
        <v/>
      </c>
      <c r="AE117" s="92">
        <f>IF($A117="","",IFERROR($Q117/$O117,""))</f>
        <v/>
      </c>
      <c r="AF117" s="93">
        <f>IF($A117="","",IFERROR($AD117/$AB117,""))</f>
        <v/>
      </c>
      <c r="AG117" s="93">
        <f>IF($A117="","",IFERROR(($P117/$O117)/$AD117,""))</f>
        <v/>
      </c>
      <c r="AH117" s="93">
        <f>IF($A117="","",IFERROR($Q117/$P117,""))</f>
        <v/>
      </c>
      <c r="AI117" s="93">
        <f>IF($A117="","",IFERROR($AF117*$AG117*$AH117,""))</f>
        <v/>
      </c>
      <c r="AJ117" s="93">
        <f>IF($A117="","",IFERROR($AE117/$F117,""))</f>
        <v/>
      </c>
      <c r="AK117" s="92">
        <f>IF($A117="","",IFERROR($AD117/$N117,""))</f>
        <v/>
      </c>
      <c r="AL117" s="92">
        <f>IF($A117="","",IFERROR($H117/$N117,""))</f>
        <v/>
      </c>
      <c r="AM117" s="92">
        <f>IF($A117="","",IFERROR(($P117-$Q117)/$P117*1000000,""))</f>
        <v/>
      </c>
      <c r="AN117" s="93">
        <f>IF($A117="","",IFERROR(($Q117+$R117)/$T117,""))</f>
        <v/>
      </c>
      <c r="AO117" s="93">
        <f>IF($A117="","",IFERROR($V117/$U117,""))</f>
        <v/>
      </c>
      <c r="AP117" s="92">
        <f>IF($A117="","",IFERROR(MAX(0,$AD117-$P117/$O117),""))</f>
        <v/>
      </c>
      <c r="AQ117" s="92">
        <f>IF($A117="","",IFERROR(($P117-$Q117)/$O117,""))</f>
        <v/>
      </c>
      <c r="AR117" s="94">
        <f>IF($A117="","",IF($F117="","Temps d'ouverture manquant",IF($O117="","Cadence produit inconnue",IF($G117&gt;$F117,"Arrêts planifiés &gt; temps d'ouverture",IF($AC117&gt;$AB117,"Arrêts subis &gt; temps requis",IF($P117&lt;&gt;$Q117+$R117+$S117,"Produite ≠ conforme + retouchée + rebutée",IF($Q117&gt;$P117,"Conforme &gt; produite",IF($V117&gt;$U117,"Présents &gt; prévus","OK"))))))))</f>
        <v/>
      </c>
      <c r="AS117" s="95">
        <f>IF($A117="",0,IF(AND(OR(COCKPIT!$H$4="Toutes",$C117=COCKPIT!$H$4),OR(COCKPIT!$K$4="Toutes",$B117=COCKPIT!$K$4)),1,0))</f>
        <v/>
      </c>
    </row>
    <row r="118" ht="15" customHeight="1">
      <c r="A118" s="87" t="n"/>
      <c r="B118" s="88" t="n"/>
      <c r="C118" s="88" t="n"/>
      <c r="D118" s="88" t="n"/>
      <c r="E118" s="88" t="n"/>
      <c r="F118" s="89" t="n"/>
      <c r="G118" s="89" t="n"/>
      <c r="H118" s="89" t="n"/>
      <c r="I118" s="89" t="n"/>
      <c r="J118" s="89" t="n"/>
      <c r="K118" s="89" t="n"/>
      <c r="L118" s="89" t="n"/>
      <c r="M118" s="89" t="n"/>
      <c r="N118" s="89" t="n"/>
      <c r="O118" s="90">
        <f>IF($E118="","",IFERROR(INDEX(PARAMETRES!$O$7:$O$36,MATCH($E118,PARAMETRES!$M$7:$M$36,0)),""))</f>
        <v/>
      </c>
      <c r="P118" s="89" t="n"/>
      <c r="Q118" s="89" t="n"/>
      <c r="R118" s="89" t="n"/>
      <c r="S118" s="89" t="n"/>
      <c r="T118" s="89" t="n"/>
      <c r="U118" s="91" t="n"/>
      <c r="V118" s="91" t="n"/>
      <c r="W118" s="91" t="n"/>
      <c r="X118" s="89" t="n"/>
      <c r="Y118" s="89" t="n"/>
      <c r="Z118" s="88" t="n"/>
      <c r="AA118" s="88" t="n"/>
      <c r="AB118" s="92">
        <f>IF($A118="","",MAX(0,$F118-$G118))</f>
        <v/>
      </c>
      <c r="AC118" s="92">
        <f>IF($A118="","",SUM($H118:$M118))</f>
        <v/>
      </c>
      <c r="AD118" s="92">
        <f>IF($A118="","",MAX(0,$AB118-$AC118))</f>
        <v/>
      </c>
      <c r="AE118" s="92">
        <f>IF($A118="","",IFERROR($Q118/$O118,""))</f>
        <v/>
      </c>
      <c r="AF118" s="93">
        <f>IF($A118="","",IFERROR($AD118/$AB118,""))</f>
        <v/>
      </c>
      <c r="AG118" s="93">
        <f>IF($A118="","",IFERROR(($P118/$O118)/$AD118,""))</f>
        <v/>
      </c>
      <c r="AH118" s="93">
        <f>IF($A118="","",IFERROR($Q118/$P118,""))</f>
        <v/>
      </c>
      <c r="AI118" s="93">
        <f>IF($A118="","",IFERROR($AF118*$AG118*$AH118,""))</f>
        <v/>
      </c>
      <c r="AJ118" s="93">
        <f>IF($A118="","",IFERROR($AE118/$F118,""))</f>
        <v/>
      </c>
      <c r="AK118" s="92">
        <f>IF($A118="","",IFERROR($AD118/$N118,""))</f>
        <v/>
      </c>
      <c r="AL118" s="92">
        <f>IF($A118="","",IFERROR($H118/$N118,""))</f>
        <v/>
      </c>
      <c r="AM118" s="92">
        <f>IF($A118="","",IFERROR(($P118-$Q118)/$P118*1000000,""))</f>
        <v/>
      </c>
      <c r="AN118" s="93">
        <f>IF($A118="","",IFERROR(($Q118+$R118)/$T118,""))</f>
        <v/>
      </c>
      <c r="AO118" s="93">
        <f>IF($A118="","",IFERROR($V118/$U118,""))</f>
        <v/>
      </c>
      <c r="AP118" s="92">
        <f>IF($A118="","",IFERROR(MAX(0,$AD118-$P118/$O118),""))</f>
        <v/>
      </c>
      <c r="AQ118" s="92">
        <f>IF($A118="","",IFERROR(($P118-$Q118)/$O118,""))</f>
        <v/>
      </c>
      <c r="AR118" s="94">
        <f>IF($A118="","",IF($F118="","Temps d'ouverture manquant",IF($O118="","Cadence produit inconnue",IF($G118&gt;$F118,"Arrêts planifiés &gt; temps d'ouverture",IF($AC118&gt;$AB118,"Arrêts subis &gt; temps requis",IF($P118&lt;&gt;$Q118+$R118+$S118,"Produite ≠ conforme + retouchée + rebutée",IF($Q118&gt;$P118,"Conforme &gt; produite",IF($V118&gt;$U118,"Présents &gt; prévus","OK"))))))))</f>
        <v/>
      </c>
      <c r="AS118" s="95">
        <f>IF($A118="",0,IF(AND(OR(COCKPIT!$H$4="Toutes",$C118=COCKPIT!$H$4),OR(COCKPIT!$K$4="Toutes",$B118=COCKPIT!$K$4)),1,0))</f>
        <v/>
      </c>
    </row>
    <row r="119" ht="15" customHeight="1">
      <c r="A119" s="87" t="n"/>
      <c r="B119" s="88" t="n"/>
      <c r="C119" s="88" t="n"/>
      <c r="D119" s="88" t="n"/>
      <c r="E119" s="88" t="n"/>
      <c r="F119" s="89" t="n"/>
      <c r="G119" s="89" t="n"/>
      <c r="H119" s="89" t="n"/>
      <c r="I119" s="89" t="n"/>
      <c r="J119" s="89" t="n"/>
      <c r="K119" s="89" t="n"/>
      <c r="L119" s="89" t="n"/>
      <c r="M119" s="89" t="n"/>
      <c r="N119" s="89" t="n"/>
      <c r="O119" s="90">
        <f>IF($E119="","",IFERROR(INDEX(PARAMETRES!$O$7:$O$36,MATCH($E119,PARAMETRES!$M$7:$M$36,0)),""))</f>
        <v/>
      </c>
      <c r="P119" s="89" t="n"/>
      <c r="Q119" s="89" t="n"/>
      <c r="R119" s="89" t="n"/>
      <c r="S119" s="89" t="n"/>
      <c r="T119" s="89" t="n"/>
      <c r="U119" s="91" t="n"/>
      <c r="V119" s="91" t="n"/>
      <c r="W119" s="91" t="n"/>
      <c r="X119" s="89" t="n"/>
      <c r="Y119" s="89" t="n"/>
      <c r="Z119" s="88" t="n"/>
      <c r="AA119" s="88" t="n"/>
      <c r="AB119" s="92">
        <f>IF($A119="","",MAX(0,$F119-$G119))</f>
        <v/>
      </c>
      <c r="AC119" s="92">
        <f>IF($A119="","",SUM($H119:$M119))</f>
        <v/>
      </c>
      <c r="AD119" s="92">
        <f>IF($A119="","",MAX(0,$AB119-$AC119))</f>
        <v/>
      </c>
      <c r="AE119" s="92">
        <f>IF($A119="","",IFERROR($Q119/$O119,""))</f>
        <v/>
      </c>
      <c r="AF119" s="93">
        <f>IF($A119="","",IFERROR($AD119/$AB119,""))</f>
        <v/>
      </c>
      <c r="AG119" s="93">
        <f>IF($A119="","",IFERROR(($P119/$O119)/$AD119,""))</f>
        <v/>
      </c>
      <c r="AH119" s="93">
        <f>IF($A119="","",IFERROR($Q119/$P119,""))</f>
        <v/>
      </c>
      <c r="AI119" s="93">
        <f>IF($A119="","",IFERROR($AF119*$AG119*$AH119,""))</f>
        <v/>
      </c>
      <c r="AJ119" s="93">
        <f>IF($A119="","",IFERROR($AE119/$F119,""))</f>
        <v/>
      </c>
      <c r="AK119" s="92">
        <f>IF($A119="","",IFERROR($AD119/$N119,""))</f>
        <v/>
      </c>
      <c r="AL119" s="92">
        <f>IF($A119="","",IFERROR($H119/$N119,""))</f>
        <v/>
      </c>
      <c r="AM119" s="92">
        <f>IF($A119="","",IFERROR(($P119-$Q119)/$P119*1000000,""))</f>
        <v/>
      </c>
      <c r="AN119" s="93">
        <f>IF($A119="","",IFERROR(($Q119+$R119)/$T119,""))</f>
        <v/>
      </c>
      <c r="AO119" s="93">
        <f>IF($A119="","",IFERROR($V119/$U119,""))</f>
        <v/>
      </c>
      <c r="AP119" s="92">
        <f>IF($A119="","",IFERROR(MAX(0,$AD119-$P119/$O119),""))</f>
        <v/>
      </c>
      <c r="AQ119" s="92">
        <f>IF($A119="","",IFERROR(($P119-$Q119)/$O119,""))</f>
        <v/>
      </c>
      <c r="AR119" s="94">
        <f>IF($A119="","",IF($F119="","Temps d'ouverture manquant",IF($O119="","Cadence produit inconnue",IF($G119&gt;$F119,"Arrêts planifiés &gt; temps d'ouverture",IF($AC119&gt;$AB119,"Arrêts subis &gt; temps requis",IF($P119&lt;&gt;$Q119+$R119+$S119,"Produite ≠ conforme + retouchée + rebutée",IF($Q119&gt;$P119,"Conforme &gt; produite",IF($V119&gt;$U119,"Présents &gt; prévus","OK"))))))))</f>
        <v/>
      </c>
      <c r="AS119" s="95">
        <f>IF($A119="",0,IF(AND(OR(COCKPIT!$H$4="Toutes",$C119=COCKPIT!$H$4),OR(COCKPIT!$K$4="Toutes",$B119=COCKPIT!$K$4)),1,0))</f>
        <v/>
      </c>
    </row>
    <row r="120" ht="15" customHeight="1">
      <c r="A120" s="87" t="n"/>
      <c r="B120" s="88" t="n"/>
      <c r="C120" s="88" t="n"/>
      <c r="D120" s="88" t="n"/>
      <c r="E120" s="88" t="n"/>
      <c r="F120" s="89" t="n"/>
      <c r="G120" s="89" t="n"/>
      <c r="H120" s="89" t="n"/>
      <c r="I120" s="89" t="n"/>
      <c r="J120" s="89" t="n"/>
      <c r="K120" s="89" t="n"/>
      <c r="L120" s="89" t="n"/>
      <c r="M120" s="89" t="n"/>
      <c r="N120" s="89" t="n"/>
      <c r="O120" s="90">
        <f>IF($E120="","",IFERROR(INDEX(PARAMETRES!$O$7:$O$36,MATCH($E120,PARAMETRES!$M$7:$M$36,0)),""))</f>
        <v/>
      </c>
      <c r="P120" s="89" t="n"/>
      <c r="Q120" s="89" t="n"/>
      <c r="R120" s="89" t="n"/>
      <c r="S120" s="89" t="n"/>
      <c r="T120" s="89" t="n"/>
      <c r="U120" s="91" t="n"/>
      <c r="V120" s="91" t="n"/>
      <c r="W120" s="91" t="n"/>
      <c r="X120" s="89" t="n"/>
      <c r="Y120" s="89" t="n"/>
      <c r="Z120" s="88" t="n"/>
      <c r="AA120" s="88" t="n"/>
      <c r="AB120" s="92">
        <f>IF($A120="","",MAX(0,$F120-$G120))</f>
        <v/>
      </c>
      <c r="AC120" s="92">
        <f>IF($A120="","",SUM($H120:$M120))</f>
        <v/>
      </c>
      <c r="AD120" s="92">
        <f>IF($A120="","",MAX(0,$AB120-$AC120))</f>
        <v/>
      </c>
      <c r="AE120" s="92">
        <f>IF($A120="","",IFERROR($Q120/$O120,""))</f>
        <v/>
      </c>
      <c r="AF120" s="93">
        <f>IF($A120="","",IFERROR($AD120/$AB120,""))</f>
        <v/>
      </c>
      <c r="AG120" s="93">
        <f>IF($A120="","",IFERROR(($P120/$O120)/$AD120,""))</f>
        <v/>
      </c>
      <c r="AH120" s="93">
        <f>IF($A120="","",IFERROR($Q120/$P120,""))</f>
        <v/>
      </c>
      <c r="AI120" s="93">
        <f>IF($A120="","",IFERROR($AF120*$AG120*$AH120,""))</f>
        <v/>
      </c>
      <c r="AJ120" s="93">
        <f>IF($A120="","",IFERROR($AE120/$F120,""))</f>
        <v/>
      </c>
      <c r="AK120" s="92">
        <f>IF($A120="","",IFERROR($AD120/$N120,""))</f>
        <v/>
      </c>
      <c r="AL120" s="92">
        <f>IF($A120="","",IFERROR($H120/$N120,""))</f>
        <v/>
      </c>
      <c r="AM120" s="92">
        <f>IF($A120="","",IFERROR(($P120-$Q120)/$P120*1000000,""))</f>
        <v/>
      </c>
      <c r="AN120" s="93">
        <f>IF($A120="","",IFERROR(($Q120+$R120)/$T120,""))</f>
        <v/>
      </c>
      <c r="AO120" s="93">
        <f>IF($A120="","",IFERROR($V120/$U120,""))</f>
        <v/>
      </c>
      <c r="AP120" s="92">
        <f>IF($A120="","",IFERROR(MAX(0,$AD120-$P120/$O120),""))</f>
        <v/>
      </c>
      <c r="AQ120" s="92">
        <f>IF($A120="","",IFERROR(($P120-$Q120)/$O120,""))</f>
        <v/>
      </c>
      <c r="AR120" s="94">
        <f>IF($A120="","",IF($F120="","Temps d'ouverture manquant",IF($O120="","Cadence produit inconnue",IF($G120&gt;$F120,"Arrêts planifiés &gt; temps d'ouverture",IF($AC120&gt;$AB120,"Arrêts subis &gt; temps requis",IF($P120&lt;&gt;$Q120+$R120+$S120,"Produite ≠ conforme + retouchée + rebutée",IF($Q120&gt;$P120,"Conforme &gt; produite",IF($V120&gt;$U120,"Présents &gt; prévus","OK"))))))))</f>
        <v/>
      </c>
      <c r="AS120" s="95">
        <f>IF($A120="",0,IF(AND(OR(COCKPIT!$H$4="Toutes",$C120=COCKPIT!$H$4),OR(COCKPIT!$K$4="Toutes",$B120=COCKPIT!$K$4)),1,0))</f>
        <v/>
      </c>
    </row>
    <row r="121" ht="15" customHeight="1">
      <c r="A121" s="87" t="n"/>
      <c r="B121" s="88" t="n"/>
      <c r="C121" s="88" t="n"/>
      <c r="D121" s="88" t="n"/>
      <c r="E121" s="88" t="n"/>
      <c r="F121" s="89" t="n"/>
      <c r="G121" s="89" t="n"/>
      <c r="H121" s="89" t="n"/>
      <c r="I121" s="89" t="n"/>
      <c r="J121" s="89" t="n"/>
      <c r="K121" s="89" t="n"/>
      <c r="L121" s="89" t="n"/>
      <c r="M121" s="89" t="n"/>
      <c r="N121" s="89" t="n"/>
      <c r="O121" s="90">
        <f>IF($E121="","",IFERROR(INDEX(PARAMETRES!$O$7:$O$36,MATCH($E121,PARAMETRES!$M$7:$M$36,0)),""))</f>
        <v/>
      </c>
      <c r="P121" s="89" t="n"/>
      <c r="Q121" s="89" t="n"/>
      <c r="R121" s="89" t="n"/>
      <c r="S121" s="89" t="n"/>
      <c r="T121" s="89" t="n"/>
      <c r="U121" s="91" t="n"/>
      <c r="V121" s="91" t="n"/>
      <c r="W121" s="91" t="n"/>
      <c r="X121" s="89" t="n"/>
      <c r="Y121" s="89" t="n"/>
      <c r="Z121" s="88" t="n"/>
      <c r="AA121" s="88" t="n"/>
      <c r="AB121" s="92">
        <f>IF($A121="","",MAX(0,$F121-$G121))</f>
        <v/>
      </c>
      <c r="AC121" s="92">
        <f>IF($A121="","",SUM($H121:$M121))</f>
        <v/>
      </c>
      <c r="AD121" s="92">
        <f>IF($A121="","",MAX(0,$AB121-$AC121))</f>
        <v/>
      </c>
      <c r="AE121" s="92">
        <f>IF($A121="","",IFERROR($Q121/$O121,""))</f>
        <v/>
      </c>
      <c r="AF121" s="93">
        <f>IF($A121="","",IFERROR($AD121/$AB121,""))</f>
        <v/>
      </c>
      <c r="AG121" s="93">
        <f>IF($A121="","",IFERROR(($P121/$O121)/$AD121,""))</f>
        <v/>
      </c>
      <c r="AH121" s="93">
        <f>IF($A121="","",IFERROR($Q121/$P121,""))</f>
        <v/>
      </c>
      <c r="AI121" s="93">
        <f>IF($A121="","",IFERROR($AF121*$AG121*$AH121,""))</f>
        <v/>
      </c>
      <c r="AJ121" s="93">
        <f>IF($A121="","",IFERROR($AE121/$F121,""))</f>
        <v/>
      </c>
      <c r="AK121" s="92">
        <f>IF($A121="","",IFERROR($AD121/$N121,""))</f>
        <v/>
      </c>
      <c r="AL121" s="92">
        <f>IF($A121="","",IFERROR($H121/$N121,""))</f>
        <v/>
      </c>
      <c r="AM121" s="92">
        <f>IF($A121="","",IFERROR(($P121-$Q121)/$P121*1000000,""))</f>
        <v/>
      </c>
      <c r="AN121" s="93">
        <f>IF($A121="","",IFERROR(($Q121+$R121)/$T121,""))</f>
        <v/>
      </c>
      <c r="AO121" s="93">
        <f>IF($A121="","",IFERROR($V121/$U121,""))</f>
        <v/>
      </c>
      <c r="AP121" s="92">
        <f>IF($A121="","",IFERROR(MAX(0,$AD121-$P121/$O121),""))</f>
        <v/>
      </c>
      <c r="AQ121" s="92">
        <f>IF($A121="","",IFERROR(($P121-$Q121)/$O121,""))</f>
        <v/>
      </c>
      <c r="AR121" s="94">
        <f>IF($A121="","",IF($F121="","Temps d'ouverture manquant",IF($O121="","Cadence produit inconnue",IF($G121&gt;$F121,"Arrêts planifiés &gt; temps d'ouverture",IF($AC121&gt;$AB121,"Arrêts subis &gt; temps requis",IF($P121&lt;&gt;$Q121+$R121+$S121,"Produite ≠ conforme + retouchée + rebutée",IF($Q121&gt;$P121,"Conforme &gt; produite",IF($V121&gt;$U121,"Présents &gt; prévus","OK"))))))))</f>
        <v/>
      </c>
      <c r="AS121" s="95">
        <f>IF($A121="",0,IF(AND(OR(COCKPIT!$H$4="Toutes",$C121=COCKPIT!$H$4),OR(COCKPIT!$K$4="Toutes",$B121=COCKPIT!$K$4)),1,0))</f>
        <v/>
      </c>
    </row>
    <row r="122" ht="15" customHeight="1">
      <c r="A122" s="87" t="n"/>
      <c r="B122" s="88" t="n"/>
      <c r="C122" s="88" t="n"/>
      <c r="D122" s="88" t="n"/>
      <c r="E122" s="88" t="n"/>
      <c r="F122" s="89" t="n"/>
      <c r="G122" s="89" t="n"/>
      <c r="H122" s="89" t="n"/>
      <c r="I122" s="89" t="n"/>
      <c r="J122" s="89" t="n"/>
      <c r="K122" s="89" t="n"/>
      <c r="L122" s="89" t="n"/>
      <c r="M122" s="89" t="n"/>
      <c r="N122" s="89" t="n"/>
      <c r="O122" s="90">
        <f>IF($E122="","",IFERROR(INDEX(PARAMETRES!$O$7:$O$36,MATCH($E122,PARAMETRES!$M$7:$M$36,0)),""))</f>
        <v/>
      </c>
      <c r="P122" s="89" t="n"/>
      <c r="Q122" s="89" t="n"/>
      <c r="R122" s="89" t="n"/>
      <c r="S122" s="89" t="n"/>
      <c r="T122" s="89" t="n"/>
      <c r="U122" s="91" t="n"/>
      <c r="V122" s="91" t="n"/>
      <c r="W122" s="91" t="n"/>
      <c r="X122" s="89" t="n"/>
      <c r="Y122" s="89" t="n"/>
      <c r="Z122" s="88" t="n"/>
      <c r="AA122" s="88" t="n"/>
      <c r="AB122" s="92">
        <f>IF($A122="","",MAX(0,$F122-$G122))</f>
        <v/>
      </c>
      <c r="AC122" s="92">
        <f>IF($A122="","",SUM($H122:$M122))</f>
        <v/>
      </c>
      <c r="AD122" s="92">
        <f>IF($A122="","",MAX(0,$AB122-$AC122))</f>
        <v/>
      </c>
      <c r="AE122" s="92">
        <f>IF($A122="","",IFERROR($Q122/$O122,""))</f>
        <v/>
      </c>
      <c r="AF122" s="93">
        <f>IF($A122="","",IFERROR($AD122/$AB122,""))</f>
        <v/>
      </c>
      <c r="AG122" s="93">
        <f>IF($A122="","",IFERROR(($P122/$O122)/$AD122,""))</f>
        <v/>
      </c>
      <c r="AH122" s="93">
        <f>IF($A122="","",IFERROR($Q122/$P122,""))</f>
        <v/>
      </c>
      <c r="AI122" s="93">
        <f>IF($A122="","",IFERROR($AF122*$AG122*$AH122,""))</f>
        <v/>
      </c>
      <c r="AJ122" s="93">
        <f>IF($A122="","",IFERROR($AE122/$F122,""))</f>
        <v/>
      </c>
      <c r="AK122" s="92">
        <f>IF($A122="","",IFERROR($AD122/$N122,""))</f>
        <v/>
      </c>
      <c r="AL122" s="92">
        <f>IF($A122="","",IFERROR($H122/$N122,""))</f>
        <v/>
      </c>
      <c r="AM122" s="92">
        <f>IF($A122="","",IFERROR(($P122-$Q122)/$P122*1000000,""))</f>
        <v/>
      </c>
      <c r="AN122" s="93">
        <f>IF($A122="","",IFERROR(($Q122+$R122)/$T122,""))</f>
        <v/>
      </c>
      <c r="AO122" s="93">
        <f>IF($A122="","",IFERROR($V122/$U122,""))</f>
        <v/>
      </c>
      <c r="AP122" s="92">
        <f>IF($A122="","",IFERROR(MAX(0,$AD122-$P122/$O122),""))</f>
        <v/>
      </c>
      <c r="AQ122" s="92">
        <f>IF($A122="","",IFERROR(($P122-$Q122)/$O122,""))</f>
        <v/>
      </c>
      <c r="AR122" s="94">
        <f>IF($A122="","",IF($F122="","Temps d'ouverture manquant",IF($O122="","Cadence produit inconnue",IF($G122&gt;$F122,"Arrêts planifiés &gt; temps d'ouverture",IF($AC122&gt;$AB122,"Arrêts subis &gt; temps requis",IF($P122&lt;&gt;$Q122+$R122+$S122,"Produite ≠ conforme + retouchée + rebutée",IF($Q122&gt;$P122,"Conforme &gt; produite",IF($V122&gt;$U122,"Présents &gt; prévus","OK"))))))))</f>
        <v/>
      </c>
      <c r="AS122" s="95">
        <f>IF($A122="",0,IF(AND(OR(COCKPIT!$H$4="Toutes",$C122=COCKPIT!$H$4),OR(COCKPIT!$K$4="Toutes",$B122=COCKPIT!$K$4)),1,0))</f>
        <v/>
      </c>
    </row>
    <row r="123" ht="15" customHeight="1">
      <c r="A123" s="87" t="n"/>
      <c r="B123" s="88" t="n"/>
      <c r="C123" s="88" t="n"/>
      <c r="D123" s="88" t="n"/>
      <c r="E123" s="88" t="n"/>
      <c r="F123" s="89" t="n"/>
      <c r="G123" s="89" t="n"/>
      <c r="H123" s="89" t="n"/>
      <c r="I123" s="89" t="n"/>
      <c r="J123" s="89" t="n"/>
      <c r="K123" s="89" t="n"/>
      <c r="L123" s="89" t="n"/>
      <c r="M123" s="89" t="n"/>
      <c r="N123" s="89" t="n"/>
      <c r="O123" s="90">
        <f>IF($E123="","",IFERROR(INDEX(PARAMETRES!$O$7:$O$36,MATCH($E123,PARAMETRES!$M$7:$M$36,0)),""))</f>
        <v/>
      </c>
      <c r="P123" s="89" t="n"/>
      <c r="Q123" s="89" t="n"/>
      <c r="R123" s="89" t="n"/>
      <c r="S123" s="89" t="n"/>
      <c r="T123" s="89" t="n"/>
      <c r="U123" s="91" t="n"/>
      <c r="V123" s="91" t="n"/>
      <c r="W123" s="91" t="n"/>
      <c r="X123" s="89" t="n"/>
      <c r="Y123" s="89" t="n"/>
      <c r="Z123" s="88" t="n"/>
      <c r="AA123" s="88" t="n"/>
      <c r="AB123" s="92">
        <f>IF($A123="","",MAX(0,$F123-$G123))</f>
        <v/>
      </c>
      <c r="AC123" s="92">
        <f>IF($A123="","",SUM($H123:$M123))</f>
        <v/>
      </c>
      <c r="AD123" s="92">
        <f>IF($A123="","",MAX(0,$AB123-$AC123))</f>
        <v/>
      </c>
      <c r="AE123" s="92">
        <f>IF($A123="","",IFERROR($Q123/$O123,""))</f>
        <v/>
      </c>
      <c r="AF123" s="93">
        <f>IF($A123="","",IFERROR($AD123/$AB123,""))</f>
        <v/>
      </c>
      <c r="AG123" s="93">
        <f>IF($A123="","",IFERROR(($P123/$O123)/$AD123,""))</f>
        <v/>
      </c>
      <c r="AH123" s="93">
        <f>IF($A123="","",IFERROR($Q123/$P123,""))</f>
        <v/>
      </c>
      <c r="AI123" s="93">
        <f>IF($A123="","",IFERROR($AF123*$AG123*$AH123,""))</f>
        <v/>
      </c>
      <c r="AJ123" s="93">
        <f>IF($A123="","",IFERROR($AE123/$F123,""))</f>
        <v/>
      </c>
      <c r="AK123" s="92">
        <f>IF($A123="","",IFERROR($AD123/$N123,""))</f>
        <v/>
      </c>
      <c r="AL123" s="92">
        <f>IF($A123="","",IFERROR($H123/$N123,""))</f>
        <v/>
      </c>
      <c r="AM123" s="92">
        <f>IF($A123="","",IFERROR(($P123-$Q123)/$P123*1000000,""))</f>
        <v/>
      </c>
      <c r="AN123" s="93">
        <f>IF($A123="","",IFERROR(($Q123+$R123)/$T123,""))</f>
        <v/>
      </c>
      <c r="AO123" s="93">
        <f>IF($A123="","",IFERROR($V123/$U123,""))</f>
        <v/>
      </c>
      <c r="AP123" s="92">
        <f>IF($A123="","",IFERROR(MAX(0,$AD123-$P123/$O123),""))</f>
        <v/>
      </c>
      <c r="AQ123" s="92">
        <f>IF($A123="","",IFERROR(($P123-$Q123)/$O123,""))</f>
        <v/>
      </c>
      <c r="AR123" s="94">
        <f>IF($A123="","",IF($F123="","Temps d'ouverture manquant",IF($O123="","Cadence produit inconnue",IF($G123&gt;$F123,"Arrêts planifiés &gt; temps d'ouverture",IF($AC123&gt;$AB123,"Arrêts subis &gt; temps requis",IF($P123&lt;&gt;$Q123+$R123+$S123,"Produite ≠ conforme + retouchée + rebutée",IF($Q123&gt;$P123,"Conforme &gt; produite",IF($V123&gt;$U123,"Présents &gt; prévus","OK"))))))))</f>
        <v/>
      </c>
      <c r="AS123" s="95">
        <f>IF($A123="",0,IF(AND(OR(COCKPIT!$H$4="Toutes",$C123=COCKPIT!$H$4),OR(COCKPIT!$K$4="Toutes",$B123=COCKPIT!$K$4)),1,0))</f>
        <v/>
      </c>
    </row>
    <row r="124" ht="15" customHeight="1">
      <c r="A124" s="87" t="n"/>
      <c r="B124" s="88" t="n"/>
      <c r="C124" s="88" t="n"/>
      <c r="D124" s="88" t="n"/>
      <c r="E124" s="88" t="n"/>
      <c r="F124" s="89" t="n"/>
      <c r="G124" s="89" t="n"/>
      <c r="H124" s="89" t="n"/>
      <c r="I124" s="89" t="n"/>
      <c r="J124" s="89" t="n"/>
      <c r="K124" s="89" t="n"/>
      <c r="L124" s="89" t="n"/>
      <c r="M124" s="89" t="n"/>
      <c r="N124" s="89" t="n"/>
      <c r="O124" s="90">
        <f>IF($E124="","",IFERROR(INDEX(PARAMETRES!$O$7:$O$36,MATCH($E124,PARAMETRES!$M$7:$M$36,0)),""))</f>
        <v/>
      </c>
      <c r="P124" s="89" t="n"/>
      <c r="Q124" s="89" t="n"/>
      <c r="R124" s="89" t="n"/>
      <c r="S124" s="89" t="n"/>
      <c r="T124" s="89" t="n"/>
      <c r="U124" s="91" t="n"/>
      <c r="V124" s="91" t="n"/>
      <c r="W124" s="91" t="n"/>
      <c r="X124" s="89" t="n"/>
      <c r="Y124" s="89" t="n"/>
      <c r="Z124" s="88" t="n"/>
      <c r="AA124" s="88" t="n"/>
      <c r="AB124" s="92">
        <f>IF($A124="","",MAX(0,$F124-$G124))</f>
        <v/>
      </c>
      <c r="AC124" s="92">
        <f>IF($A124="","",SUM($H124:$M124))</f>
        <v/>
      </c>
      <c r="AD124" s="92">
        <f>IF($A124="","",MAX(0,$AB124-$AC124))</f>
        <v/>
      </c>
      <c r="AE124" s="92">
        <f>IF($A124="","",IFERROR($Q124/$O124,""))</f>
        <v/>
      </c>
      <c r="AF124" s="93">
        <f>IF($A124="","",IFERROR($AD124/$AB124,""))</f>
        <v/>
      </c>
      <c r="AG124" s="93">
        <f>IF($A124="","",IFERROR(($P124/$O124)/$AD124,""))</f>
        <v/>
      </c>
      <c r="AH124" s="93">
        <f>IF($A124="","",IFERROR($Q124/$P124,""))</f>
        <v/>
      </c>
      <c r="AI124" s="93">
        <f>IF($A124="","",IFERROR($AF124*$AG124*$AH124,""))</f>
        <v/>
      </c>
      <c r="AJ124" s="93">
        <f>IF($A124="","",IFERROR($AE124/$F124,""))</f>
        <v/>
      </c>
      <c r="AK124" s="92">
        <f>IF($A124="","",IFERROR($AD124/$N124,""))</f>
        <v/>
      </c>
      <c r="AL124" s="92">
        <f>IF($A124="","",IFERROR($H124/$N124,""))</f>
        <v/>
      </c>
      <c r="AM124" s="92">
        <f>IF($A124="","",IFERROR(($P124-$Q124)/$P124*1000000,""))</f>
        <v/>
      </c>
      <c r="AN124" s="93">
        <f>IF($A124="","",IFERROR(($Q124+$R124)/$T124,""))</f>
        <v/>
      </c>
      <c r="AO124" s="93">
        <f>IF($A124="","",IFERROR($V124/$U124,""))</f>
        <v/>
      </c>
      <c r="AP124" s="92">
        <f>IF($A124="","",IFERROR(MAX(0,$AD124-$P124/$O124),""))</f>
        <v/>
      </c>
      <c r="AQ124" s="92">
        <f>IF($A124="","",IFERROR(($P124-$Q124)/$O124,""))</f>
        <v/>
      </c>
      <c r="AR124" s="94">
        <f>IF($A124="","",IF($F124="","Temps d'ouverture manquant",IF($O124="","Cadence produit inconnue",IF($G124&gt;$F124,"Arrêts planifiés &gt; temps d'ouverture",IF($AC124&gt;$AB124,"Arrêts subis &gt; temps requis",IF($P124&lt;&gt;$Q124+$R124+$S124,"Produite ≠ conforme + retouchée + rebutée",IF($Q124&gt;$P124,"Conforme &gt; produite",IF($V124&gt;$U124,"Présents &gt; prévus","OK"))))))))</f>
        <v/>
      </c>
      <c r="AS124" s="95">
        <f>IF($A124="",0,IF(AND(OR(COCKPIT!$H$4="Toutes",$C124=COCKPIT!$H$4),OR(COCKPIT!$K$4="Toutes",$B124=COCKPIT!$K$4)),1,0))</f>
        <v/>
      </c>
    </row>
    <row r="125" ht="15" customHeight="1">
      <c r="A125" s="87" t="n"/>
      <c r="B125" s="88" t="n"/>
      <c r="C125" s="88" t="n"/>
      <c r="D125" s="88" t="n"/>
      <c r="E125" s="88" t="n"/>
      <c r="F125" s="89" t="n"/>
      <c r="G125" s="89" t="n"/>
      <c r="H125" s="89" t="n"/>
      <c r="I125" s="89" t="n"/>
      <c r="J125" s="89" t="n"/>
      <c r="K125" s="89" t="n"/>
      <c r="L125" s="89" t="n"/>
      <c r="M125" s="89" t="n"/>
      <c r="N125" s="89" t="n"/>
      <c r="O125" s="90">
        <f>IF($E125="","",IFERROR(INDEX(PARAMETRES!$O$7:$O$36,MATCH($E125,PARAMETRES!$M$7:$M$36,0)),""))</f>
        <v/>
      </c>
      <c r="P125" s="89" t="n"/>
      <c r="Q125" s="89" t="n"/>
      <c r="R125" s="89" t="n"/>
      <c r="S125" s="89" t="n"/>
      <c r="T125" s="89" t="n"/>
      <c r="U125" s="91" t="n"/>
      <c r="V125" s="91" t="n"/>
      <c r="W125" s="91" t="n"/>
      <c r="X125" s="89" t="n"/>
      <c r="Y125" s="89" t="n"/>
      <c r="Z125" s="88" t="n"/>
      <c r="AA125" s="88" t="n"/>
      <c r="AB125" s="92">
        <f>IF($A125="","",MAX(0,$F125-$G125))</f>
        <v/>
      </c>
      <c r="AC125" s="92">
        <f>IF($A125="","",SUM($H125:$M125))</f>
        <v/>
      </c>
      <c r="AD125" s="92">
        <f>IF($A125="","",MAX(0,$AB125-$AC125))</f>
        <v/>
      </c>
      <c r="AE125" s="92">
        <f>IF($A125="","",IFERROR($Q125/$O125,""))</f>
        <v/>
      </c>
      <c r="AF125" s="93">
        <f>IF($A125="","",IFERROR($AD125/$AB125,""))</f>
        <v/>
      </c>
      <c r="AG125" s="93">
        <f>IF($A125="","",IFERROR(($P125/$O125)/$AD125,""))</f>
        <v/>
      </c>
      <c r="AH125" s="93">
        <f>IF($A125="","",IFERROR($Q125/$P125,""))</f>
        <v/>
      </c>
      <c r="AI125" s="93">
        <f>IF($A125="","",IFERROR($AF125*$AG125*$AH125,""))</f>
        <v/>
      </c>
      <c r="AJ125" s="93">
        <f>IF($A125="","",IFERROR($AE125/$F125,""))</f>
        <v/>
      </c>
      <c r="AK125" s="92">
        <f>IF($A125="","",IFERROR($AD125/$N125,""))</f>
        <v/>
      </c>
      <c r="AL125" s="92">
        <f>IF($A125="","",IFERROR($H125/$N125,""))</f>
        <v/>
      </c>
      <c r="AM125" s="92">
        <f>IF($A125="","",IFERROR(($P125-$Q125)/$P125*1000000,""))</f>
        <v/>
      </c>
      <c r="AN125" s="93">
        <f>IF($A125="","",IFERROR(($Q125+$R125)/$T125,""))</f>
        <v/>
      </c>
      <c r="AO125" s="93">
        <f>IF($A125="","",IFERROR($V125/$U125,""))</f>
        <v/>
      </c>
      <c r="AP125" s="92">
        <f>IF($A125="","",IFERROR(MAX(0,$AD125-$P125/$O125),""))</f>
        <v/>
      </c>
      <c r="AQ125" s="92">
        <f>IF($A125="","",IFERROR(($P125-$Q125)/$O125,""))</f>
        <v/>
      </c>
      <c r="AR125" s="94">
        <f>IF($A125="","",IF($F125="","Temps d'ouverture manquant",IF($O125="","Cadence produit inconnue",IF($G125&gt;$F125,"Arrêts planifiés &gt; temps d'ouverture",IF($AC125&gt;$AB125,"Arrêts subis &gt; temps requis",IF($P125&lt;&gt;$Q125+$R125+$S125,"Produite ≠ conforme + retouchée + rebutée",IF($Q125&gt;$P125,"Conforme &gt; produite",IF($V125&gt;$U125,"Présents &gt; prévus","OK"))))))))</f>
        <v/>
      </c>
      <c r="AS125" s="95">
        <f>IF($A125="",0,IF(AND(OR(COCKPIT!$H$4="Toutes",$C125=COCKPIT!$H$4),OR(COCKPIT!$K$4="Toutes",$B125=COCKPIT!$K$4)),1,0))</f>
        <v/>
      </c>
    </row>
    <row r="126" ht="15" customHeight="1">
      <c r="A126" s="87" t="n"/>
      <c r="B126" s="88" t="n"/>
      <c r="C126" s="88" t="n"/>
      <c r="D126" s="88" t="n"/>
      <c r="E126" s="88" t="n"/>
      <c r="F126" s="89" t="n"/>
      <c r="G126" s="89" t="n"/>
      <c r="H126" s="89" t="n"/>
      <c r="I126" s="89" t="n"/>
      <c r="J126" s="89" t="n"/>
      <c r="K126" s="89" t="n"/>
      <c r="L126" s="89" t="n"/>
      <c r="M126" s="89" t="n"/>
      <c r="N126" s="89" t="n"/>
      <c r="O126" s="90">
        <f>IF($E126="","",IFERROR(INDEX(PARAMETRES!$O$7:$O$36,MATCH($E126,PARAMETRES!$M$7:$M$36,0)),""))</f>
        <v/>
      </c>
      <c r="P126" s="89" t="n"/>
      <c r="Q126" s="89" t="n"/>
      <c r="R126" s="89" t="n"/>
      <c r="S126" s="89" t="n"/>
      <c r="T126" s="89" t="n"/>
      <c r="U126" s="91" t="n"/>
      <c r="V126" s="91" t="n"/>
      <c r="W126" s="91" t="n"/>
      <c r="X126" s="89" t="n"/>
      <c r="Y126" s="89" t="n"/>
      <c r="Z126" s="88" t="n"/>
      <c r="AA126" s="88" t="n"/>
      <c r="AB126" s="92">
        <f>IF($A126="","",MAX(0,$F126-$G126))</f>
        <v/>
      </c>
      <c r="AC126" s="92">
        <f>IF($A126="","",SUM($H126:$M126))</f>
        <v/>
      </c>
      <c r="AD126" s="92">
        <f>IF($A126="","",MAX(0,$AB126-$AC126))</f>
        <v/>
      </c>
      <c r="AE126" s="92">
        <f>IF($A126="","",IFERROR($Q126/$O126,""))</f>
        <v/>
      </c>
      <c r="AF126" s="93">
        <f>IF($A126="","",IFERROR($AD126/$AB126,""))</f>
        <v/>
      </c>
      <c r="AG126" s="93">
        <f>IF($A126="","",IFERROR(($P126/$O126)/$AD126,""))</f>
        <v/>
      </c>
      <c r="AH126" s="93">
        <f>IF($A126="","",IFERROR($Q126/$P126,""))</f>
        <v/>
      </c>
      <c r="AI126" s="93">
        <f>IF($A126="","",IFERROR($AF126*$AG126*$AH126,""))</f>
        <v/>
      </c>
      <c r="AJ126" s="93">
        <f>IF($A126="","",IFERROR($AE126/$F126,""))</f>
        <v/>
      </c>
      <c r="AK126" s="92">
        <f>IF($A126="","",IFERROR($AD126/$N126,""))</f>
        <v/>
      </c>
      <c r="AL126" s="92">
        <f>IF($A126="","",IFERROR($H126/$N126,""))</f>
        <v/>
      </c>
      <c r="AM126" s="92">
        <f>IF($A126="","",IFERROR(($P126-$Q126)/$P126*1000000,""))</f>
        <v/>
      </c>
      <c r="AN126" s="93">
        <f>IF($A126="","",IFERROR(($Q126+$R126)/$T126,""))</f>
        <v/>
      </c>
      <c r="AO126" s="93">
        <f>IF($A126="","",IFERROR($V126/$U126,""))</f>
        <v/>
      </c>
      <c r="AP126" s="92">
        <f>IF($A126="","",IFERROR(MAX(0,$AD126-$P126/$O126),""))</f>
        <v/>
      </c>
      <c r="AQ126" s="92">
        <f>IF($A126="","",IFERROR(($P126-$Q126)/$O126,""))</f>
        <v/>
      </c>
      <c r="AR126" s="94">
        <f>IF($A126="","",IF($F126="","Temps d'ouverture manquant",IF($O126="","Cadence produit inconnue",IF($G126&gt;$F126,"Arrêts planifiés &gt; temps d'ouverture",IF($AC126&gt;$AB126,"Arrêts subis &gt; temps requis",IF($P126&lt;&gt;$Q126+$R126+$S126,"Produite ≠ conforme + retouchée + rebutée",IF($Q126&gt;$P126,"Conforme &gt; produite",IF($V126&gt;$U126,"Présents &gt; prévus","OK"))))))))</f>
        <v/>
      </c>
      <c r="AS126" s="95">
        <f>IF($A126="",0,IF(AND(OR(COCKPIT!$H$4="Toutes",$C126=COCKPIT!$H$4),OR(COCKPIT!$K$4="Toutes",$B126=COCKPIT!$K$4)),1,0))</f>
        <v/>
      </c>
    </row>
    <row r="127" ht="15" customHeight="1">
      <c r="A127" s="87" t="n"/>
      <c r="B127" s="88" t="n"/>
      <c r="C127" s="88" t="n"/>
      <c r="D127" s="88" t="n"/>
      <c r="E127" s="88" t="n"/>
      <c r="F127" s="89" t="n"/>
      <c r="G127" s="89" t="n"/>
      <c r="H127" s="89" t="n"/>
      <c r="I127" s="89" t="n"/>
      <c r="J127" s="89" t="n"/>
      <c r="K127" s="89" t="n"/>
      <c r="L127" s="89" t="n"/>
      <c r="M127" s="89" t="n"/>
      <c r="N127" s="89" t="n"/>
      <c r="O127" s="90">
        <f>IF($E127="","",IFERROR(INDEX(PARAMETRES!$O$7:$O$36,MATCH($E127,PARAMETRES!$M$7:$M$36,0)),""))</f>
        <v/>
      </c>
      <c r="P127" s="89" t="n"/>
      <c r="Q127" s="89" t="n"/>
      <c r="R127" s="89" t="n"/>
      <c r="S127" s="89" t="n"/>
      <c r="T127" s="89" t="n"/>
      <c r="U127" s="91" t="n"/>
      <c r="V127" s="91" t="n"/>
      <c r="W127" s="91" t="n"/>
      <c r="X127" s="89" t="n"/>
      <c r="Y127" s="89" t="n"/>
      <c r="Z127" s="88" t="n"/>
      <c r="AA127" s="88" t="n"/>
      <c r="AB127" s="92">
        <f>IF($A127="","",MAX(0,$F127-$G127))</f>
        <v/>
      </c>
      <c r="AC127" s="92">
        <f>IF($A127="","",SUM($H127:$M127))</f>
        <v/>
      </c>
      <c r="AD127" s="92">
        <f>IF($A127="","",MAX(0,$AB127-$AC127))</f>
        <v/>
      </c>
      <c r="AE127" s="92">
        <f>IF($A127="","",IFERROR($Q127/$O127,""))</f>
        <v/>
      </c>
      <c r="AF127" s="93">
        <f>IF($A127="","",IFERROR($AD127/$AB127,""))</f>
        <v/>
      </c>
      <c r="AG127" s="93">
        <f>IF($A127="","",IFERROR(($P127/$O127)/$AD127,""))</f>
        <v/>
      </c>
      <c r="AH127" s="93">
        <f>IF($A127="","",IFERROR($Q127/$P127,""))</f>
        <v/>
      </c>
      <c r="AI127" s="93">
        <f>IF($A127="","",IFERROR($AF127*$AG127*$AH127,""))</f>
        <v/>
      </c>
      <c r="AJ127" s="93">
        <f>IF($A127="","",IFERROR($AE127/$F127,""))</f>
        <v/>
      </c>
      <c r="AK127" s="92">
        <f>IF($A127="","",IFERROR($AD127/$N127,""))</f>
        <v/>
      </c>
      <c r="AL127" s="92">
        <f>IF($A127="","",IFERROR($H127/$N127,""))</f>
        <v/>
      </c>
      <c r="AM127" s="92">
        <f>IF($A127="","",IFERROR(($P127-$Q127)/$P127*1000000,""))</f>
        <v/>
      </c>
      <c r="AN127" s="93">
        <f>IF($A127="","",IFERROR(($Q127+$R127)/$T127,""))</f>
        <v/>
      </c>
      <c r="AO127" s="93">
        <f>IF($A127="","",IFERROR($V127/$U127,""))</f>
        <v/>
      </c>
      <c r="AP127" s="92">
        <f>IF($A127="","",IFERROR(MAX(0,$AD127-$P127/$O127),""))</f>
        <v/>
      </c>
      <c r="AQ127" s="92">
        <f>IF($A127="","",IFERROR(($P127-$Q127)/$O127,""))</f>
        <v/>
      </c>
      <c r="AR127" s="94">
        <f>IF($A127="","",IF($F127="","Temps d'ouverture manquant",IF($O127="","Cadence produit inconnue",IF($G127&gt;$F127,"Arrêts planifiés &gt; temps d'ouverture",IF($AC127&gt;$AB127,"Arrêts subis &gt; temps requis",IF($P127&lt;&gt;$Q127+$R127+$S127,"Produite ≠ conforme + retouchée + rebutée",IF($Q127&gt;$P127,"Conforme &gt; produite",IF($V127&gt;$U127,"Présents &gt; prévus","OK"))))))))</f>
        <v/>
      </c>
      <c r="AS127" s="95">
        <f>IF($A127="",0,IF(AND(OR(COCKPIT!$H$4="Toutes",$C127=COCKPIT!$H$4),OR(COCKPIT!$K$4="Toutes",$B127=COCKPIT!$K$4)),1,0))</f>
        <v/>
      </c>
    </row>
    <row r="128" ht="15" customHeight="1">
      <c r="A128" s="87" t="n"/>
      <c r="B128" s="88" t="n"/>
      <c r="C128" s="88" t="n"/>
      <c r="D128" s="88" t="n"/>
      <c r="E128" s="88" t="n"/>
      <c r="F128" s="89" t="n"/>
      <c r="G128" s="89" t="n"/>
      <c r="H128" s="89" t="n"/>
      <c r="I128" s="89" t="n"/>
      <c r="J128" s="89" t="n"/>
      <c r="K128" s="89" t="n"/>
      <c r="L128" s="89" t="n"/>
      <c r="M128" s="89" t="n"/>
      <c r="N128" s="89" t="n"/>
      <c r="O128" s="90">
        <f>IF($E128="","",IFERROR(INDEX(PARAMETRES!$O$7:$O$36,MATCH($E128,PARAMETRES!$M$7:$M$36,0)),""))</f>
        <v/>
      </c>
      <c r="P128" s="89" t="n"/>
      <c r="Q128" s="89" t="n"/>
      <c r="R128" s="89" t="n"/>
      <c r="S128" s="89" t="n"/>
      <c r="T128" s="89" t="n"/>
      <c r="U128" s="91" t="n"/>
      <c r="V128" s="91" t="n"/>
      <c r="W128" s="91" t="n"/>
      <c r="X128" s="89" t="n"/>
      <c r="Y128" s="89" t="n"/>
      <c r="Z128" s="88" t="n"/>
      <c r="AA128" s="88" t="n"/>
      <c r="AB128" s="92">
        <f>IF($A128="","",MAX(0,$F128-$G128))</f>
        <v/>
      </c>
      <c r="AC128" s="92">
        <f>IF($A128="","",SUM($H128:$M128))</f>
        <v/>
      </c>
      <c r="AD128" s="92">
        <f>IF($A128="","",MAX(0,$AB128-$AC128))</f>
        <v/>
      </c>
      <c r="AE128" s="92">
        <f>IF($A128="","",IFERROR($Q128/$O128,""))</f>
        <v/>
      </c>
      <c r="AF128" s="93">
        <f>IF($A128="","",IFERROR($AD128/$AB128,""))</f>
        <v/>
      </c>
      <c r="AG128" s="93">
        <f>IF($A128="","",IFERROR(($P128/$O128)/$AD128,""))</f>
        <v/>
      </c>
      <c r="AH128" s="93">
        <f>IF($A128="","",IFERROR($Q128/$P128,""))</f>
        <v/>
      </c>
      <c r="AI128" s="93">
        <f>IF($A128="","",IFERROR($AF128*$AG128*$AH128,""))</f>
        <v/>
      </c>
      <c r="AJ128" s="93">
        <f>IF($A128="","",IFERROR($AE128/$F128,""))</f>
        <v/>
      </c>
      <c r="AK128" s="92">
        <f>IF($A128="","",IFERROR($AD128/$N128,""))</f>
        <v/>
      </c>
      <c r="AL128" s="92">
        <f>IF($A128="","",IFERROR($H128/$N128,""))</f>
        <v/>
      </c>
      <c r="AM128" s="92">
        <f>IF($A128="","",IFERROR(($P128-$Q128)/$P128*1000000,""))</f>
        <v/>
      </c>
      <c r="AN128" s="93">
        <f>IF($A128="","",IFERROR(($Q128+$R128)/$T128,""))</f>
        <v/>
      </c>
      <c r="AO128" s="93">
        <f>IF($A128="","",IFERROR($V128/$U128,""))</f>
        <v/>
      </c>
      <c r="AP128" s="92">
        <f>IF($A128="","",IFERROR(MAX(0,$AD128-$P128/$O128),""))</f>
        <v/>
      </c>
      <c r="AQ128" s="92">
        <f>IF($A128="","",IFERROR(($P128-$Q128)/$O128,""))</f>
        <v/>
      </c>
      <c r="AR128" s="94">
        <f>IF($A128="","",IF($F128="","Temps d'ouverture manquant",IF($O128="","Cadence produit inconnue",IF($G128&gt;$F128,"Arrêts planifiés &gt; temps d'ouverture",IF($AC128&gt;$AB128,"Arrêts subis &gt; temps requis",IF($P128&lt;&gt;$Q128+$R128+$S128,"Produite ≠ conforme + retouchée + rebutée",IF($Q128&gt;$P128,"Conforme &gt; produite",IF($V128&gt;$U128,"Présents &gt; prévus","OK"))))))))</f>
        <v/>
      </c>
      <c r="AS128" s="95">
        <f>IF($A128="",0,IF(AND(OR(COCKPIT!$H$4="Toutes",$C128=COCKPIT!$H$4),OR(COCKPIT!$K$4="Toutes",$B128=COCKPIT!$K$4)),1,0))</f>
        <v/>
      </c>
    </row>
    <row r="129" ht="15" customHeight="1">
      <c r="A129" s="87" t="n"/>
      <c r="B129" s="88" t="n"/>
      <c r="C129" s="88" t="n"/>
      <c r="D129" s="88" t="n"/>
      <c r="E129" s="88" t="n"/>
      <c r="F129" s="89" t="n"/>
      <c r="G129" s="89" t="n"/>
      <c r="H129" s="89" t="n"/>
      <c r="I129" s="89" t="n"/>
      <c r="J129" s="89" t="n"/>
      <c r="K129" s="89" t="n"/>
      <c r="L129" s="89" t="n"/>
      <c r="M129" s="89" t="n"/>
      <c r="N129" s="89" t="n"/>
      <c r="O129" s="90">
        <f>IF($E129="","",IFERROR(INDEX(PARAMETRES!$O$7:$O$36,MATCH($E129,PARAMETRES!$M$7:$M$36,0)),""))</f>
        <v/>
      </c>
      <c r="P129" s="89" t="n"/>
      <c r="Q129" s="89" t="n"/>
      <c r="R129" s="89" t="n"/>
      <c r="S129" s="89" t="n"/>
      <c r="T129" s="89" t="n"/>
      <c r="U129" s="91" t="n"/>
      <c r="V129" s="91" t="n"/>
      <c r="W129" s="91" t="n"/>
      <c r="X129" s="89" t="n"/>
      <c r="Y129" s="89" t="n"/>
      <c r="Z129" s="88" t="n"/>
      <c r="AA129" s="88" t="n"/>
      <c r="AB129" s="92">
        <f>IF($A129="","",MAX(0,$F129-$G129))</f>
        <v/>
      </c>
      <c r="AC129" s="92">
        <f>IF($A129="","",SUM($H129:$M129))</f>
        <v/>
      </c>
      <c r="AD129" s="92">
        <f>IF($A129="","",MAX(0,$AB129-$AC129))</f>
        <v/>
      </c>
      <c r="AE129" s="92">
        <f>IF($A129="","",IFERROR($Q129/$O129,""))</f>
        <v/>
      </c>
      <c r="AF129" s="93">
        <f>IF($A129="","",IFERROR($AD129/$AB129,""))</f>
        <v/>
      </c>
      <c r="AG129" s="93">
        <f>IF($A129="","",IFERROR(($P129/$O129)/$AD129,""))</f>
        <v/>
      </c>
      <c r="AH129" s="93">
        <f>IF($A129="","",IFERROR($Q129/$P129,""))</f>
        <v/>
      </c>
      <c r="AI129" s="93">
        <f>IF($A129="","",IFERROR($AF129*$AG129*$AH129,""))</f>
        <v/>
      </c>
      <c r="AJ129" s="93">
        <f>IF($A129="","",IFERROR($AE129/$F129,""))</f>
        <v/>
      </c>
      <c r="AK129" s="92">
        <f>IF($A129="","",IFERROR($AD129/$N129,""))</f>
        <v/>
      </c>
      <c r="AL129" s="92">
        <f>IF($A129="","",IFERROR($H129/$N129,""))</f>
        <v/>
      </c>
      <c r="AM129" s="92">
        <f>IF($A129="","",IFERROR(($P129-$Q129)/$P129*1000000,""))</f>
        <v/>
      </c>
      <c r="AN129" s="93">
        <f>IF($A129="","",IFERROR(($Q129+$R129)/$T129,""))</f>
        <v/>
      </c>
      <c r="AO129" s="93">
        <f>IF($A129="","",IFERROR($V129/$U129,""))</f>
        <v/>
      </c>
      <c r="AP129" s="92">
        <f>IF($A129="","",IFERROR(MAX(0,$AD129-$P129/$O129),""))</f>
        <v/>
      </c>
      <c r="AQ129" s="92">
        <f>IF($A129="","",IFERROR(($P129-$Q129)/$O129,""))</f>
        <v/>
      </c>
      <c r="AR129" s="94">
        <f>IF($A129="","",IF($F129="","Temps d'ouverture manquant",IF($O129="","Cadence produit inconnue",IF($G129&gt;$F129,"Arrêts planifiés &gt; temps d'ouverture",IF($AC129&gt;$AB129,"Arrêts subis &gt; temps requis",IF($P129&lt;&gt;$Q129+$R129+$S129,"Produite ≠ conforme + retouchée + rebutée",IF($Q129&gt;$P129,"Conforme &gt; produite",IF($V129&gt;$U129,"Présents &gt; prévus","OK"))))))))</f>
        <v/>
      </c>
      <c r="AS129" s="95">
        <f>IF($A129="",0,IF(AND(OR(COCKPIT!$H$4="Toutes",$C129=COCKPIT!$H$4),OR(COCKPIT!$K$4="Toutes",$B129=COCKPIT!$K$4)),1,0))</f>
        <v/>
      </c>
    </row>
    <row r="130" ht="15" customHeight="1">
      <c r="A130" s="87" t="n"/>
      <c r="B130" s="88" t="n"/>
      <c r="C130" s="88" t="n"/>
      <c r="D130" s="88" t="n"/>
      <c r="E130" s="88" t="n"/>
      <c r="F130" s="89" t="n"/>
      <c r="G130" s="89" t="n"/>
      <c r="H130" s="89" t="n"/>
      <c r="I130" s="89" t="n"/>
      <c r="J130" s="89" t="n"/>
      <c r="K130" s="89" t="n"/>
      <c r="L130" s="89" t="n"/>
      <c r="M130" s="89" t="n"/>
      <c r="N130" s="89" t="n"/>
      <c r="O130" s="90">
        <f>IF($E130="","",IFERROR(INDEX(PARAMETRES!$O$7:$O$36,MATCH($E130,PARAMETRES!$M$7:$M$36,0)),""))</f>
        <v/>
      </c>
      <c r="P130" s="89" t="n"/>
      <c r="Q130" s="89" t="n"/>
      <c r="R130" s="89" t="n"/>
      <c r="S130" s="89" t="n"/>
      <c r="T130" s="89" t="n"/>
      <c r="U130" s="91" t="n"/>
      <c r="V130" s="91" t="n"/>
      <c r="W130" s="91" t="n"/>
      <c r="X130" s="89" t="n"/>
      <c r="Y130" s="89" t="n"/>
      <c r="Z130" s="88" t="n"/>
      <c r="AA130" s="88" t="n"/>
      <c r="AB130" s="92">
        <f>IF($A130="","",MAX(0,$F130-$G130))</f>
        <v/>
      </c>
      <c r="AC130" s="92">
        <f>IF($A130="","",SUM($H130:$M130))</f>
        <v/>
      </c>
      <c r="AD130" s="92">
        <f>IF($A130="","",MAX(0,$AB130-$AC130))</f>
        <v/>
      </c>
      <c r="AE130" s="92">
        <f>IF($A130="","",IFERROR($Q130/$O130,""))</f>
        <v/>
      </c>
      <c r="AF130" s="93">
        <f>IF($A130="","",IFERROR($AD130/$AB130,""))</f>
        <v/>
      </c>
      <c r="AG130" s="93">
        <f>IF($A130="","",IFERROR(($P130/$O130)/$AD130,""))</f>
        <v/>
      </c>
      <c r="AH130" s="93">
        <f>IF($A130="","",IFERROR($Q130/$P130,""))</f>
        <v/>
      </c>
      <c r="AI130" s="93">
        <f>IF($A130="","",IFERROR($AF130*$AG130*$AH130,""))</f>
        <v/>
      </c>
      <c r="AJ130" s="93">
        <f>IF($A130="","",IFERROR($AE130/$F130,""))</f>
        <v/>
      </c>
      <c r="AK130" s="92">
        <f>IF($A130="","",IFERROR($AD130/$N130,""))</f>
        <v/>
      </c>
      <c r="AL130" s="92">
        <f>IF($A130="","",IFERROR($H130/$N130,""))</f>
        <v/>
      </c>
      <c r="AM130" s="92">
        <f>IF($A130="","",IFERROR(($P130-$Q130)/$P130*1000000,""))</f>
        <v/>
      </c>
      <c r="AN130" s="93">
        <f>IF($A130="","",IFERROR(($Q130+$R130)/$T130,""))</f>
        <v/>
      </c>
      <c r="AO130" s="93">
        <f>IF($A130="","",IFERROR($V130/$U130,""))</f>
        <v/>
      </c>
      <c r="AP130" s="92">
        <f>IF($A130="","",IFERROR(MAX(0,$AD130-$P130/$O130),""))</f>
        <v/>
      </c>
      <c r="AQ130" s="92">
        <f>IF($A130="","",IFERROR(($P130-$Q130)/$O130,""))</f>
        <v/>
      </c>
      <c r="AR130" s="94">
        <f>IF($A130="","",IF($F130="","Temps d'ouverture manquant",IF($O130="","Cadence produit inconnue",IF($G130&gt;$F130,"Arrêts planifiés &gt; temps d'ouverture",IF($AC130&gt;$AB130,"Arrêts subis &gt; temps requis",IF($P130&lt;&gt;$Q130+$R130+$S130,"Produite ≠ conforme + retouchée + rebutée",IF($Q130&gt;$P130,"Conforme &gt; produite",IF($V130&gt;$U130,"Présents &gt; prévus","OK"))))))))</f>
        <v/>
      </c>
      <c r="AS130" s="95">
        <f>IF($A130="",0,IF(AND(OR(COCKPIT!$H$4="Toutes",$C130=COCKPIT!$H$4),OR(COCKPIT!$K$4="Toutes",$B130=COCKPIT!$K$4)),1,0))</f>
        <v/>
      </c>
    </row>
    <row r="131" ht="15" customHeight="1">
      <c r="A131" s="87" t="n"/>
      <c r="B131" s="88" t="n"/>
      <c r="C131" s="88" t="n"/>
      <c r="D131" s="88" t="n"/>
      <c r="E131" s="88" t="n"/>
      <c r="F131" s="89" t="n"/>
      <c r="G131" s="89" t="n"/>
      <c r="H131" s="89" t="n"/>
      <c r="I131" s="89" t="n"/>
      <c r="J131" s="89" t="n"/>
      <c r="K131" s="89" t="n"/>
      <c r="L131" s="89" t="n"/>
      <c r="M131" s="89" t="n"/>
      <c r="N131" s="89" t="n"/>
      <c r="O131" s="90">
        <f>IF($E131="","",IFERROR(INDEX(PARAMETRES!$O$7:$O$36,MATCH($E131,PARAMETRES!$M$7:$M$36,0)),""))</f>
        <v/>
      </c>
      <c r="P131" s="89" t="n"/>
      <c r="Q131" s="89" t="n"/>
      <c r="R131" s="89" t="n"/>
      <c r="S131" s="89" t="n"/>
      <c r="T131" s="89" t="n"/>
      <c r="U131" s="91" t="n"/>
      <c r="V131" s="91" t="n"/>
      <c r="W131" s="91" t="n"/>
      <c r="X131" s="89" t="n"/>
      <c r="Y131" s="89" t="n"/>
      <c r="Z131" s="88" t="n"/>
      <c r="AA131" s="88" t="n"/>
      <c r="AB131" s="92">
        <f>IF($A131="","",MAX(0,$F131-$G131))</f>
        <v/>
      </c>
      <c r="AC131" s="92">
        <f>IF($A131="","",SUM($H131:$M131))</f>
        <v/>
      </c>
      <c r="AD131" s="92">
        <f>IF($A131="","",MAX(0,$AB131-$AC131))</f>
        <v/>
      </c>
      <c r="AE131" s="92">
        <f>IF($A131="","",IFERROR($Q131/$O131,""))</f>
        <v/>
      </c>
      <c r="AF131" s="93">
        <f>IF($A131="","",IFERROR($AD131/$AB131,""))</f>
        <v/>
      </c>
      <c r="AG131" s="93">
        <f>IF($A131="","",IFERROR(($P131/$O131)/$AD131,""))</f>
        <v/>
      </c>
      <c r="AH131" s="93">
        <f>IF($A131="","",IFERROR($Q131/$P131,""))</f>
        <v/>
      </c>
      <c r="AI131" s="93">
        <f>IF($A131="","",IFERROR($AF131*$AG131*$AH131,""))</f>
        <v/>
      </c>
      <c r="AJ131" s="93">
        <f>IF($A131="","",IFERROR($AE131/$F131,""))</f>
        <v/>
      </c>
      <c r="AK131" s="92">
        <f>IF($A131="","",IFERROR($AD131/$N131,""))</f>
        <v/>
      </c>
      <c r="AL131" s="92">
        <f>IF($A131="","",IFERROR($H131/$N131,""))</f>
        <v/>
      </c>
      <c r="AM131" s="92">
        <f>IF($A131="","",IFERROR(($P131-$Q131)/$P131*1000000,""))</f>
        <v/>
      </c>
      <c r="AN131" s="93">
        <f>IF($A131="","",IFERROR(($Q131+$R131)/$T131,""))</f>
        <v/>
      </c>
      <c r="AO131" s="93">
        <f>IF($A131="","",IFERROR($V131/$U131,""))</f>
        <v/>
      </c>
      <c r="AP131" s="92">
        <f>IF($A131="","",IFERROR(MAX(0,$AD131-$P131/$O131),""))</f>
        <v/>
      </c>
      <c r="AQ131" s="92">
        <f>IF($A131="","",IFERROR(($P131-$Q131)/$O131,""))</f>
        <v/>
      </c>
      <c r="AR131" s="94">
        <f>IF($A131="","",IF($F131="","Temps d'ouverture manquant",IF($O131="","Cadence produit inconnue",IF($G131&gt;$F131,"Arrêts planifiés &gt; temps d'ouverture",IF($AC131&gt;$AB131,"Arrêts subis &gt; temps requis",IF($P131&lt;&gt;$Q131+$R131+$S131,"Produite ≠ conforme + retouchée + rebutée",IF($Q131&gt;$P131,"Conforme &gt; produite",IF($V131&gt;$U131,"Présents &gt; prévus","OK"))))))))</f>
        <v/>
      </c>
      <c r="AS131" s="95">
        <f>IF($A131="",0,IF(AND(OR(COCKPIT!$H$4="Toutes",$C131=COCKPIT!$H$4),OR(COCKPIT!$K$4="Toutes",$B131=COCKPIT!$K$4)),1,0))</f>
        <v/>
      </c>
    </row>
    <row r="132" ht="15" customHeight="1">
      <c r="A132" s="87" t="n"/>
      <c r="B132" s="88" t="n"/>
      <c r="C132" s="88" t="n"/>
      <c r="D132" s="88" t="n"/>
      <c r="E132" s="88" t="n"/>
      <c r="F132" s="89" t="n"/>
      <c r="G132" s="89" t="n"/>
      <c r="H132" s="89" t="n"/>
      <c r="I132" s="89" t="n"/>
      <c r="J132" s="89" t="n"/>
      <c r="K132" s="89" t="n"/>
      <c r="L132" s="89" t="n"/>
      <c r="M132" s="89" t="n"/>
      <c r="N132" s="89" t="n"/>
      <c r="O132" s="90">
        <f>IF($E132="","",IFERROR(INDEX(PARAMETRES!$O$7:$O$36,MATCH($E132,PARAMETRES!$M$7:$M$36,0)),""))</f>
        <v/>
      </c>
      <c r="P132" s="89" t="n"/>
      <c r="Q132" s="89" t="n"/>
      <c r="R132" s="89" t="n"/>
      <c r="S132" s="89" t="n"/>
      <c r="T132" s="89" t="n"/>
      <c r="U132" s="91" t="n"/>
      <c r="V132" s="91" t="n"/>
      <c r="W132" s="91" t="n"/>
      <c r="X132" s="89" t="n"/>
      <c r="Y132" s="89" t="n"/>
      <c r="Z132" s="88" t="n"/>
      <c r="AA132" s="88" t="n"/>
      <c r="AB132" s="92">
        <f>IF($A132="","",MAX(0,$F132-$G132))</f>
        <v/>
      </c>
      <c r="AC132" s="92">
        <f>IF($A132="","",SUM($H132:$M132))</f>
        <v/>
      </c>
      <c r="AD132" s="92">
        <f>IF($A132="","",MAX(0,$AB132-$AC132))</f>
        <v/>
      </c>
      <c r="AE132" s="92">
        <f>IF($A132="","",IFERROR($Q132/$O132,""))</f>
        <v/>
      </c>
      <c r="AF132" s="93">
        <f>IF($A132="","",IFERROR($AD132/$AB132,""))</f>
        <v/>
      </c>
      <c r="AG132" s="93">
        <f>IF($A132="","",IFERROR(($P132/$O132)/$AD132,""))</f>
        <v/>
      </c>
      <c r="AH132" s="93">
        <f>IF($A132="","",IFERROR($Q132/$P132,""))</f>
        <v/>
      </c>
      <c r="AI132" s="93">
        <f>IF($A132="","",IFERROR($AF132*$AG132*$AH132,""))</f>
        <v/>
      </c>
      <c r="AJ132" s="93">
        <f>IF($A132="","",IFERROR($AE132/$F132,""))</f>
        <v/>
      </c>
      <c r="AK132" s="92">
        <f>IF($A132="","",IFERROR($AD132/$N132,""))</f>
        <v/>
      </c>
      <c r="AL132" s="92">
        <f>IF($A132="","",IFERROR($H132/$N132,""))</f>
        <v/>
      </c>
      <c r="AM132" s="92">
        <f>IF($A132="","",IFERROR(($P132-$Q132)/$P132*1000000,""))</f>
        <v/>
      </c>
      <c r="AN132" s="93">
        <f>IF($A132="","",IFERROR(($Q132+$R132)/$T132,""))</f>
        <v/>
      </c>
      <c r="AO132" s="93">
        <f>IF($A132="","",IFERROR($V132/$U132,""))</f>
        <v/>
      </c>
      <c r="AP132" s="92">
        <f>IF($A132="","",IFERROR(MAX(0,$AD132-$P132/$O132),""))</f>
        <v/>
      </c>
      <c r="AQ132" s="92">
        <f>IF($A132="","",IFERROR(($P132-$Q132)/$O132,""))</f>
        <v/>
      </c>
      <c r="AR132" s="94">
        <f>IF($A132="","",IF($F132="","Temps d'ouverture manquant",IF($O132="","Cadence produit inconnue",IF($G132&gt;$F132,"Arrêts planifiés &gt; temps d'ouverture",IF($AC132&gt;$AB132,"Arrêts subis &gt; temps requis",IF($P132&lt;&gt;$Q132+$R132+$S132,"Produite ≠ conforme + retouchée + rebutée",IF($Q132&gt;$P132,"Conforme &gt; produite",IF($V132&gt;$U132,"Présents &gt; prévus","OK"))))))))</f>
        <v/>
      </c>
      <c r="AS132" s="95">
        <f>IF($A132="",0,IF(AND(OR(COCKPIT!$H$4="Toutes",$C132=COCKPIT!$H$4),OR(COCKPIT!$K$4="Toutes",$B132=COCKPIT!$K$4)),1,0))</f>
        <v/>
      </c>
    </row>
    <row r="133" ht="15" customHeight="1">
      <c r="A133" s="87" t="n"/>
      <c r="B133" s="88" t="n"/>
      <c r="C133" s="88" t="n"/>
      <c r="D133" s="88" t="n"/>
      <c r="E133" s="88" t="n"/>
      <c r="F133" s="89" t="n"/>
      <c r="G133" s="89" t="n"/>
      <c r="H133" s="89" t="n"/>
      <c r="I133" s="89" t="n"/>
      <c r="J133" s="89" t="n"/>
      <c r="K133" s="89" t="n"/>
      <c r="L133" s="89" t="n"/>
      <c r="M133" s="89" t="n"/>
      <c r="N133" s="89" t="n"/>
      <c r="O133" s="90">
        <f>IF($E133="","",IFERROR(INDEX(PARAMETRES!$O$7:$O$36,MATCH($E133,PARAMETRES!$M$7:$M$36,0)),""))</f>
        <v/>
      </c>
      <c r="P133" s="89" t="n"/>
      <c r="Q133" s="89" t="n"/>
      <c r="R133" s="89" t="n"/>
      <c r="S133" s="89" t="n"/>
      <c r="T133" s="89" t="n"/>
      <c r="U133" s="91" t="n"/>
      <c r="V133" s="91" t="n"/>
      <c r="W133" s="91" t="n"/>
      <c r="X133" s="89" t="n"/>
      <c r="Y133" s="89" t="n"/>
      <c r="Z133" s="88" t="n"/>
      <c r="AA133" s="88" t="n"/>
      <c r="AB133" s="92">
        <f>IF($A133="","",MAX(0,$F133-$G133))</f>
        <v/>
      </c>
      <c r="AC133" s="92">
        <f>IF($A133="","",SUM($H133:$M133))</f>
        <v/>
      </c>
      <c r="AD133" s="92">
        <f>IF($A133="","",MAX(0,$AB133-$AC133))</f>
        <v/>
      </c>
      <c r="AE133" s="92">
        <f>IF($A133="","",IFERROR($Q133/$O133,""))</f>
        <v/>
      </c>
      <c r="AF133" s="93">
        <f>IF($A133="","",IFERROR($AD133/$AB133,""))</f>
        <v/>
      </c>
      <c r="AG133" s="93">
        <f>IF($A133="","",IFERROR(($P133/$O133)/$AD133,""))</f>
        <v/>
      </c>
      <c r="AH133" s="93">
        <f>IF($A133="","",IFERROR($Q133/$P133,""))</f>
        <v/>
      </c>
      <c r="AI133" s="93">
        <f>IF($A133="","",IFERROR($AF133*$AG133*$AH133,""))</f>
        <v/>
      </c>
      <c r="AJ133" s="93">
        <f>IF($A133="","",IFERROR($AE133/$F133,""))</f>
        <v/>
      </c>
      <c r="AK133" s="92">
        <f>IF($A133="","",IFERROR($AD133/$N133,""))</f>
        <v/>
      </c>
      <c r="AL133" s="92">
        <f>IF($A133="","",IFERROR($H133/$N133,""))</f>
        <v/>
      </c>
      <c r="AM133" s="92">
        <f>IF($A133="","",IFERROR(($P133-$Q133)/$P133*1000000,""))</f>
        <v/>
      </c>
      <c r="AN133" s="93">
        <f>IF($A133="","",IFERROR(($Q133+$R133)/$T133,""))</f>
        <v/>
      </c>
      <c r="AO133" s="93">
        <f>IF($A133="","",IFERROR($V133/$U133,""))</f>
        <v/>
      </c>
      <c r="AP133" s="92">
        <f>IF($A133="","",IFERROR(MAX(0,$AD133-$P133/$O133),""))</f>
        <v/>
      </c>
      <c r="AQ133" s="92">
        <f>IF($A133="","",IFERROR(($P133-$Q133)/$O133,""))</f>
        <v/>
      </c>
      <c r="AR133" s="94">
        <f>IF($A133="","",IF($F133="","Temps d'ouverture manquant",IF($O133="","Cadence produit inconnue",IF($G133&gt;$F133,"Arrêts planifiés &gt; temps d'ouverture",IF($AC133&gt;$AB133,"Arrêts subis &gt; temps requis",IF($P133&lt;&gt;$Q133+$R133+$S133,"Produite ≠ conforme + retouchée + rebutée",IF($Q133&gt;$P133,"Conforme &gt; produite",IF($V133&gt;$U133,"Présents &gt; prévus","OK"))))))))</f>
        <v/>
      </c>
      <c r="AS133" s="95">
        <f>IF($A133="",0,IF(AND(OR(COCKPIT!$H$4="Toutes",$C133=COCKPIT!$H$4),OR(COCKPIT!$K$4="Toutes",$B133=COCKPIT!$K$4)),1,0))</f>
        <v/>
      </c>
    </row>
    <row r="134" ht="15" customHeight="1">
      <c r="A134" s="87" t="n"/>
      <c r="B134" s="88" t="n"/>
      <c r="C134" s="88" t="n"/>
      <c r="D134" s="88" t="n"/>
      <c r="E134" s="88" t="n"/>
      <c r="F134" s="89" t="n"/>
      <c r="G134" s="89" t="n"/>
      <c r="H134" s="89" t="n"/>
      <c r="I134" s="89" t="n"/>
      <c r="J134" s="89" t="n"/>
      <c r="K134" s="89" t="n"/>
      <c r="L134" s="89" t="n"/>
      <c r="M134" s="89" t="n"/>
      <c r="N134" s="89" t="n"/>
      <c r="O134" s="90">
        <f>IF($E134="","",IFERROR(INDEX(PARAMETRES!$O$7:$O$36,MATCH($E134,PARAMETRES!$M$7:$M$36,0)),""))</f>
        <v/>
      </c>
      <c r="P134" s="89" t="n"/>
      <c r="Q134" s="89" t="n"/>
      <c r="R134" s="89" t="n"/>
      <c r="S134" s="89" t="n"/>
      <c r="T134" s="89" t="n"/>
      <c r="U134" s="91" t="n"/>
      <c r="V134" s="91" t="n"/>
      <c r="W134" s="91" t="n"/>
      <c r="X134" s="89" t="n"/>
      <c r="Y134" s="89" t="n"/>
      <c r="Z134" s="88" t="n"/>
      <c r="AA134" s="88" t="n"/>
      <c r="AB134" s="92">
        <f>IF($A134="","",MAX(0,$F134-$G134))</f>
        <v/>
      </c>
      <c r="AC134" s="92">
        <f>IF($A134="","",SUM($H134:$M134))</f>
        <v/>
      </c>
      <c r="AD134" s="92">
        <f>IF($A134="","",MAX(0,$AB134-$AC134))</f>
        <v/>
      </c>
      <c r="AE134" s="92">
        <f>IF($A134="","",IFERROR($Q134/$O134,""))</f>
        <v/>
      </c>
      <c r="AF134" s="93">
        <f>IF($A134="","",IFERROR($AD134/$AB134,""))</f>
        <v/>
      </c>
      <c r="AG134" s="93">
        <f>IF($A134="","",IFERROR(($P134/$O134)/$AD134,""))</f>
        <v/>
      </c>
      <c r="AH134" s="93">
        <f>IF($A134="","",IFERROR($Q134/$P134,""))</f>
        <v/>
      </c>
      <c r="AI134" s="93">
        <f>IF($A134="","",IFERROR($AF134*$AG134*$AH134,""))</f>
        <v/>
      </c>
      <c r="AJ134" s="93">
        <f>IF($A134="","",IFERROR($AE134/$F134,""))</f>
        <v/>
      </c>
      <c r="AK134" s="92">
        <f>IF($A134="","",IFERROR($AD134/$N134,""))</f>
        <v/>
      </c>
      <c r="AL134" s="92">
        <f>IF($A134="","",IFERROR($H134/$N134,""))</f>
        <v/>
      </c>
      <c r="AM134" s="92">
        <f>IF($A134="","",IFERROR(($P134-$Q134)/$P134*1000000,""))</f>
        <v/>
      </c>
      <c r="AN134" s="93">
        <f>IF($A134="","",IFERROR(($Q134+$R134)/$T134,""))</f>
        <v/>
      </c>
      <c r="AO134" s="93">
        <f>IF($A134="","",IFERROR($V134/$U134,""))</f>
        <v/>
      </c>
      <c r="AP134" s="92">
        <f>IF($A134="","",IFERROR(MAX(0,$AD134-$P134/$O134),""))</f>
        <v/>
      </c>
      <c r="AQ134" s="92">
        <f>IF($A134="","",IFERROR(($P134-$Q134)/$O134,""))</f>
        <v/>
      </c>
      <c r="AR134" s="94">
        <f>IF($A134="","",IF($F134="","Temps d'ouverture manquant",IF($O134="","Cadence produit inconnue",IF($G134&gt;$F134,"Arrêts planifiés &gt; temps d'ouverture",IF($AC134&gt;$AB134,"Arrêts subis &gt; temps requis",IF($P134&lt;&gt;$Q134+$R134+$S134,"Produite ≠ conforme + retouchée + rebutée",IF($Q134&gt;$P134,"Conforme &gt; produite",IF($V134&gt;$U134,"Présents &gt; prévus","OK"))))))))</f>
        <v/>
      </c>
      <c r="AS134" s="95">
        <f>IF($A134="",0,IF(AND(OR(COCKPIT!$H$4="Toutes",$C134=COCKPIT!$H$4),OR(COCKPIT!$K$4="Toutes",$B134=COCKPIT!$K$4)),1,0))</f>
        <v/>
      </c>
    </row>
    <row r="135" ht="15" customHeight="1">
      <c r="A135" s="87" t="n"/>
      <c r="B135" s="88" t="n"/>
      <c r="C135" s="88" t="n"/>
      <c r="D135" s="88" t="n"/>
      <c r="E135" s="88" t="n"/>
      <c r="F135" s="89" t="n"/>
      <c r="G135" s="89" t="n"/>
      <c r="H135" s="89" t="n"/>
      <c r="I135" s="89" t="n"/>
      <c r="J135" s="89" t="n"/>
      <c r="K135" s="89" t="n"/>
      <c r="L135" s="89" t="n"/>
      <c r="M135" s="89" t="n"/>
      <c r="N135" s="89" t="n"/>
      <c r="O135" s="90">
        <f>IF($E135="","",IFERROR(INDEX(PARAMETRES!$O$7:$O$36,MATCH($E135,PARAMETRES!$M$7:$M$36,0)),""))</f>
        <v/>
      </c>
      <c r="P135" s="89" t="n"/>
      <c r="Q135" s="89" t="n"/>
      <c r="R135" s="89" t="n"/>
      <c r="S135" s="89" t="n"/>
      <c r="T135" s="89" t="n"/>
      <c r="U135" s="91" t="n"/>
      <c r="V135" s="91" t="n"/>
      <c r="W135" s="91" t="n"/>
      <c r="X135" s="89" t="n"/>
      <c r="Y135" s="89" t="n"/>
      <c r="Z135" s="88" t="n"/>
      <c r="AA135" s="88" t="n"/>
      <c r="AB135" s="92">
        <f>IF($A135="","",MAX(0,$F135-$G135))</f>
        <v/>
      </c>
      <c r="AC135" s="92">
        <f>IF($A135="","",SUM($H135:$M135))</f>
        <v/>
      </c>
      <c r="AD135" s="92">
        <f>IF($A135="","",MAX(0,$AB135-$AC135))</f>
        <v/>
      </c>
      <c r="AE135" s="92">
        <f>IF($A135="","",IFERROR($Q135/$O135,""))</f>
        <v/>
      </c>
      <c r="AF135" s="93">
        <f>IF($A135="","",IFERROR($AD135/$AB135,""))</f>
        <v/>
      </c>
      <c r="AG135" s="93">
        <f>IF($A135="","",IFERROR(($P135/$O135)/$AD135,""))</f>
        <v/>
      </c>
      <c r="AH135" s="93">
        <f>IF($A135="","",IFERROR($Q135/$P135,""))</f>
        <v/>
      </c>
      <c r="AI135" s="93">
        <f>IF($A135="","",IFERROR($AF135*$AG135*$AH135,""))</f>
        <v/>
      </c>
      <c r="AJ135" s="93">
        <f>IF($A135="","",IFERROR($AE135/$F135,""))</f>
        <v/>
      </c>
      <c r="AK135" s="92">
        <f>IF($A135="","",IFERROR($AD135/$N135,""))</f>
        <v/>
      </c>
      <c r="AL135" s="92">
        <f>IF($A135="","",IFERROR($H135/$N135,""))</f>
        <v/>
      </c>
      <c r="AM135" s="92">
        <f>IF($A135="","",IFERROR(($P135-$Q135)/$P135*1000000,""))</f>
        <v/>
      </c>
      <c r="AN135" s="93">
        <f>IF($A135="","",IFERROR(($Q135+$R135)/$T135,""))</f>
        <v/>
      </c>
      <c r="AO135" s="93">
        <f>IF($A135="","",IFERROR($V135/$U135,""))</f>
        <v/>
      </c>
      <c r="AP135" s="92">
        <f>IF($A135="","",IFERROR(MAX(0,$AD135-$P135/$O135),""))</f>
        <v/>
      </c>
      <c r="AQ135" s="92">
        <f>IF($A135="","",IFERROR(($P135-$Q135)/$O135,""))</f>
        <v/>
      </c>
      <c r="AR135" s="94">
        <f>IF($A135="","",IF($F135="","Temps d'ouverture manquant",IF($O135="","Cadence produit inconnue",IF($G135&gt;$F135,"Arrêts planifiés &gt; temps d'ouverture",IF($AC135&gt;$AB135,"Arrêts subis &gt; temps requis",IF($P135&lt;&gt;$Q135+$R135+$S135,"Produite ≠ conforme + retouchée + rebutée",IF($Q135&gt;$P135,"Conforme &gt; produite",IF($V135&gt;$U135,"Présents &gt; prévus","OK"))))))))</f>
        <v/>
      </c>
      <c r="AS135" s="95">
        <f>IF($A135="",0,IF(AND(OR(COCKPIT!$H$4="Toutes",$C135=COCKPIT!$H$4),OR(COCKPIT!$K$4="Toutes",$B135=COCKPIT!$K$4)),1,0))</f>
        <v/>
      </c>
    </row>
    <row r="136" ht="15" customHeight="1">
      <c r="A136" s="87" t="n"/>
      <c r="B136" s="88" t="n"/>
      <c r="C136" s="88" t="n"/>
      <c r="D136" s="88" t="n"/>
      <c r="E136" s="88" t="n"/>
      <c r="F136" s="89" t="n"/>
      <c r="G136" s="89" t="n"/>
      <c r="H136" s="89" t="n"/>
      <c r="I136" s="89" t="n"/>
      <c r="J136" s="89" t="n"/>
      <c r="K136" s="89" t="n"/>
      <c r="L136" s="89" t="n"/>
      <c r="M136" s="89" t="n"/>
      <c r="N136" s="89" t="n"/>
      <c r="O136" s="90">
        <f>IF($E136="","",IFERROR(INDEX(PARAMETRES!$O$7:$O$36,MATCH($E136,PARAMETRES!$M$7:$M$36,0)),""))</f>
        <v/>
      </c>
      <c r="P136" s="89" t="n"/>
      <c r="Q136" s="89" t="n"/>
      <c r="R136" s="89" t="n"/>
      <c r="S136" s="89" t="n"/>
      <c r="T136" s="89" t="n"/>
      <c r="U136" s="91" t="n"/>
      <c r="V136" s="91" t="n"/>
      <c r="W136" s="91" t="n"/>
      <c r="X136" s="89" t="n"/>
      <c r="Y136" s="89" t="n"/>
      <c r="Z136" s="88" t="n"/>
      <c r="AA136" s="88" t="n"/>
      <c r="AB136" s="92">
        <f>IF($A136="","",MAX(0,$F136-$G136))</f>
        <v/>
      </c>
      <c r="AC136" s="92">
        <f>IF($A136="","",SUM($H136:$M136))</f>
        <v/>
      </c>
      <c r="AD136" s="92">
        <f>IF($A136="","",MAX(0,$AB136-$AC136))</f>
        <v/>
      </c>
      <c r="AE136" s="92">
        <f>IF($A136="","",IFERROR($Q136/$O136,""))</f>
        <v/>
      </c>
      <c r="AF136" s="93">
        <f>IF($A136="","",IFERROR($AD136/$AB136,""))</f>
        <v/>
      </c>
      <c r="AG136" s="93">
        <f>IF($A136="","",IFERROR(($P136/$O136)/$AD136,""))</f>
        <v/>
      </c>
      <c r="AH136" s="93">
        <f>IF($A136="","",IFERROR($Q136/$P136,""))</f>
        <v/>
      </c>
      <c r="AI136" s="93">
        <f>IF($A136="","",IFERROR($AF136*$AG136*$AH136,""))</f>
        <v/>
      </c>
      <c r="AJ136" s="93">
        <f>IF($A136="","",IFERROR($AE136/$F136,""))</f>
        <v/>
      </c>
      <c r="AK136" s="92">
        <f>IF($A136="","",IFERROR($AD136/$N136,""))</f>
        <v/>
      </c>
      <c r="AL136" s="92">
        <f>IF($A136="","",IFERROR($H136/$N136,""))</f>
        <v/>
      </c>
      <c r="AM136" s="92">
        <f>IF($A136="","",IFERROR(($P136-$Q136)/$P136*1000000,""))</f>
        <v/>
      </c>
      <c r="AN136" s="93">
        <f>IF($A136="","",IFERROR(($Q136+$R136)/$T136,""))</f>
        <v/>
      </c>
      <c r="AO136" s="93">
        <f>IF($A136="","",IFERROR($V136/$U136,""))</f>
        <v/>
      </c>
      <c r="AP136" s="92">
        <f>IF($A136="","",IFERROR(MAX(0,$AD136-$P136/$O136),""))</f>
        <v/>
      </c>
      <c r="AQ136" s="92">
        <f>IF($A136="","",IFERROR(($P136-$Q136)/$O136,""))</f>
        <v/>
      </c>
      <c r="AR136" s="94">
        <f>IF($A136="","",IF($F136="","Temps d'ouverture manquant",IF($O136="","Cadence produit inconnue",IF($G136&gt;$F136,"Arrêts planifiés &gt; temps d'ouverture",IF($AC136&gt;$AB136,"Arrêts subis &gt; temps requis",IF($P136&lt;&gt;$Q136+$R136+$S136,"Produite ≠ conforme + retouchée + rebutée",IF($Q136&gt;$P136,"Conforme &gt; produite",IF($V136&gt;$U136,"Présents &gt; prévus","OK"))))))))</f>
        <v/>
      </c>
      <c r="AS136" s="95">
        <f>IF($A136="",0,IF(AND(OR(COCKPIT!$H$4="Toutes",$C136=COCKPIT!$H$4),OR(COCKPIT!$K$4="Toutes",$B136=COCKPIT!$K$4)),1,0))</f>
        <v/>
      </c>
    </row>
    <row r="137" ht="15" customHeight="1">
      <c r="A137" s="87" t="n"/>
      <c r="B137" s="88" t="n"/>
      <c r="C137" s="88" t="n"/>
      <c r="D137" s="88" t="n"/>
      <c r="E137" s="88" t="n"/>
      <c r="F137" s="89" t="n"/>
      <c r="G137" s="89" t="n"/>
      <c r="H137" s="89" t="n"/>
      <c r="I137" s="89" t="n"/>
      <c r="J137" s="89" t="n"/>
      <c r="K137" s="89" t="n"/>
      <c r="L137" s="89" t="n"/>
      <c r="M137" s="89" t="n"/>
      <c r="N137" s="89" t="n"/>
      <c r="O137" s="90">
        <f>IF($E137="","",IFERROR(INDEX(PARAMETRES!$O$7:$O$36,MATCH($E137,PARAMETRES!$M$7:$M$36,0)),""))</f>
        <v/>
      </c>
      <c r="P137" s="89" t="n"/>
      <c r="Q137" s="89" t="n"/>
      <c r="R137" s="89" t="n"/>
      <c r="S137" s="89" t="n"/>
      <c r="T137" s="89" t="n"/>
      <c r="U137" s="91" t="n"/>
      <c r="V137" s="91" t="n"/>
      <c r="W137" s="91" t="n"/>
      <c r="X137" s="89" t="n"/>
      <c r="Y137" s="89" t="n"/>
      <c r="Z137" s="88" t="n"/>
      <c r="AA137" s="88" t="n"/>
      <c r="AB137" s="92">
        <f>IF($A137="","",MAX(0,$F137-$G137))</f>
        <v/>
      </c>
      <c r="AC137" s="92">
        <f>IF($A137="","",SUM($H137:$M137))</f>
        <v/>
      </c>
      <c r="AD137" s="92">
        <f>IF($A137="","",MAX(0,$AB137-$AC137))</f>
        <v/>
      </c>
      <c r="AE137" s="92">
        <f>IF($A137="","",IFERROR($Q137/$O137,""))</f>
        <v/>
      </c>
      <c r="AF137" s="93">
        <f>IF($A137="","",IFERROR($AD137/$AB137,""))</f>
        <v/>
      </c>
      <c r="AG137" s="93">
        <f>IF($A137="","",IFERROR(($P137/$O137)/$AD137,""))</f>
        <v/>
      </c>
      <c r="AH137" s="93">
        <f>IF($A137="","",IFERROR($Q137/$P137,""))</f>
        <v/>
      </c>
      <c r="AI137" s="93">
        <f>IF($A137="","",IFERROR($AF137*$AG137*$AH137,""))</f>
        <v/>
      </c>
      <c r="AJ137" s="93">
        <f>IF($A137="","",IFERROR($AE137/$F137,""))</f>
        <v/>
      </c>
      <c r="AK137" s="92">
        <f>IF($A137="","",IFERROR($AD137/$N137,""))</f>
        <v/>
      </c>
      <c r="AL137" s="92">
        <f>IF($A137="","",IFERROR($H137/$N137,""))</f>
        <v/>
      </c>
      <c r="AM137" s="92">
        <f>IF($A137="","",IFERROR(($P137-$Q137)/$P137*1000000,""))</f>
        <v/>
      </c>
      <c r="AN137" s="93">
        <f>IF($A137="","",IFERROR(($Q137+$R137)/$T137,""))</f>
        <v/>
      </c>
      <c r="AO137" s="93">
        <f>IF($A137="","",IFERROR($V137/$U137,""))</f>
        <v/>
      </c>
      <c r="AP137" s="92">
        <f>IF($A137="","",IFERROR(MAX(0,$AD137-$P137/$O137),""))</f>
        <v/>
      </c>
      <c r="AQ137" s="92">
        <f>IF($A137="","",IFERROR(($P137-$Q137)/$O137,""))</f>
        <v/>
      </c>
      <c r="AR137" s="94">
        <f>IF($A137="","",IF($F137="","Temps d'ouverture manquant",IF($O137="","Cadence produit inconnue",IF($G137&gt;$F137,"Arrêts planifiés &gt; temps d'ouverture",IF($AC137&gt;$AB137,"Arrêts subis &gt; temps requis",IF($P137&lt;&gt;$Q137+$R137+$S137,"Produite ≠ conforme + retouchée + rebutée",IF($Q137&gt;$P137,"Conforme &gt; produite",IF($V137&gt;$U137,"Présents &gt; prévus","OK"))))))))</f>
        <v/>
      </c>
      <c r="AS137" s="95">
        <f>IF($A137="",0,IF(AND(OR(COCKPIT!$H$4="Toutes",$C137=COCKPIT!$H$4),OR(COCKPIT!$K$4="Toutes",$B137=COCKPIT!$K$4)),1,0))</f>
        <v/>
      </c>
    </row>
    <row r="138" ht="15" customHeight="1">
      <c r="A138" s="87" t="n"/>
      <c r="B138" s="88" t="n"/>
      <c r="C138" s="88" t="n"/>
      <c r="D138" s="88" t="n"/>
      <c r="E138" s="88" t="n"/>
      <c r="F138" s="89" t="n"/>
      <c r="G138" s="89" t="n"/>
      <c r="H138" s="89" t="n"/>
      <c r="I138" s="89" t="n"/>
      <c r="J138" s="89" t="n"/>
      <c r="K138" s="89" t="n"/>
      <c r="L138" s="89" t="n"/>
      <c r="M138" s="89" t="n"/>
      <c r="N138" s="89" t="n"/>
      <c r="O138" s="90">
        <f>IF($E138="","",IFERROR(INDEX(PARAMETRES!$O$7:$O$36,MATCH($E138,PARAMETRES!$M$7:$M$36,0)),""))</f>
        <v/>
      </c>
      <c r="P138" s="89" t="n"/>
      <c r="Q138" s="89" t="n"/>
      <c r="R138" s="89" t="n"/>
      <c r="S138" s="89" t="n"/>
      <c r="T138" s="89" t="n"/>
      <c r="U138" s="91" t="n"/>
      <c r="V138" s="91" t="n"/>
      <c r="W138" s="91" t="n"/>
      <c r="X138" s="89" t="n"/>
      <c r="Y138" s="89" t="n"/>
      <c r="Z138" s="88" t="n"/>
      <c r="AA138" s="88" t="n"/>
      <c r="AB138" s="92">
        <f>IF($A138="","",MAX(0,$F138-$G138))</f>
        <v/>
      </c>
      <c r="AC138" s="92">
        <f>IF($A138="","",SUM($H138:$M138))</f>
        <v/>
      </c>
      <c r="AD138" s="92">
        <f>IF($A138="","",MAX(0,$AB138-$AC138))</f>
        <v/>
      </c>
      <c r="AE138" s="92">
        <f>IF($A138="","",IFERROR($Q138/$O138,""))</f>
        <v/>
      </c>
      <c r="AF138" s="93">
        <f>IF($A138="","",IFERROR($AD138/$AB138,""))</f>
        <v/>
      </c>
      <c r="AG138" s="93">
        <f>IF($A138="","",IFERROR(($P138/$O138)/$AD138,""))</f>
        <v/>
      </c>
      <c r="AH138" s="93">
        <f>IF($A138="","",IFERROR($Q138/$P138,""))</f>
        <v/>
      </c>
      <c r="AI138" s="93">
        <f>IF($A138="","",IFERROR($AF138*$AG138*$AH138,""))</f>
        <v/>
      </c>
      <c r="AJ138" s="93">
        <f>IF($A138="","",IFERROR($AE138/$F138,""))</f>
        <v/>
      </c>
      <c r="AK138" s="92">
        <f>IF($A138="","",IFERROR($AD138/$N138,""))</f>
        <v/>
      </c>
      <c r="AL138" s="92">
        <f>IF($A138="","",IFERROR($H138/$N138,""))</f>
        <v/>
      </c>
      <c r="AM138" s="92">
        <f>IF($A138="","",IFERROR(($P138-$Q138)/$P138*1000000,""))</f>
        <v/>
      </c>
      <c r="AN138" s="93">
        <f>IF($A138="","",IFERROR(($Q138+$R138)/$T138,""))</f>
        <v/>
      </c>
      <c r="AO138" s="93">
        <f>IF($A138="","",IFERROR($V138/$U138,""))</f>
        <v/>
      </c>
      <c r="AP138" s="92">
        <f>IF($A138="","",IFERROR(MAX(0,$AD138-$P138/$O138),""))</f>
        <v/>
      </c>
      <c r="AQ138" s="92">
        <f>IF($A138="","",IFERROR(($P138-$Q138)/$O138,""))</f>
        <v/>
      </c>
      <c r="AR138" s="94">
        <f>IF($A138="","",IF($F138="","Temps d'ouverture manquant",IF($O138="","Cadence produit inconnue",IF($G138&gt;$F138,"Arrêts planifiés &gt; temps d'ouverture",IF($AC138&gt;$AB138,"Arrêts subis &gt; temps requis",IF($P138&lt;&gt;$Q138+$R138+$S138,"Produite ≠ conforme + retouchée + rebutée",IF($Q138&gt;$P138,"Conforme &gt; produite",IF($V138&gt;$U138,"Présents &gt; prévus","OK"))))))))</f>
        <v/>
      </c>
      <c r="AS138" s="95">
        <f>IF($A138="",0,IF(AND(OR(COCKPIT!$H$4="Toutes",$C138=COCKPIT!$H$4),OR(COCKPIT!$K$4="Toutes",$B138=COCKPIT!$K$4)),1,0))</f>
        <v/>
      </c>
    </row>
    <row r="139" ht="15" customHeight="1">
      <c r="A139" s="87" t="n"/>
      <c r="B139" s="88" t="n"/>
      <c r="C139" s="88" t="n"/>
      <c r="D139" s="88" t="n"/>
      <c r="E139" s="88" t="n"/>
      <c r="F139" s="89" t="n"/>
      <c r="G139" s="89" t="n"/>
      <c r="H139" s="89" t="n"/>
      <c r="I139" s="89" t="n"/>
      <c r="J139" s="89" t="n"/>
      <c r="K139" s="89" t="n"/>
      <c r="L139" s="89" t="n"/>
      <c r="M139" s="89" t="n"/>
      <c r="N139" s="89" t="n"/>
      <c r="O139" s="90">
        <f>IF($E139="","",IFERROR(INDEX(PARAMETRES!$O$7:$O$36,MATCH($E139,PARAMETRES!$M$7:$M$36,0)),""))</f>
        <v/>
      </c>
      <c r="P139" s="89" t="n"/>
      <c r="Q139" s="89" t="n"/>
      <c r="R139" s="89" t="n"/>
      <c r="S139" s="89" t="n"/>
      <c r="T139" s="89" t="n"/>
      <c r="U139" s="91" t="n"/>
      <c r="V139" s="91" t="n"/>
      <c r="W139" s="91" t="n"/>
      <c r="X139" s="89" t="n"/>
      <c r="Y139" s="89" t="n"/>
      <c r="Z139" s="88" t="n"/>
      <c r="AA139" s="88" t="n"/>
      <c r="AB139" s="92">
        <f>IF($A139="","",MAX(0,$F139-$G139))</f>
        <v/>
      </c>
      <c r="AC139" s="92">
        <f>IF($A139="","",SUM($H139:$M139))</f>
        <v/>
      </c>
      <c r="AD139" s="92">
        <f>IF($A139="","",MAX(0,$AB139-$AC139))</f>
        <v/>
      </c>
      <c r="AE139" s="92">
        <f>IF($A139="","",IFERROR($Q139/$O139,""))</f>
        <v/>
      </c>
      <c r="AF139" s="93">
        <f>IF($A139="","",IFERROR($AD139/$AB139,""))</f>
        <v/>
      </c>
      <c r="AG139" s="93">
        <f>IF($A139="","",IFERROR(($P139/$O139)/$AD139,""))</f>
        <v/>
      </c>
      <c r="AH139" s="93">
        <f>IF($A139="","",IFERROR($Q139/$P139,""))</f>
        <v/>
      </c>
      <c r="AI139" s="93">
        <f>IF($A139="","",IFERROR($AF139*$AG139*$AH139,""))</f>
        <v/>
      </c>
      <c r="AJ139" s="93">
        <f>IF($A139="","",IFERROR($AE139/$F139,""))</f>
        <v/>
      </c>
      <c r="AK139" s="92">
        <f>IF($A139="","",IFERROR($AD139/$N139,""))</f>
        <v/>
      </c>
      <c r="AL139" s="92">
        <f>IF($A139="","",IFERROR($H139/$N139,""))</f>
        <v/>
      </c>
      <c r="AM139" s="92">
        <f>IF($A139="","",IFERROR(($P139-$Q139)/$P139*1000000,""))</f>
        <v/>
      </c>
      <c r="AN139" s="93">
        <f>IF($A139="","",IFERROR(($Q139+$R139)/$T139,""))</f>
        <v/>
      </c>
      <c r="AO139" s="93">
        <f>IF($A139="","",IFERROR($V139/$U139,""))</f>
        <v/>
      </c>
      <c r="AP139" s="92">
        <f>IF($A139="","",IFERROR(MAX(0,$AD139-$P139/$O139),""))</f>
        <v/>
      </c>
      <c r="AQ139" s="92">
        <f>IF($A139="","",IFERROR(($P139-$Q139)/$O139,""))</f>
        <v/>
      </c>
      <c r="AR139" s="94">
        <f>IF($A139="","",IF($F139="","Temps d'ouverture manquant",IF($O139="","Cadence produit inconnue",IF($G139&gt;$F139,"Arrêts planifiés &gt; temps d'ouverture",IF($AC139&gt;$AB139,"Arrêts subis &gt; temps requis",IF($P139&lt;&gt;$Q139+$R139+$S139,"Produite ≠ conforme + retouchée + rebutée",IF($Q139&gt;$P139,"Conforme &gt; produite",IF($V139&gt;$U139,"Présents &gt; prévus","OK"))))))))</f>
        <v/>
      </c>
      <c r="AS139" s="95">
        <f>IF($A139="",0,IF(AND(OR(COCKPIT!$H$4="Toutes",$C139=COCKPIT!$H$4),OR(COCKPIT!$K$4="Toutes",$B139=COCKPIT!$K$4)),1,0))</f>
        <v/>
      </c>
    </row>
    <row r="140" ht="15" customHeight="1">
      <c r="A140" s="87" t="n"/>
      <c r="B140" s="88" t="n"/>
      <c r="C140" s="88" t="n"/>
      <c r="D140" s="88" t="n"/>
      <c r="E140" s="88" t="n"/>
      <c r="F140" s="89" t="n"/>
      <c r="G140" s="89" t="n"/>
      <c r="H140" s="89" t="n"/>
      <c r="I140" s="89" t="n"/>
      <c r="J140" s="89" t="n"/>
      <c r="K140" s="89" t="n"/>
      <c r="L140" s="89" t="n"/>
      <c r="M140" s="89" t="n"/>
      <c r="N140" s="89" t="n"/>
      <c r="O140" s="90">
        <f>IF($E140="","",IFERROR(INDEX(PARAMETRES!$O$7:$O$36,MATCH($E140,PARAMETRES!$M$7:$M$36,0)),""))</f>
        <v/>
      </c>
      <c r="P140" s="89" t="n"/>
      <c r="Q140" s="89" t="n"/>
      <c r="R140" s="89" t="n"/>
      <c r="S140" s="89" t="n"/>
      <c r="T140" s="89" t="n"/>
      <c r="U140" s="91" t="n"/>
      <c r="V140" s="91" t="n"/>
      <c r="W140" s="91" t="n"/>
      <c r="X140" s="89" t="n"/>
      <c r="Y140" s="89" t="n"/>
      <c r="Z140" s="88" t="n"/>
      <c r="AA140" s="88" t="n"/>
      <c r="AB140" s="92">
        <f>IF($A140="","",MAX(0,$F140-$G140))</f>
        <v/>
      </c>
      <c r="AC140" s="92">
        <f>IF($A140="","",SUM($H140:$M140))</f>
        <v/>
      </c>
      <c r="AD140" s="92">
        <f>IF($A140="","",MAX(0,$AB140-$AC140))</f>
        <v/>
      </c>
      <c r="AE140" s="92">
        <f>IF($A140="","",IFERROR($Q140/$O140,""))</f>
        <v/>
      </c>
      <c r="AF140" s="93">
        <f>IF($A140="","",IFERROR($AD140/$AB140,""))</f>
        <v/>
      </c>
      <c r="AG140" s="93">
        <f>IF($A140="","",IFERROR(($P140/$O140)/$AD140,""))</f>
        <v/>
      </c>
      <c r="AH140" s="93">
        <f>IF($A140="","",IFERROR($Q140/$P140,""))</f>
        <v/>
      </c>
      <c r="AI140" s="93">
        <f>IF($A140="","",IFERROR($AF140*$AG140*$AH140,""))</f>
        <v/>
      </c>
      <c r="AJ140" s="93">
        <f>IF($A140="","",IFERROR($AE140/$F140,""))</f>
        <v/>
      </c>
      <c r="AK140" s="92">
        <f>IF($A140="","",IFERROR($AD140/$N140,""))</f>
        <v/>
      </c>
      <c r="AL140" s="92">
        <f>IF($A140="","",IFERROR($H140/$N140,""))</f>
        <v/>
      </c>
      <c r="AM140" s="92">
        <f>IF($A140="","",IFERROR(($P140-$Q140)/$P140*1000000,""))</f>
        <v/>
      </c>
      <c r="AN140" s="93">
        <f>IF($A140="","",IFERROR(($Q140+$R140)/$T140,""))</f>
        <v/>
      </c>
      <c r="AO140" s="93">
        <f>IF($A140="","",IFERROR($V140/$U140,""))</f>
        <v/>
      </c>
      <c r="AP140" s="92">
        <f>IF($A140="","",IFERROR(MAX(0,$AD140-$P140/$O140),""))</f>
        <v/>
      </c>
      <c r="AQ140" s="92">
        <f>IF($A140="","",IFERROR(($P140-$Q140)/$O140,""))</f>
        <v/>
      </c>
      <c r="AR140" s="94">
        <f>IF($A140="","",IF($F140="","Temps d'ouverture manquant",IF($O140="","Cadence produit inconnue",IF($G140&gt;$F140,"Arrêts planifiés &gt; temps d'ouverture",IF($AC140&gt;$AB140,"Arrêts subis &gt; temps requis",IF($P140&lt;&gt;$Q140+$R140+$S140,"Produite ≠ conforme + retouchée + rebutée",IF($Q140&gt;$P140,"Conforme &gt; produite",IF($V140&gt;$U140,"Présents &gt; prévus","OK"))))))))</f>
        <v/>
      </c>
      <c r="AS140" s="95">
        <f>IF($A140="",0,IF(AND(OR(COCKPIT!$H$4="Toutes",$C140=COCKPIT!$H$4),OR(COCKPIT!$K$4="Toutes",$B140=COCKPIT!$K$4)),1,0))</f>
        <v/>
      </c>
    </row>
    <row r="141" ht="15" customHeight="1">
      <c r="A141" s="87" t="n"/>
      <c r="B141" s="88" t="n"/>
      <c r="C141" s="88" t="n"/>
      <c r="D141" s="88" t="n"/>
      <c r="E141" s="88" t="n"/>
      <c r="F141" s="89" t="n"/>
      <c r="G141" s="89" t="n"/>
      <c r="H141" s="89" t="n"/>
      <c r="I141" s="89" t="n"/>
      <c r="J141" s="89" t="n"/>
      <c r="K141" s="89" t="n"/>
      <c r="L141" s="89" t="n"/>
      <c r="M141" s="89" t="n"/>
      <c r="N141" s="89" t="n"/>
      <c r="O141" s="90">
        <f>IF($E141="","",IFERROR(INDEX(PARAMETRES!$O$7:$O$36,MATCH($E141,PARAMETRES!$M$7:$M$36,0)),""))</f>
        <v/>
      </c>
      <c r="P141" s="89" t="n"/>
      <c r="Q141" s="89" t="n"/>
      <c r="R141" s="89" t="n"/>
      <c r="S141" s="89" t="n"/>
      <c r="T141" s="89" t="n"/>
      <c r="U141" s="91" t="n"/>
      <c r="V141" s="91" t="n"/>
      <c r="W141" s="91" t="n"/>
      <c r="X141" s="89" t="n"/>
      <c r="Y141" s="89" t="n"/>
      <c r="Z141" s="88" t="n"/>
      <c r="AA141" s="88" t="n"/>
      <c r="AB141" s="92">
        <f>IF($A141="","",MAX(0,$F141-$G141))</f>
        <v/>
      </c>
      <c r="AC141" s="92">
        <f>IF($A141="","",SUM($H141:$M141))</f>
        <v/>
      </c>
      <c r="AD141" s="92">
        <f>IF($A141="","",MAX(0,$AB141-$AC141))</f>
        <v/>
      </c>
      <c r="AE141" s="92">
        <f>IF($A141="","",IFERROR($Q141/$O141,""))</f>
        <v/>
      </c>
      <c r="AF141" s="93">
        <f>IF($A141="","",IFERROR($AD141/$AB141,""))</f>
        <v/>
      </c>
      <c r="AG141" s="93">
        <f>IF($A141="","",IFERROR(($P141/$O141)/$AD141,""))</f>
        <v/>
      </c>
      <c r="AH141" s="93">
        <f>IF($A141="","",IFERROR($Q141/$P141,""))</f>
        <v/>
      </c>
      <c r="AI141" s="93">
        <f>IF($A141="","",IFERROR($AF141*$AG141*$AH141,""))</f>
        <v/>
      </c>
      <c r="AJ141" s="93">
        <f>IF($A141="","",IFERROR($AE141/$F141,""))</f>
        <v/>
      </c>
      <c r="AK141" s="92">
        <f>IF($A141="","",IFERROR($AD141/$N141,""))</f>
        <v/>
      </c>
      <c r="AL141" s="92">
        <f>IF($A141="","",IFERROR($H141/$N141,""))</f>
        <v/>
      </c>
      <c r="AM141" s="92">
        <f>IF($A141="","",IFERROR(($P141-$Q141)/$P141*1000000,""))</f>
        <v/>
      </c>
      <c r="AN141" s="93">
        <f>IF($A141="","",IFERROR(($Q141+$R141)/$T141,""))</f>
        <v/>
      </c>
      <c r="AO141" s="93">
        <f>IF($A141="","",IFERROR($V141/$U141,""))</f>
        <v/>
      </c>
      <c r="AP141" s="92">
        <f>IF($A141="","",IFERROR(MAX(0,$AD141-$P141/$O141),""))</f>
        <v/>
      </c>
      <c r="AQ141" s="92">
        <f>IF($A141="","",IFERROR(($P141-$Q141)/$O141,""))</f>
        <v/>
      </c>
      <c r="AR141" s="94">
        <f>IF($A141="","",IF($F141="","Temps d'ouverture manquant",IF($O141="","Cadence produit inconnue",IF($G141&gt;$F141,"Arrêts planifiés &gt; temps d'ouverture",IF($AC141&gt;$AB141,"Arrêts subis &gt; temps requis",IF($P141&lt;&gt;$Q141+$R141+$S141,"Produite ≠ conforme + retouchée + rebutée",IF($Q141&gt;$P141,"Conforme &gt; produite",IF($V141&gt;$U141,"Présents &gt; prévus","OK"))))))))</f>
        <v/>
      </c>
      <c r="AS141" s="95">
        <f>IF($A141="",0,IF(AND(OR(COCKPIT!$H$4="Toutes",$C141=COCKPIT!$H$4),OR(COCKPIT!$K$4="Toutes",$B141=COCKPIT!$K$4)),1,0))</f>
        <v/>
      </c>
    </row>
    <row r="142" ht="15" customHeight="1">
      <c r="A142" s="87" t="n"/>
      <c r="B142" s="88" t="n"/>
      <c r="C142" s="88" t="n"/>
      <c r="D142" s="88" t="n"/>
      <c r="E142" s="88" t="n"/>
      <c r="F142" s="89" t="n"/>
      <c r="G142" s="89" t="n"/>
      <c r="H142" s="89" t="n"/>
      <c r="I142" s="89" t="n"/>
      <c r="J142" s="89" t="n"/>
      <c r="K142" s="89" t="n"/>
      <c r="L142" s="89" t="n"/>
      <c r="M142" s="89" t="n"/>
      <c r="N142" s="89" t="n"/>
      <c r="O142" s="90">
        <f>IF($E142="","",IFERROR(INDEX(PARAMETRES!$O$7:$O$36,MATCH($E142,PARAMETRES!$M$7:$M$36,0)),""))</f>
        <v/>
      </c>
      <c r="P142" s="89" t="n"/>
      <c r="Q142" s="89" t="n"/>
      <c r="R142" s="89" t="n"/>
      <c r="S142" s="89" t="n"/>
      <c r="T142" s="89" t="n"/>
      <c r="U142" s="91" t="n"/>
      <c r="V142" s="91" t="n"/>
      <c r="W142" s="91" t="n"/>
      <c r="X142" s="89" t="n"/>
      <c r="Y142" s="89" t="n"/>
      <c r="Z142" s="88" t="n"/>
      <c r="AA142" s="88" t="n"/>
      <c r="AB142" s="92">
        <f>IF($A142="","",MAX(0,$F142-$G142))</f>
        <v/>
      </c>
      <c r="AC142" s="92">
        <f>IF($A142="","",SUM($H142:$M142))</f>
        <v/>
      </c>
      <c r="AD142" s="92">
        <f>IF($A142="","",MAX(0,$AB142-$AC142))</f>
        <v/>
      </c>
      <c r="AE142" s="92">
        <f>IF($A142="","",IFERROR($Q142/$O142,""))</f>
        <v/>
      </c>
      <c r="AF142" s="93">
        <f>IF($A142="","",IFERROR($AD142/$AB142,""))</f>
        <v/>
      </c>
      <c r="AG142" s="93">
        <f>IF($A142="","",IFERROR(($P142/$O142)/$AD142,""))</f>
        <v/>
      </c>
      <c r="AH142" s="93">
        <f>IF($A142="","",IFERROR($Q142/$P142,""))</f>
        <v/>
      </c>
      <c r="AI142" s="93">
        <f>IF($A142="","",IFERROR($AF142*$AG142*$AH142,""))</f>
        <v/>
      </c>
      <c r="AJ142" s="93">
        <f>IF($A142="","",IFERROR($AE142/$F142,""))</f>
        <v/>
      </c>
      <c r="AK142" s="92">
        <f>IF($A142="","",IFERROR($AD142/$N142,""))</f>
        <v/>
      </c>
      <c r="AL142" s="92">
        <f>IF($A142="","",IFERROR($H142/$N142,""))</f>
        <v/>
      </c>
      <c r="AM142" s="92">
        <f>IF($A142="","",IFERROR(($P142-$Q142)/$P142*1000000,""))</f>
        <v/>
      </c>
      <c r="AN142" s="93">
        <f>IF($A142="","",IFERROR(($Q142+$R142)/$T142,""))</f>
        <v/>
      </c>
      <c r="AO142" s="93">
        <f>IF($A142="","",IFERROR($V142/$U142,""))</f>
        <v/>
      </c>
      <c r="AP142" s="92">
        <f>IF($A142="","",IFERROR(MAX(0,$AD142-$P142/$O142),""))</f>
        <v/>
      </c>
      <c r="AQ142" s="92">
        <f>IF($A142="","",IFERROR(($P142-$Q142)/$O142,""))</f>
        <v/>
      </c>
      <c r="AR142" s="94">
        <f>IF($A142="","",IF($F142="","Temps d'ouverture manquant",IF($O142="","Cadence produit inconnue",IF($G142&gt;$F142,"Arrêts planifiés &gt; temps d'ouverture",IF($AC142&gt;$AB142,"Arrêts subis &gt; temps requis",IF($P142&lt;&gt;$Q142+$R142+$S142,"Produite ≠ conforme + retouchée + rebutée",IF($Q142&gt;$P142,"Conforme &gt; produite",IF($V142&gt;$U142,"Présents &gt; prévus","OK"))))))))</f>
        <v/>
      </c>
      <c r="AS142" s="95">
        <f>IF($A142="",0,IF(AND(OR(COCKPIT!$H$4="Toutes",$C142=COCKPIT!$H$4),OR(COCKPIT!$K$4="Toutes",$B142=COCKPIT!$K$4)),1,0))</f>
        <v/>
      </c>
    </row>
    <row r="143" ht="15" customHeight="1">
      <c r="A143" s="87" t="n"/>
      <c r="B143" s="88" t="n"/>
      <c r="C143" s="88" t="n"/>
      <c r="D143" s="88" t="n"/>
      <c r="E143" s="88" t="n"/>
      <c r="F143" s="89" t="n"/>
      <c r="G143" s="89" t="n"/>
      <c r="H143" s="89" t="n"/>
      <c r="I143" s="89" t="n"/>
      <c r="J143" s="89" t="n"/>
      <c r="K143" s="89" t="n"/>
      <c r="L143" s="89" t="n"/>
      <c r="M143" s="89" t="n"/>
      <c r="N143" s="89" t="n"/>
      <c r="O143" s="90">
        <f>IF($E143="","",IFERROR(INDEX(PARAMETRES!$O$7:$O$36,MATCH($E143,PARAMETRES!$M$7:$M$36,0)),""))</f>
        <v/>
      </c>
      <c r="P143" s="89" t="n"/>
      <c r="Q143" s="89" t="n"/>
      <c r="R143" s="89" t="n"/>
      <c r="S143" s="89" t="n"/>
      <c r="T143" s="89" t="n"/>
      <c r="U143" s="91" t="n"/>
      <c r="V143" s="91" t="n"/>
      <c r="W143" s="91" t="n"/>
      <c r="X143" s="89" t="n"/>
      <c r="Y143" s="89" t="n"/>
      <c r="Z143" s="88" t="n"/>
      <c r="AA143" s="88" t="n"/>
      <c r="AB143" s="92">
        <f>IF($A143="","",MAX(0,$F143-$G143))</f>
        <v/>
      </c>
      <c r="AC143" s="92">
        <f>IF($A143="","",SUM($H143:$M143))</f>
        <v/>
      </c>
      <c r="AD143" s="92">
        <f>IF($A143="","",MAX(0,$AB143-$AC143))</f>
        <v/>
      </c>
      <c r="AE143" s="92">
        <f>IF($A143="","",IFERROR($Q143/$O143,""))</f>
        <v/>
      </c>
      <c r="AF143" s="93">
        <f>IF($A143="","",IFERROR($AD143/$AB143,""))</f>
        <v/>
      </c>
      <c r="AG143" s="93">
        <f>IF($A143="","",IFERROR(($P143/$O143)/$AD143,""))</f>
        <v/>
      </c>
      <c r="AH143" s="93">
        <f>IF($A143="","",IFERROR($Q143/$P143,""))</f>
        <v/>
      </c>
      <c r="AI143" s="93">
        <f>IF($A143="","",IFERROR($AF143*$AG143*$AH143,""))</f>
        <v/>
      </c>
      <c r="AJ143" s="93">
        <f>IF($A143="","",IFERROR($AE143/$F143,""))</f>
        <v/>
      </c>
      <c r="AK143" s="92">
        <f>IF($A143="","",IFERROR($AD143/$N143,""))</f>
        <v/>
      </c>
      <c r="AL143" s="92">
        <f>IF($A143="","",IFERROR($H143/$N143,""))</f>
        <v/>
      </c>
      <c r="AM143" s="92">
        <f>IF($A143="","",IFERROR(($P143-$Q143)/$P143*1000000,""))</f>
        <v/>
      </c>
      <c r="AN143" s="93">
        <f>IF($A143="","",IFERROR(($Q143+$R143)/$T143,""))</f>
        <v/>
      </c>
      <c r="AO143" s="93">
        <f>IF($A143="","",IFERROR($V143/$U143,""))</f>
        <v/>
      </c>
      <c r="AP143" s="92">
        <f>IF($A143="","",IFERROR(MAX(0,$AD143-$P143/$O143),""))</f>
        <v/>
      </c>
      <c r="AQ143" s="92">
        <f>IF($A143="","",IFERROR(($P143-$Q143)/$O143,""))</f>
        <v/>
      </c>
      <c r="AR143" s="94">
        <f>IF($A143="","",IF($F143="","Temps d'ouverture manquant",IF($O143="","Cadence produit inconnue",IF($G143&gt;$F143,"Arrêts planifiés &gt; temps d'ouverture",IF($AC143&gt;$AB143,"Arrêts subis &gt; temps requis",IF($P143&lt;&gt;$Q143+$R143+$S143,"Produite ≠ conforme + retouchée + rebutée",IF($Q143&gt;$P143,"Conforme &gt; produite",IF($V143&gt;$U143,"Présents &gt; prévus","OK"))))))))</f>
        <v/>
      </c>
      <c r="AS143" s="95">
        <f>IF($A143="",0,IF(AND(OR(COCKPIT!$H$4="Toutes",$C143=COCKPIT!$H$4),OR(COCKPIT!$K$4="Toutes",$B143=COCKPIT!$K$4)),1,0))</f>
        <v/>
      </c>
    </row>
    <row r="144" ht="15" customHeight="1">
      <c r="A144" s="87" t="n"/>
      <c r="B144" s="88" t="n"/>
      <c r="C144" s="88" t="n"/>
      <c r="D144" s="88" t="n"/>
      <c r="E144" s="88" t="n"/>
      <c r="F144" s="89" t="n"/>
      <c r="G144" s="89" t="n"/>
      <c r="H144" s="89" t="n"/>
      <c r="I144" s="89" t="n"/>
      <c r="J144" s="89" t="n"/>
      <c r="K144" s="89" t="n"/>
      <c r="L144" s="89" t="n"/>
      <c r="M144" s="89" t="n"/>
      <c r="N144" s="89" t="n"/>
      <c r="O144" s="90">
        <f>IF($E144="","",IFERROR(INDEX(PARAMETRES!$O$7:$O$36,MATCH($E144,PARAMETRES!$M$7:$M$36,0)),""))</f>
        <v/>
      </c>
      <c r="P144" s="89" t="n"/>
      <c r="Q144" s="89" t="n"/>
      <c r="R144" s="89" t="n"/>
      <c r="S144" s="89" t="n"/>
      <c r="T144" s="89" t="n"/>
      <c r="U144" s="91" t="n"/>
      <c r="V144" s="91" t="n"/>
      <c r="W144" s="91" t="n"/>
      <c r="X144" s="89" t="n"/>
      <c r="Y144" s="89" t="n"/>
      <c r="Z144" s="88" t="n"/>
      <c r="AA144" s="88" t="n"/>
      <c r="AB144" s="92">
        <f>IF($A144="","",MAX(0,$F144-$G144))</f>
        <v/>
      </c>
      <c r="AC144" s="92">
        <f>IF($A144="","",SUM($H144:$M144))</f>
        <v/>
      </c>
      <c r="AD144" s="92">
        <f>IF($A144="","",MAX(0,$AB144-$AC144))</f>
        <v/>
      </c>
      <c r="AE144" s="92">
        <f>IF($A144="","",IFERROR($Q144/$O144,""))</f>
        <v/>
      </c>
      <c r="AF144" s="93">
        <f>IF($A144="","",IFERROR($AD144/$AB144,""))</f>
        <v/>
      </c>
      <c r="AG144" s="93">
        <f>IF($A144="","",IFERROR(($P144/$O144)/$AD144,""))</f>
        <v/>
      </c>
      <c r="AH144" s="93">
        <f>IF($A144="","",IFERROR($Q144/$P144,""))</f>
        <v/>
      </c>
      <c r="AI144" s="93">
        <f>IF($A144="","",IFERROR($AF144*$AG144*$AH144,""))</f>
        <v/>
      </c>
      <c r="AJ144" s="93">
        <f>IF($A144="","",IFERROR($AE144/$F144,""))</f>
        <v/>
      </c>
      <c r="AK144" s="92">
        <f>IF($A144="","",IFERROR($AD144/$N144,""))</f>
        <v/>
      </c>
      <c r="AL144" s="92">
        <f>IF($A144="","",IFERROR($H144/$N144,""))</f>
        <v/>
      </c>
      <c r="AM144" s="92">
        <f>IF($A144="","",IFERROR(($P144-$Q144)/$P144*1000000,""))</f>
        <v/>
      </c>
      <c r="AN144" s="93">
        <f>IF($A144="","",IFERROR(($Q144+$R144)/$T144,""))</f>
        <v/>
      </c>
      <c r="AO144" s="93">
        <f>IF($A144="","",IFERROR($V144/$U144,""))</f>
        <v/>
      </c>
      <c r="AP144" s="92">
        <f>IF($A144="","",IFERROR(MAX(0,$AD144-$P144/$O144),""))</f>
        <v/>
      </c>
      <c r="AQ144" s="92">
        <f>IF($A144="","",IFERROR(($P144-$Q144)/$O144,""))</f>
        <v/>
      </c>
      <c r="AR144" s="94">
        <f>IF($A144="","",IF($F144="","Temps d'ouverture manquant",IF($O144="","Cadence produit inconnue",IF($G144&gt;$F144,"Arrêts planifiés &gt; temps d'ouverture",IF($AC144&gt;$AB144,"Arrêts subis &gt; temps requis",IF($P144&lt;&gt;$Q144+$R144+$S144,"Produite ≠ conforme + retouchée + rebutée",IF($Q144&gt;$P144,"Conforme &gt; produite",IF($V144&gt;$U144,"Présents &gt; prévus","OK"))))))))</f>
        <v/>
      </c>
      <c r="AS144" s="95">
        <f>IF($A144="",0,IF(AND(OR(COCKPIT!$H$4="Toutes",$C144=COCKPIT!$H$4),OR(COCKPIT!$K$4="Toutes",$B144=COCKPIT!$K$4)),1,0))</f>
        <v/>
      </c>
    </row>
    <row r="145" ht="15" customHeight="1">
      <c r="A145" s="87" t="n"/>
      <c r="B145" s="88" t="n"/>
      <c r="C145" s="88" t="n"/>
      <c r="D145" s="88" t="n"/>
      <c r="E145" s="88" t="n"/>
      <c r="F145" s="89" t="n"/>
      <c r="G145" s="89" t="n"/>
      <c r="H145" s="89" t="n"/>
      <c r="I145" s="89" t="n"/>
      <c r="J145" s="89" t="n"/>
      <c r="K145" s="89" t="n"/>
      <c r="L145" s="89" t="n"/>
      <c r="M145" s="89" t="n"/>
      <c r="N145" s="89" t="n"/>
      <c r="O145" s="90">
        <f>IF($E145="","",IFERROR(INDEX(PARAMETRES!$O$7:$O$36,MATCH($E145,PARAMETRES!$M$7:$M$36,0)),""))</f>
        <v/>
      </c>
      <c r="P145" s="89" t="n"/>
      <c r="Q145" s="89" t="n"/>
      <c r="R145" s="89" t="n"/>
      <c r="S145" s="89" t="n"/>
      <c r="T145" s="89" t="n"/>
      <c r="U145" s="91" t="n"/>
      <c r="V145" s="91" t="n"/>
      <c r="W145" s="91" t="n"/>
      <c r="X145" s="89" t="n"/>
      <c r="Y145" s="89" t="n"/>
      <c r="Z145" s="88" t="n"/>
      <c r="AA145" s="88" t="n"/>
      <c r="AB145" s="92">
        <f>IF($A145="","",MAX(0,$F145-$G145))</f>
        <v/>
      </c>
      <c r="AC145" s="92">
        <f>IF($A145="","",SUM($H145:$M145))</f>
        <v/>
      </c>
      <c r="AD145" s="92">
        <f>IF($A145="","",MAX(0,$AB145-$AC145))</f>
        <v/>
      </c>
      <c r="AE145" s="92">
        <f>IF($A145="","",IFERROR($Q145/$O145,""))</f>
        <v/>
      </c>
      <c r="AF145" s="93">
        <f>IF($A145="","",IFERROR($AD145/$AB145,""))</f>
        <v/>
      </c>
      <c r="AG145" s="93">
        <f>IF($A145="","",IFERROR(($P145/$O145)/$AD145,""))</f>
        <v/>
      </c>
      <c r="AH145" s="93">
        <f>IF($A145="","",IFERROR($Q145/$P145,""))</f>
        <v/>
      </c>
      <c r="AI145" s="93">
        <f>IF($A145="","",IFERROR($AF145*$AG145*$AH145,""))</f>
        <v/>
      </c>
      <c r="AJ145" s="93">
        <f>IF($A145="","",IFERROR($AE145/$F145,""))</f>
        <v/>
      </c>
      <c r="AK145" s="92">
        <f>IF($A145="","",IFERROR($AD145/$N145,""))</f>
        <v/>
      </c>
      <c r="AL145" s="92">
        <f>IF($A145="","",IFERROR($H145/$N145,""))</f>
        <v/>
      </c>
      <c r="AM145" s="92">
        <f>IF($A145="","",IFERROR(($P145-$Q145)/$P145*1000000,""))</f>
        <v/>
      </c>
      <c r="AN145" s="93">
        <f>IF($A145="","",IFERROR(($Q145+$R145)/$T145,""))</f>
        <v/>
      </c>
      <c r="AO145" s="93">
        <f>IF($A145="","",IFERROR($V145/$U145,""))</f>
        <v/>
      </c>
      <c r="AP145" s="92">
        <f>IF($A145="","",IFERROR(MAX(0,$AD145-$P145/$O145),""))</f>
        <v/>
      </c>
      <c r="AQ145" s="92">
        <f>IF($A145="","",IFERROR(($P145-$Q145)/$O145,""))</f>
        <v/>
      </c>
      <c r="AR145" s="94">
        <f>IF($A145="","",IF($F145="","Temps d'ouverture manquant",IF($O145="","Cadence produit inconnue",IF($G145&gt;$F145,"Arrêts planifiés &gt; temps d'ouverture",IF($AC145&gt;$AB145,"Arrêts subis &gt; temps requis",IF($P145&lt;&gt;$Q145+$R145+$S145,"Produite ≠ conforme + retouchée + rebutée",IF($Q145&gt;$P145,"Conforme &gt; produite",IF($V145&gt;$U145,"Présents &gt; prévus","OK"))))))))</f>
        <v/>
      </c>
      <c r="AS145" s="95">
        <f>IF($A145="",0,IF(AND(OR(COCKPIT!$H$4="Toutes",$C145=COCKPIT!$H$4),OR(COCKPIT!$K$4="Toutes",$B145=COCKPIT!$K$4)),1,0))</f>
        <v/>
      </c>
    </row>
    <row r="146" ht="15" customHeight="1">
      <c r="A146" s="87" t="n"/>
      <c r="B146" s="88" t="n"/>
      <c r="C146" s="88" t="n"/>
      <c r="D146" s="88" t="n"/>
      <c r="E146" s="88" t="n"/>
      <c r="F146" s="89" t="n"/>
      <c r="G146" s="89" t="n"/>
      <c r="H146" s="89" t="n"/>
      <c r="I146" s="89" t="n"/>
      <c r="J146" s="89" t="n"/>
      <c r="K146" s="89" t="n"/>
      <c r="L146" s="89" t="n"/>
      <c r="M146" s="89" t="n"/>
      <c r="N146" s="89" t="n"/>
      <c r="O146" s="90">
        <f>IF($E146="","",IFERROR(INDEX(PARAMETRES!$O$7:$O$36,MATCH($E146,PARAMETRES!$M$7:$M$36,0)),""))</f>
        <v/>
      </c>
      <c r="P146" s="89" t="n"/>
      <c r="Q146" s="89" t="n"/>
      <c r="R146" s="89" t="n"/>
      <c r="S146" s="89" t="n"/>
      <c r="T146" s="89" t="n"/>
      <c r="U146" s="91" t="n"/>
      <c r="V146" s="91" t="n"/>
      <c r="W146" s="91" t="n"/>
      <c r="X146" s="89" t="n"/>
      <c r="Y146" s="89" t="n"/>
      <c r="Z146" s="88" t="n"/>
      <c r="AA146" s="88" t="n"/>
      <c r="AB146" s="92">
        <f>IF($A146="","",MAX(0,$F146-$G146))</f>
        <v/>
      </c>
      <c r="AC146" s="92">
        <f>IF($A146="","",SUM($H146:$M146))</f>
        <v/>
      </c>
      <c r="AD146" s="92">
        <f>IF($A146="","",MAX(0,$AB146-$AC146))</f>
        <v/>
      </c>
      <c r="AE146" s="92">
        <f>IF($A146="","",IFERROR($Q146/$O146,""))</f>
        <v/>
      </c>
      <c r="AF146" s="93">
        <f>IF($A146="","",IFERROR($AD146/$AB146,""))</f>
        <v/>
      </c>
      <c r="AG146" s="93">
        <f>IF($A146="","",IFERROR(($P146/$O146)/$AD146,""))</f>
        <v/>
      </c>
      <c r="AH146" s="93">
        <f>IF($A146="","",IFERROR($Q146/$P146,""))</f>
        <v/>
      </c>
      <c r="AI146" s="93">
        <f>IF($A146="","",IFERROR($AF146*$AG146*$AH146,""))</f>
        <v/>
      </c>
      <c r="AJ146" s="93">
        <f>IF($A146="","",IFERROR($AE146/$F146,""))</f>
        <v/>
      </c>
      <c r="AK146" s="92">
        <f>IF($A146="","",IFERROR($AD146/$N146,""))</f>
        <v/>
      </c>
      <c r="AL146" s="92">
        <f>IF($A146="","",IFERROR($H146/$N146,""))</f>
        <v/>
      </c>
      <c r="AM146" s="92">
        <f>IF($A146="","",IFERROR(($P146-$Q146)/$P146*1000000,""))</f>
        <v/>
      </c>
      <c r="AN146" s="93">
        <f>IF($A146="","",IFERROR(($Q146+$R146)/$T146,""))</f>
        <v/>
      </c>
      <c r="AO146" s="93">
        <f>IF($A146="","",IFERROR($V146/$U146,""))</f>
        <v/>
      </c>
      <c r="AP146" s="92">
        <f>IF($A146="","",IFERROR(MAX(0,$AD146-$P146/$O146),""))</f>
        <v/>
      </c>
      <c r="AQ146" s="92">
        <f>IF($A146="","",IFERROR(($P146-$Q146)/$O146,""))</f>
        <v/>
      </c>
      <c r="AR146" s="94">
        <f>IF($A146="","",IF($F146="","Temps d'ouverture manquant",IF($O146="","Cadence produit inconnue",IF($G146&gt;$F146,"Arrêts planifiés &gt; temps d'ouverture",IF($AC146&gt;$AB146,"Arrêts subis &gt; temps requis",IF($P146&lt;&gt;$Q146+$R146+$S146,"Produite ≠ conforme + retouchée + rebutée",IF($Q146&gt;$P146,"Conforme &gt; produite",IF($V146&gt;$U146,"Présents &gt; prévus","OK"))))))))</f>
        <v/>
      </c>
      <c r="AS146" s="95">
        <f>IF($A146="",0,IF(AND(OR(COCKPIT!$H$4="Toutes",$C146=COCKPIT!$H$4),OR(COCKPIT!$K$4="Toutes",$B146=COCKPIT!$K$4)),1,0))</f>
        <v/>
      </c>
    </row>
    <row r="147" ht="15" customHeight="1">
      <c r="A147" s="87" t="n"/>
      <c r="B147" s="88" t="n"/>
      <c r="C147" s="88" t="n"/>
      <c r="D147" s="88" t="n"/>
      <c r="E147" s="88" t="n"/>
      <c r="F147" s="89" t="n"/>
      <c r="G147" s="89" t="n"/>
      <c r="H147" s="89" t="n"/>
      <c r="I147" s="89" t="n"/>
      <c r="J147" s="89" t="n"/>
      <c r="K147" s="89" t="n"/>
      <c r="L147" s="89" t="n"/>
      <c r="M147" s="89" t="n"/>
      <c r="N147" s="89" t="n"/>
      <c r="O147" s="90">
        <f>IF($E147="","",IFERROR(INDEX(PARAMETRES!$O$7:$O$36,MATCH($E147,PARAMETRES!$M$7:$M$36,0)),""))</f>
        <v/>
      </c>
      <c r="P147" s="89" t="n"/>
      <c r="Q147" s="89" t="n"/>
      <c r="R147" s="89" t="n"/>
      <c r="S147" s="89" t="n"/>
      <c r="T147" s="89" t="n"/>
      <c r="U147" s="91" t="n"/>
      <c r="V147" s="91" t="n"/>
      <c r="W147" s="91" t="n"/>
      <c r="X147" s="89" t="n"/>
      <c r="Y147" s="89" t="n"/>
      <c r="Z147" s="88" t="n"/>
      <c r="AA147" s="88" t="n"/>
      <c r="AB147" s="92">
        <f>IF($A147="","",MAX(0,$F147-$G147))</f>
        <v/>
      </c>
      <c r="AC147" s="92">
        <f>IF($A147="","",SUM($H147:$M147))</f>
        <v/>
      </c>
      <c r="AD147" s="92">
        <f>IF($A147="","",MAX(0,$AB147-$AC147))</f>
        <v/>
      </c>
      <c r="AE147" s="92">
        <f>IF($A147="","",IFERROR($Q147/$O147,""))</f>
        <v/>
      </c>
      <c r="AF147" s="93">
        <f>IF($A147="","",IFERROR($AD147/$AB147,""))</f>
        <v/>
      </c>
      <c r="AG147" s="93">
        <f>IF($A147="","",IFERROR(($P147/$O147)/$AD147,""))</f>
        <v/>
      </c>
      <c r="AH147" s="93">
        <f>IF($A147="","",IFERROR($Q147/$P147,""))</f>
        <v/>
      </c>
      <c r="AI147" s="93">
        <f>IF($A147="","",IFERROR($AF147*$AG147*$AH147,""))</f>
        <v/>
      </c>
      <c r="AJ147" s="93">
        <f>IF($A147="","",IFERROR($AE147/$F147,""))</f>
        <v/>
      </c>
      <c r="AK147" s="92">
        <f>IF($A147="","",IFERROR($AD147/$N147,""))</f>
        <v/>
      </c>
      <c r="AL147" s="92">
        <f>IF($A147="","",IFERROR($H147/$N147,""))</f>
        <v/>
      </c>
      <c r="AM147" s="92">
        <f>IF($A147="","",IFERROR(($P147-$Q147)/$P147*1000000,""))</f>
        <v/>
      </c>
      <c r="AN147" s="93">
        <f>IF($A147="","",IFERROR(($Q147+$R147)/$T147,""))</f>
        <v/>
      </c>
      <c r="AO147" s="93">
        <f>IF($A147="","",IFERROR($V147/$U147,""))</f>
        <v/>
      </c>
      <c r="AP147" s="92">
        <f>IF($A147="","",IFERROR(MAX(0,$AD147-$P147/$O147),""))</f>
        <v/>
      </c>
      <c r="AQ147" s="92">
        <f>IF($A147="","",IFERROR(($P147-$Q147)/$O147,""))</f>
        <v/>
      </c>
      <c r="AR147" s="94">
        <f>IF($A147="","",IF($F147="","Temps d'ouverture manquant",IF($O147="","Cadence produit inconnue",IF($G147&gt;$F147,"Arrêts planifiés &gt; temps d'ouverture",IF($AC147&gt;$AB147,"Arrêts subis &gt; temps requis",IF($P147&lt;&gt;$Q147+$R147+$S147,"Produite ≠ conforme + retouchée + rebutée",IF($Q147&gt;$P147,"Conforme &gt; produite",IF($V147&gt;$U147,"Présents &gt; prévus","OK"))))))))</f>
        <v/>
      </c>
      <c r="AS147" s="95">
        <f>IF($A147="",0,IF(AND(OR(COCKPIT!$H$4="Toutes",$C147=COCKPIT!$H$4),OR(COCKPIT!$K$4="Toutes",$B147=COCKPIT!$K$4)),1,0))</f>
        <v/>
      </c>
    </row>
    <row r="148" ht="15" customHeight="1">
      <c r="A148" s="87" t="n"/>
      <c r="B148" s="88" t="n"/>
      <c r="C148" s="88" t="n"/>
      <c r="D148" s="88" t="n"/>
      <c r="E148" s="88" t="n"/>
      <c r="F148" s="89" t="n"/>
      <c r="G148" s="89" t="n"/>
      <c r="H148" s="89" t="n"/>
      <c r="I148" s="89" t="n"/>
      <c r="J148" s="89" t="n"/>
      <c r="K148" s="89" t="n"/>
      <c r="L148" s="89" t="n"/>
      <c r="M148" s="89" t="n"/>
      <c r="N148" s="89" t="n"/>
      <c r="O148" s="90">
        <f>IF($E148="","",IFERROR(INDEX(PARAMETRES!$O$7:$O$36,MATCH($E148,PARAMETRES!$M$7:$M$36,0)),""))</f>
        <v/>
      </c>
      <c r="P148" s="89" t="n"/>
      <c r="Q148" s="89" t="n"/>
      <c r="R148" s="89" t="n"/>
      <c r="S148" s="89" t="n"/>
      <c r="T148" s="89" t="n"/>
      <c r="U148" s="91" t="n"/>
      <c r="V148" s="91" t="n"/>
      <c r="W148" s="91" t="n"/>
      <c r="X148" s="89" t="n"/>
      <c r="Y148" s="89" t="n"/>
      <c r="Z148" s="88" t="n"/>
      <c r="AA148" s="88" t="n"/>
      <c r="AB148" s="92">
        <f>IF($A148="","",MAX(0,$F148-$G148))</f>
        <v/>
      </c>
      <c r="AC148" s="92">
        <f>IF($A148="","",SUM($H148:$M148))</f>
        <v/>
      </c>
      <c r="AD148" s="92">
        <f>IF($A148="","",MAX(0,$AB148-$AC148))</f>
        <v/>
      </c>
      <c r="AE148" s="92">
        <f>IF($A148="","",IFERROR($Q148/$O148,""))</f>
        <v/>
      </c>
      <c r="AF148" s="93">
        <f>IF($A148="","",IFERROR($AD148/$AB148,""))</f>
        <v/>
      </c>
      <c r="AG148" s="93">
        <f>IF($A148="","",IFERROR(($P148/$O148)/$AD148,""))</f>
        <v/>
      </c>
      <c r="AH148" s="93">
        <f>IF($A148="","",IFERROR($Q148/$P148,""))</f>
        <v/>
      </c>
      <c r="AI148" s="93">
        <f>IF($A148="","",IFERROR($AF148*$AG148*$AH148,""))</f>
        <v/>
      </c>
      <c r="AJ148" s="93">
        <f>IF($A148="","",IFERROR($AE148/$F148,""))</f>
        <v/>
      </c>
      <c r="AK148" s="92">
        <f>IF($A148="","",IFERROR($AD148/$N148,""))</f>
        <v/>
      </c>
      <c r="AL148" s="92">
        <f>IF($A148="","",IFERROR($H148/$N148,""))</f>
        <v/>
      </c>
      <c r="AM148" s="92">
        <f>IF($A148="","",IFERROR(($P148-$Q148)/$P148*1000000,""))</f>
        <v/>
      </c>
      <c r="AN148" s="93">
        <f>IF($A148="","",IFERROR(($Q148+$R148)/$T148,""))</f>
        <v/>
      </c>
      <c r="AO148" s="93">
        <f>IF($A148="","",IFERROR($V148/$U148,""))</f>
        <v/>
      </c>
      <c r="AP148" s="92">
        <f>IF($A148="","",IFERROR(MAX(0,$AD148-$P148/$O148),""))</f>
        <v/>
      </c>
      <c r="AQ148" s="92">
        <f>IF($A148="","",IFERROR(($P148-$Q148)/$O148,""))</f>
        <v/>
      </c>
      <c r="AR148" s="94">
        <f>IF($A148="","",IF($F148="","Temps d'ouverture manquant",IF($O148="","Cadence produit inconnue",IF($G148&gt;$F148,"Arrêts planifiés &gt; temps d'ouverture",IF($AC148&gt;$AB148,"Arrêts subis &gt; temps requis",IF($P148&lt;&gt;$Q148+$R148+$S148,"Produite ≠ conforme + retouchée + rebutée",IF($Q148&gt;$P148,"Conforme &gt; produite",IF($V148&gt;$U148,"Présents &gt; prévus","OK"))))))))</f>
        <v/>
      </c>
      <c r="AS148" s="95">
        <f>IF($A148="",0,IF(AND(OR(COCKPIT!$H$4="Toutes",$C148=COCKPIT!$H$4),OR(COCKPIT!$K$4="Toutes",$B148=COCKPIT!$K$4)),1,0))</f>
        <v/>
      </c>
    </row>
    <row r="149" ht="15" customHeight="1">
      <c r="A149" s="87" t="n"/>
      <c r="B149" s="88" t="n"/>
      <c r="C149" s="88" t="n"/>
      <c r="D149" s="88" t="n"/>
      <c r="E149" s="88" t="n"/>
      <c r="F149" s="89" t="n"/>
      <c r="G149" s="89" t="n"/>
      <c r="H149" s="89" t="n"/>
      <c r="I149" s="89" t="n"/>
      <c r="J149" s="89" t="n"/>
      <c r="K149" s="89" t="n"/>
      <c r="L149" s="89" t="n"/>
      <c r="M149" s="89" t="n"/>
      <c r="N149" s="89" t="n"/>
      <c r="O149" s="90">
        <f>IF($E149="","",IFERROR(INDEX(PARAMETRES!$O$7:$O$36,MATCH($E149,PARAMETRES!$M$7:$M$36,0)),""))</f>
        <v/>
      </c>
      <c r="P149" s="89" t="n"/>
      <c r="Q149" s="89" t="n"/>
      <c r="R149" s="89" t="n"/>
      <c r="S149" s="89" t="n"/>
      <c r="T149" s="89" t="n"/>
      <c r="U149" s="91" t="n"/>
      <c r="V149" s="91" t="n"/>
      <c r="W149" s="91" t="n"/>
      <c r="X149" s="89" t="n"/>
      <c r="Y149" s="89" t="n"/>
      <c r="Z149" s="88" t="n"/>
      <c r="AA149" s="88" t="n"/>
      <c r="AB149" s="92">
        <f>IF($A149="","",MAX(0,$F149-$G149))</f>
        <v/>
      </c>
      <c r="AC149" s="92">
        <f>IF($A149="","",SUM($H149:$M149))</f>
        <v/>
      </c>
      <c r="AD149" s="92">
        <f>IF($A149="","",MAX(0,$AB149-$AC149))</f>
        <v/>
      </c>
      <c r="AE149" s="92">
        <f>IF($A149="","",IFERROR($Q149/$O149,""))</f>
        <v/>
      </c>
      <c r="AF149" s="93">
        <f>IF($A149="","",IFERROR($AD149/$AB149,""))</f>
        <v/>
      </c>
      <c r="AG149" s="93">
        <f>IF($A149="","",IFERROR(($P149/$O149)/$AD149,""))</f>
        <v/>
      </c>
      <c r="AH149" s="93">
        <f>IF($A149="","",IFERROR($Q149/$P149,""))</f>
        <v/>
      </c>
      <c r="AI149" s="93">
        <f>IF($A149="","",IFERROR($AF149*$AG149*$AH149,""))</f>
        <v/>
      </c>
      <c r="AJ149" s="93">
        <f>IF($A149="","",IFERROR($AE149/$F149,""))</f>
        <v/>
      </c>
      <c r="AK149" s="92">
        <f>IF($A149="","",IFERROR($AD149/$N149,""))</f>
        <v/>
      </c>
      <c r="AL149" s="92">
        <f>IF($A149="","",IFERROR($H149/$N149,""))</f>
        <v/>
      </c>
      <c r="AM149" s="92">
        <f>IF($A149="","",IFERROR(($P149-$Q149)/$P149*1000000,""))</f>
        <v/>
      </c>
      <c r="AN149" s="93">
        <f>IF($A149="","",IFERROR(($Q149+$R149)/$T149,""))</f>
        <v/>
      </c>
      <c r="AO149" s="93">
        <f>IF($A149="","",IFERROR($V149/$U149,""))</f>
        <v/>
      </c>
      <c r="AP149" s="92">
        <f>IF($A149="","",IFERROR(MAX(0,$AD149-$P149/$O149),""))</f>
        <v/>
      </c>
      <c r="AQ149" s="92">
        <f>IF($A149="","",IFERROR(($P149-$Q149)/$O149,""))</f>
        <v/>
      </c>
      <c r="AR149" s="94">
        <f>IF($A149="","",IF($F149="","Temps d'ouverture manquant",IF($O149="","Cadence produit inconnue",IF($G149&gt;$F149,"Arrêts planifiés &gt; temps d'ouverture",IF($AC149&gt;$AB149,"Arrêts subis &gt; temps requis",IF($P149&lt;&gt;$Q149+$R149+$S149,"Produite ≠ conforme + retouchée + rebutée",IF($Q149&gt;$P149,"Conforme &gt; produite",IF($V149&gt;$U149,"Présents &gt; prévus","OK"))))))))</f>
        <v/>
      </c>
      <c r="AS149" s="95">
        <f>IF($A149="",0,IF(AND(OR(COCKPIT!$H$4="Toutes",$C149=COCKPIT!$H$4),OR(COCKPIT!$K$4="Toutes",$B149=COCKPIT!$K$4)),1,0))</f>
        <v/>
      </c>
    </row>
    <row r="150" ht="15" customHeight="1">
      <c r="A150" s="87" t="n"/>
      <c r="B150" s="88" t="n"/>
      <c r="C150" s="88" t="n"/>
      <c r="D150" s="88" t="n"/>
      <c r="E150" s="88" t="n"/>
      <c r="F150" s="89" t="n"/>
      <c r="G150" s="89" t="n"/>
      <c r="H150" s="89" t="n"/>
      <c r="I150" s="89" t="n"/>
      <c r="J150" s="89" t="n"/>
      <c r="K150" s="89" t="n"/>
      <c r="L150" s="89" t="n"/>
      <c r="M150" s="89" t="n"/>
      <c r="N150" s="89" t="n"/>
      <c r="O150" s="90">
        <f>IF($E150="","",IFERROR(INDEX(PARAMETRES!$O$7:$O$36,MATCH($E150,PARAMETRES!$M$7:$M$36,0)),""))</f>
        <v/>
      </c>
      <c r="P150" s="89" t="n"/>
      <c r="Q150" s="89" t="n"/>
      <c r="R150" s="89" t="n"/>
      <c r="S150" s="89" t="n"/>
      <c r="T150" s="89" t="n"/>
      <c r="U150" s="91" t="n"/>
      <c r="V150" s="91" t="n"/>
      <c r="W150" s="91" t="n"/>
      <c r="X150" s="89" t="n"/>
      <c r="Y150" s="89" t="n"/>
      <c r="Z150" s="88" t="n"/>
      <c r="AA150" s="88" t="n"/>
      <c r="AB150" s="92">
        <f>IF($A150="","",MAX(0,$F150-$G150))</f>
        <v/>
      </c>
      <c r="AC150" s="92">
        <f>IF($A150="","",SUM($H150:$M150))</f>
        <v/>
      </c>
      <c r="AD150" s="92">
        <f>IF($A150="","",MAX(0,$AB150-$AC150))</f>
        <v/>
      </c>
      <c r="AE150" s="92">
        <f>IF($A150="","",IFERROR($Q150/$O150,""))</f>
        <v/>
      </c>
      <c r="AF150" s="93">
        <f>IF($A150="","",IFERROR($AD150/$AB150,""))</f>
        <v/>
      </c>
      <c r="AG150" s="93">
        <f>IF($A150="","",IFERROR(($P150/$O150)/$AD150,""))</f>
        <v/>
      </c>
      <c r="AH150" s="93">
        <f>IF($A150="","",IFERROR($Q150/$P150,""))</f>
        <v/>
      </c>
      <c r="AI150" s="93">
        <f>IF($A150="","",IFERROR($AF150*$AG150*$AH150,""))</f>
        <v/>
      </c>
      <c r="AJ150" s="93">
        <f>IF($A150="","",IFERROR($AE150/$F150,""))</f>
        <v/>
      </c>
      <c r="AK150" s="92">
        <f>IF($A150="","",IFERROR($AD150/$N150,""))</f>
        <v/>
      </c>
      <c r="AL150" s="92">
        <f>IF($A150="","",IFERROR($H150/$N150,""))</f>
        <v/>
      </c>
      <c r="AM150" s="92">
        <f>IF($A150="","",IFERROR(($P150-$Q150)/$P150*1000000,""))</f>
        <v/>
      </c>
      <c r="AN150" s="93">
        <f>IF($A150="","",IFERROR(($Q150+$R150)/$T150,""))</f>
        <v/>
      </c>
      <c r="AO150" s="93">
        <f>IF($A150="","",IFERROR($V150/$U150,""))</f>
        <v/>
      </c>
      <c r="AP150" s="92">
        <f>IF($A150="","",IFERROR(MAX(0,$AD150-$P150/$O150),""))</f>
        <v/>
      </c>
      <c r="AQ150" s="92">
        <f>IF($A150="","",IFERROR(($P150-$Q150)/$O150,""))</f>
        <v/>
      </c>
      <c r="AR150" s="94">
        <f>IF($A150="","",IF($F150="","Temps d'ouverture manquant",IF($O150="","Cadence produit inconnue",IF($G150&gt;$F150,"Arrêts planifiés &gt; temps d'ouverture",IF($AC150&gt;$AB150,"Arrêts subis &gt; temps requis",IF($P150&lt;&gt;$Q150+$R150+$S150,"Produite ≠ conforme + retouchée + rebutée",IF($Q150&gt;$P150,"Conforme &gt; produite",IF($V150&gt;$U150,"Présents &gt; prévus","OK"))))))))</f>
        <v/>
      </c>
      <c r="AS150" s="95">
        <f>IF($A150="",0,IF(AND(OR(COCKPIT!$H$4="Toutes",$C150=COCKPIT!$H$4),OR(COCKPIT!$K$4="Toutes",$B150=COCKPIT!$K$4)),1,0))</f>
        <v/>
      </c>
    </row>
    <row r="151" ht="15" customHeight="1">
      <c r="A151" s="87" t="n"/>
      <c r="B151" s="88" t="n"/>
      <c r="C151" s="88" t="n"/>
      <c r="D151" s="88" t="n"/>
      <c r="E151" s="88" t="n"/>
      <c r="F151" s="89" t="n"/>
      <c r="G151" s="89" t="n"/>
      <c r="H151" s="89" t="n"/>
      <c r="I151" s="89" t="n"/>
      <c r="J151" s="89" t="n"/>
      <c r="K151" s="89" t="n"/>
      <c r="L151" s="89" t="n"/>
      <c r="M151" s="89" t="n"/>
      <c r="N151" s="89" t="n"/>
      <c r="O151" s="90">
        <f>IF($E151="","",IFERROR(INDEX(PARAMETRES!$O$7:$O$36,MATCH($E151,PARAMETRES!$M$7:$M$36,0)),""))</f>
        <v/>
      </c>
      <c r="P151" s="89" t="n"/>
      <c r="Q151" s="89" t="n"/>
      <c r="R151" s="89" t="n"/>
      <c r="S151" s="89" t="n"/>
      <c r="T151" s="89" t="n"/>
      <c r="U151" s="91" t="n"/>
      <c r="V151" s="91" t="n"/>
      <c r="W151" s="91" t="n"/>
      <c r="X151" s="89" t="n"/>
      <c r="Y151" s="89" t="n"/>
      <c r="Z151" s="88" t="n"/>
      <c r="AA151" s="88" t="n"/>
      <c r="AB151" s="92">
        <f>IF($A151="","",MAX(0,$F151-$G151))</f>
        <v/>
      </c>
      <c r="AC151" s="92">
        <f>IF($A151="","",SUM($H151:$M151))</f>
        <v/>
      </c>
      <c r="AD151" s="92">
        <f>IF($A151="","",MAX(0,$AB151-$AC151))</f>
        <v/>
      </c>
      <c r="AE151" s="92">
        <f>IF($A151="","",IFERROR($Q151/$O151,""))</f>
        <v/>
      </c>
      <c r="AF151" s="93">
        <f>IF($A151="","",IFERROR($AD151/$AB151,""))</f>
        <v/>
      </c>
      <c r="AG151" s="93">
        <f>IF($A151="","",IFERROR(($P151/$O151)/$AD151,""))</f>
        <v/>
      </c>
      <c r="AH151" s="93">
        <f>IF($A151="","",IFERROR($Q151/$P151,""))</f>
        <v/>
      </c>
      <c r="AI151" s="93">
        <f>IF($A151="","",IFERROR($AF151*$AG151*$AH151,""))</f>
        <v/>
      </c>
      <c r="AJ151" s="93">
        <f>IF($A151="","",IFERROR($AE151/$F151,""))</f>
        <v/>
      </c>
      <c r="AK151" s="92">
        <f>IF($A151="","",IFERROR($AD151/$N151,""))</f>
        <v/>
      </c>
      <c r="AL151" s="92">
        <f>IF($A151="","",IFERROR($H151/$N151,""))</f>
        <v/>
      </c>
      <c r="AM151" s="92">
        <f>IF($A151="","",IFERROR(($P151-$Q151)/$P151*1000000,""))</f>
        <v/>
      </c>
      <c r="AN151" s="93">
        <f>IF($A151="","",IFERROR(($Q151+$R151)/$T151,""))</f>
        <v/>
      </c>
      <c r="AO151" s="93">
        <f>IF($A151="","",IFERROR($V151/$U151,""))</f>
        <v/>
      </c>
      <c r="AP151" s="92">
        <f>IF($A151="","",IFERROR(MAX(0,$AD151-$P151/$O151),""))</f>
        <v/>
      </c>
      <c r="AQ151" s="92">
        <f>IF($A151="","",IFERROR(($P151-$Q151)/$O151,""))</f>
        <v/>
      </c>
      <c r="AR151" s="94">
        <f>IF($A151="","",IF($F151="","Temps d'ouverture manquant",IF($O151="","Cadence produit inconnue",IF($G151&gt;$F151,"Arrêts planifiés &gt; temps d'ouverture",IF($AC151&gt;$AB151,"Arrêts subis &gt; temps requis",IF($P151&lt;&gt;$Q151+$R151+$S151,"Produite ≠ conforme + retouchée + rebutée",IF($Q151&gt;$P151,"Conforme &gt; produite",IF($V151&gt;$U151,"Présents &gt; prévus","OK"))))))))</f>
        <v/>
      </c>
      <c r="AS151" s="95">
        <f>IF($A151="",0,IF(AND(OR(COCKPIT!$H$4="Toutes",$C151=COCKPIT!$H$4),OR(COCKPIT!$K$4="Toutes",$B151=COCKPIT!$K$4)),1,0))</f>
        <v/>
      </c>
    </row>
    <row r="152" ht="15" customHeight="1">
      <c r="A152" s="87" t="n"/>
      <c r="B152" s="88" t="n"/>
      <c r="C152" s="88" t="n"/>
      <c r="D152" s="88" t="n"/>
      <c r="E152" s="88" t="n"/>
      <c r="F152" s="89" t="n"/>
      <c r="G152" s="89" t="n"/>
      <c r="H152" s="89" t="n"/>
      <c r="I152" s="89" t="n"/>
      <c r="J152" s="89" t="n"/>
      <c r="K152" s="89" t="n"/>
      <c r="L152" s="89" t="n"/>
      <c r="M152" s="89" t="n"/>
      <c r="N152" s="89" t="n"/>
      <c r="O152" s="90">
        <f>IF($E152="","",IFERROR(INDEX(PARAMETRES!$O$7:$O$36,MATCH($E152,PARAMETRES!$M$7:$M$36,0)),""))</f>
        <v/>
      </c>
      <c r="P152" s="89" t="n"/>
      <c r="Q152" s="89" t="n"/>
      <c r="R152" s="89" t="n"/>
      <c r="S152" s="89" t="n"/>
      <c r="T152" s="89" t="n"/>
      <c r="U152" s="91" t="n"/>
      <c r="V152" s="91" t="n"/>
      <c r="W152" s="91" t="n"/>
      <c r="X152" s="89" t="n"/>
      <c r="Y152" s="89" t="n"/>
      <c r="Z152" s="88" t="n"/>
      <c r="AA152" s="88" t="n"/>
      <c r="AB152" s="92">
        <f>IF($A152="","",MAX(0,$F152-$G152))</f>
        <v/>
      </c>
      <c r="AC152" s="92">
        <f>IF($A152="","",SUM($H152:$M152))</f>
        <v/>
      </c>
      <c r="AD152" s="92">
        <f>IF($A152="","",MAX(0,$AB152-$AC152))</f>
        <v/>
      </c>
      <c r="AE152" s="92">
        <f>IF($A152="","",IFERROR($Q152/$O152,""))</f>
        <v/>
      </c>
      <c r="AF152" s="93">
        <f>IF($A152="","",IFERROR($AD152/$AB152,""))</f>
        <v/>
      </c>
      <c r="AG152" s="93">
        <f>IF($A152="","",IFERROR(($P152/$O152)/$AD152,""))</f>
        <v/>
      </c>
      <c r="AH152" s="93">
        <f>IF($A152="","",IFERROR($Q152/$P152,""))</f>
        <v/>
      </c>
      <c r="AI152" s="93">
        <f>IF($A152="","",IFERROR($AF152*$AG152*$AH152,""))</f>
        <v/>
      </c>
      <c r="AJ152" s="93">
        <f>IF($A152="","",IFERROR($AE152/$F152,""))</f>
        <v/>
      </c>
      <c r="AK152" s="92">
        <f>IF($A152="","",IFERROR($AD152/$N152,""))</f>
        <v/>
      </c>
      <c r="AL152" s="92">
        <f>IF($A152="","",IFERROR($H152/$N152,""))</f>
        <v/>
      </c>
      <c r="AM152" s="92">
        <f>IF($A152="","",IFERROR(($P152-$Q152)/$P152*1000000,""))</f>
        <v/>
      </c>
      <c r="AN152" s="93">
        <f>IF($A152="","",IFERROR(($Q152+$R152)/$T152,""))</f>
        <v/>
      </c>
      <c r="AO152" s="93">
        <f>IF($A152="","",IFERROR($V152/$U152,""))</f>
        <v/>
      </c>
      <c r="AP152" s="92">
        <f>IF($A152="","",IFERROR(MAX(0,$AD152-$P152/$O152),""))</f>
        <v/>
      </c>
      <c r="AQ152" s="92">
        <f>IF($A152="","",IFERROR(($P152-$Q152)/$O152,""))</f>
        <v/>
      </c>
      <c r="AR152" s="94">
        <f>IF($A152="","",IF($F152="","Temps d'ouverture manquant",IF($O152="","Cadence produit inconnue",IF($G152&gt;$F152,"Arrêts planifiés &gt; temps d'ouverture",IF($AC152&gt;$AB152,"Arrêts subis &gt; temps requis",IF($P152&lt;&gt;$Q152+$R152+$S152,"Produite ≠ conforme + retouchée + rebutée",IF($Q152&gt;$P152,"Conforme &gt; produite",IF($V152&gt;$U152,"Présents &gt; prévus","OK"))))))))</f>
        <v/>
      </c>
      <c r="AS152" s="95">
        <f>IF($A152="",0,IF(AND(OR(COCKPIT!$H$4="Toutes",$C152=COCKPIT!$H$4),OR(COCKPIT!$K$4="Toutes",$B152=COCKPIT!$K$4)),1,0))</f>
        <v/>
      </c>
    </row>
    <row r="153" ht="15" customHeight="1">
      <c r="A153" s="87" t="n"/>
      <c r="B153" s="88" t="n"/>
      <c r="C153" s="88" t="n"/>
      <c r="D153" s="88" t="n"/>
      <c r="E153" s="88" t="n"/>
      <c r="F153" s="89" t="n"/>
      <c r="G153" s="89" t="n"/>
      <c r="H153" s="89" t="n"/>
      <c r="I153" s="89" t="n"/>
      <c r="J153" s="89" t="n"/>
      <c r="K153" s="89" t="n"/>
      <c r="L153" s="89" t="n"/>
      <c r="M153" s="89" t="n"/>
      <c r="N153" s="89" t="n"/>
      <c r="O153" s="90">
        <f>IF($E153="","",IFERROR(INDEX(PARAMETRES!$O$7:$O$36,MATCH($E153,PARAMETRES!$M$7:$M$36,0)),""))</f>
        <v/>
      </c>
      <c r="P153" s="89" t="n"/>
      <c r="Q153" s="89" t="n"/>
      <c r="R153" s="89" t="n"/>
      <c r="S153" s="89" t="n"/>
      <c r="T153" s="89" t="n"/>
      <c r="U153" s="91" t="n"/>
      <c r="V153" s="91" t="n"/>
      <c r="W153" s="91" t="n"/>
      <c r="X153" s="89" t="n"/>
      <c r="Y153" s="89" t="n"/>
      <c r="Z153" s="88" t="n"/>
      <c r="AA153" s="88" t="n"/>
      <c r="AB153" s="92">
        <f>IF($A153="","",MAX(0,$F153-$G153))</f>
        <v/>
      </c>
      <c r="AC153" s="92">
        <f>IF($A153="","",SUM($H153:$M153))</f>
        <v/>
      </c>
      <c r="AD153" s="92">
        <f>IF($A153="","",MAX(0,$AB153-$AC153))</f>
        <v/>
      </c>
      <c r="AE153" s="92">
        <f>IF($A153="","",IFERROR($Q153/$O153,""))</f>
        <v/>
      </c>
      <c r="AF153" s="93">
        <f>IF($A153="","",IFERROR($AD153/$AB153,""))</f>
        <v/>
      </c>
      <c r="AG153" s="93">
        <f>IF($A153="","",IFERROR(($P153/$O153)/$AD153,""))</f>
        <v/>
      </c>
      <c r="AH153" s="93">
        <f>IF($A153="","",IFERROR($Q153/$P153,""))</f>
        <v/>
      </c>
      <c r="AI153" s="93">
        <f>IF($A153="","",IFERROR($AF153*$AG153*$AH153,""))</f>
        <v/>
      </c>
      <c r="AJ153" s="93">
        <f>IF($A153="","",IFERROR($AE153/$F153,""))</f>
        <v/>
      </c>
      <c r="AK153" s="92">
        <f>IF($A153="","",IFERROR($AD153/$N153,""))</f>
        <v/>
      </c>
      <c r="AL153" s="92">
        <f>IF($A153="","",IFERROR($H153/$N153,""))</f>
        <v/>
      </c>
      <c r="AM153" s="92">
        <f>IF($A153="","",IFERROR(($P153-$Q153)/$P153*1000000,""))</f>
        <v/>
      </c>
      <c r="AN153" s="93">
        <f>IF($A153="","",IFERROR(($Q153+$R153)/$T153,""))</f>
        <v/>
      </c>
      <c r="AO153" s="93">
        <f>IF($A153="","",IFERROR($V153/$U153,""))</f>
        <v/>
      </c>
      <c r="AP153" s="92">
        <f>IF($A153="","",IFERROR(MAX(0,$AD153-$P153/$O153),""))</f>
        <v/>
      </c>
      <c r="AQ153" s="92">
        <f>IF($A153="","",IFERROR(($P153-$Q153)/$O153,""))</f>
        <v/>
      </c>
      <c r="AR153" s="94">
        <f>IF($A153="","",IF($F153="","Temps d'ouverture manquant",IF($O153="","Cadence produit inconnue",IF($G153&gt;$F153,"Arrêts planifiés &gt; temps d'ouverture",IF($AC153&gt;$AB153,"Arrêts subis &gt; temps requis",IF($P153&lt;&gt;$Q153+$R153+$S153,"Produite ≠ conforme + retouchée + rebutée",IF($Q153&gt;$P153,"Conforme &gt; produite",IF($V153&gt;$U153,"Présents &gt; prévus","OK"))))))))</f>
        <v/>
      </c>
      <c r="AS153" s="95">
        <f>IF($A153="",0,IF(AND(OR(COCKPIT!$H$4="Toutes",$C153=COCKPIT!$H$4),OR(COCKPIT!$K$4="Toutes",$B153=COCKPIT!$K$4)),1,0))</f>
        <v/>
      </c>
    </row>
    <row r="154" ht="15" customHeight="1">
      <c r="A154" s="87" t="n"/>
      <c r="B154" s="88" t="n"/>
      <c r="C154" s="88" t="n"/>
      <c r="D154" s="88" t="n"/>
      <c r="E154" s="88" t="n"/>
      <c r="F154" s="89" t="n"/>
      <c r="G154" s="89" t="n"/>
      <c r="H154" s="89" t="n"/>
      <c r="I154" s="89" t="n"/>
      <c r="J154" s="89" t="n"/>
      <c r="K154" s="89" t="n"/>
      <c r="L154" s="89" t="n"/>
      <c r="M154" s="89" t="n"/>
      <c r="N154" s="89" t="n"/>
      <c r="O154" s="90">
        <f>IF($E154="","",IFERROR(INDEX(PARAMETRES!$O$7:$O$36,MATCH($E154,PARAMETRES!$M$7:$M$36,0)),""))</f>
        <v/>
      </c>
      <c r="P154" s="89" t="n"/>
      <c r="Q154" s="89" t="n"/>
      <c r="R154" s="89" t="n"/>
      <c r="S154" s="89" t="n"/>
      <c r="T154" s="89" t="n"/>
      <c r="U154" s="91" t="n"/>
      <c r="V154" s="91" t="n"/>
      <c r="W154" s="91" t="n"/>
      <c r="X154" s="89" t="n"/>
      <c r="Y154" s="89" t="n"/>
      <c r="Z154" s="88" t="n"/>
      <c r="AA154" s="88" t="n"/>
      <c r="AB154" s="92">
        <f>IF($A154="","",MAX(0,$F154-$G154))</f>
        <v/>
      </c>
      <c r="AC154" s="92">
        <f>IF($A154="","",SUM($H154:$M154))</f>
        <v/>
      </c>
      <c r="AD154" s="92">
        <f>IF($A154="","",MAX(0,$AB154-$AC154))</f>
        <v/>
      </c>
      <c r="AE154" s="92">
        <f>IF($A154="","",IFERROR($Q154/$O154,""))</f>
        <v/>
      </c>
      <c r="AF154" s="93">
        <f>IF($A154="","",IFERROR($AD154/$AB154,""))</f>
        <v/>
      </c>
      <c r="AG154" s="93">
        <f>IF($A154="","",IFERROR(($P154/$O154)/$AD154,""))</f>
        <v/>
      </c>
      <c r="AH154" s="93">
        <f>IF($A154="","",IFERROR($Q154/$P154,""))</f>
        <v/>
      </c>
      <c r="AI154" s="93">
        <f>IF($A154="","",IFERROR($AF154*$AG154*$AH154,""))</f>
        <v/>
      </c>
      <c r="AJ154" s="93">
        <f>IF($A154="","",IFERROR($AE154/$F154,""))</f>
        <v/>
      </c>
      <c r="AK154" s="92">
        <f>IF($A154="","",IFERROR($AD154/$N154,""))</f>
        <v/>
      </c>
      <c r="AL154" s="92">
        <f>IF($A154="","",IFERROR($H154/$N154,""))</f>
        <v/>
      </c>
      <c r="AM154" s="92">
        <f>IF($A154="","",IFERROR(($P154-$Q154)/$P154*1000000,""))</f>
        <v/>
      </c>
      <c r="AN154" s="93">
        <f>IF($A154="","",IFERROR(($Q154+$R154)/$T154,""))</f>
        <v/>
      </c>
      <c r="AO154" s="93">
        <f>IF($A154="","",IFERROR($V154/$U154,""))</f>
        <v/>
      </c>
      <c r="AP154" s="92">
        <f>IF($A154="","",IFERROR(MAX(0,$AD154-$P154/$O154),""))</f>
        <v/>
      </c>
      <c r="AQ154" s="92">
        <f>IF($A154="","",IFERROR(($P154-$Q154)/$O154,""))</f>
        <v/>
      </c>
      <c r="AR154" s="94">
        <f>IF($A154="","",IF($F154="","Temps d'ouverture manquant",IF($O154="","Cadence produit inconnue",IF($G154&gt;$F154,"Arrêts planifiés &gt; temps d'ouverture",IF($AC154&gt;$AB154,"Arrêts subis &gt; temps requis",IF($P154&lt;&gt;$Q154+$R154+$S154,"Produite ≠ conforme + retouchée + rebutée",IF($Q154&gt;$P154,"Conforme &gt; produite",IF($V154&gt;$U154,"Présents &gt; prévus","OK"))))))))</f>
        <v/>
      </c>
      <c r="AS154" s="95">
        <f>IF($A154="",0,IF(AND(OR(COCKPIT!$H$4="Toutes",$C154=COCKPIT!$H$4),OR(COCKPIT!$K$4="Toutes",$B154=COCKPIT!$K$4)),1,0))</f>
        <v/>
      </c>
    </row>
    <row r="155" ht="15" customHeight="1">
      <c r="A155" s="87" t="n"/>
      <c r="B155" s="88" t="n"/>
      <c r="C155" s="88" t="n"/>
      <c r="D155" s="88" t="n"/>
      <c r="E155" s="88" t="n"/>
      <c r="F155" s="89" t="n"/>
      <c r="G155" s="89" t="n"/>
      <c r="H155" s="89" t="n"/>
      <c r="I155" s="89" t="n"/>
      <c r="J155" s="89" t="n"/>
      <c r="K155" s="89" t="n"/>
      <c r="L155" s="89" t="n"/>
      <c r="M155" s="89" t="n"/>
      <c r="N155" s="89" t="n"/>
      <c r="O155" s="90">
        <f>IF($E155="","",IFERROR(INDEX(PARAMETRES!$O$7:$O$36,MATCH($E155,PARAMETRES!$M$7:$M$36,0)),""))</f>
        <v/>
      </c>
      <c r="P155" s="89" t="n"/>
      <c r="Q155" s="89" t="n"/>
      <c r="R155" s="89" t="n"/>
      <c r="S155" s="89" t="n"/>
      <c r="T155" s="89" t="n"/>
      <c r="U155" s="91" t="n"/>
      <c r="V155" s="91" t="n"/>
      <c r="W155" s="91" t="n"/>
      <c r="X155" s="89" t="n"/>
      <c r="Y155" s="89" t="n"/>
      <c r="Z155" s="88" t="n"/>
      <c r="AA155" s="88" t="n"/>
      <c r="AB155" s="92">
        <f>IF($A155="","",MAX(0,$F155-$G155))</f>
        <v/>
      </c>
      <c r="AC155" s="92">
        <f>IF($A155="","",SUM($H155:$M155))</f>
        <v/>
      </c>
      <c r="AD155" s="92">
        <f>IF($A155="","",MAX(0,$AB155-$AC155))</f>
        <v/>
      </c>
      <c r="AE155" s="92">
        <f>IF($A155="","",IFERROR($Q155/$O155,""))</f>
        <v/>
      </c>
      <c r="AF155" s="93">
        <f>IF($A155="","",IFERROR($AD155/$AB155,""))</f>
        <v/>
      </c>
      <c r="AG155" s="93">
        <f>IF($A155="","",IFERROR(($P155/$O155)/$AD155,""))</f>
        <v/>
      </c>
      <c r="AH155" s="93">
        <f>IF($A155="","",IFERROR($Q155/$P155,""))</f>
        <v/>
      </c>
      <c r="AI155" s="93">
        <f>IF($A155="","",IFERROR($AF155*$AG155*$AH155,""))</f>
        <v/>
      </c>
      <c r="AJ155" s="93">
        <f>IF($A155="","",IFERROR($AE155/$F155,""))</f>
        <v/>
      </c>
      <c r="AK155" s="92">
        <f>IF($A155="","",IFERROR($AD155/$N155,""))</f>
        <v/>
      </c>
      <c r="AL155" s="92">
        <f>IF($A155="","",IFERROR($H155/$N155,""))</f>
        <v/>
      </c>
      <c r="AM155" s="92">
        <f>IF($A155="","",IFERROR(($P155-$Q155)/$P155*1000000,""))</f>
        <v/>
      </c>
      <c r="AN155" s="93">
        <f>IF($A155="","",IFERROR(($Q155+$R155)/$T155,""))</f>
        <v/>
      </c>
      <c r="AO155" s="93">
        <f>IF($A155="","",IFERROR($V155/$U155,""))</f>
        <v/>
      </c>
      <c r="AP155" s="92">
        <f>IF($A155="","",IFERROR(MAX(0,$AD155-$P155/$O155),""))</f>
        <v/>
      </c>
      <c r="AQ155" s="92">
        <f>IF($A155="","",IFERROR(($P155-$Q155)/$O155,""))</f>
        <v/>
      </c>
      <c r="AR155" s="94">
        <f>IF($A155="","",IF($F155="","Temps d'ouverture manquant",IF($O155="","Cadence produit inconnue",IF($G155&gt;$F155,"Arrêts planifiés &gt; temps d'ouverture",IF($AC155&gt;$AB155,"Arrêts subis &gt; temps requis",IF($P155&lt;&gt;$Q155+$R155+$S155,"Produite ≠ conforme + retouchée + rebutée",IF($Q155&gt;$P155,"Conforme &gt; produite",IF($V155&gt;$U155,"Présents &gt; prévus","OK"))))))))</f>
        <v/>
      </c>
      <c r="AS155" s="95">
        <f>IF($A155="",0,IF(AND(OR(COCKPIT!$H$4="Toutes",$C155=COCKPIT!$H$4),OR(COCKPIT!$K$4="Toutes",$B155=COCKPIT!$K$4)),1,0))</f>
        <v/>
      </c>
    </row>
    <row r="156" ht="15" customHeight="1">
      <c r="A156" s="87" t="n"/>
      <c r="B156" s="88" t="n"/>
      <c r="C156" s="88" t="n"/>
      <c r="D156" s="88" t="n"/>
      <c r="E156" s="88" t="n"/>
      <c r="F156" s="89" t="n"/>
      <c r="G156" s="89" t="n"/>
      <c r="H156" s="89" t="n"/>
      <c r="I156" s="89" t="n"/>
      <c r="J156" s="89" t="n"/>
      <c r="K156" s="89" t="n"/>
      <c r="L156" s="89" t="n"/>
      <c r="M156" s="89" t="n"/>
      <c r="N156" s="89" t="n"/>
      <c r="O156" s="90">
        <f>IF($E156="","",IFERROR(INDEX(PARAMETRES!$O$7:$O$36,MATCH($E156,PARAMETRES!$M$7:$M$36,0)),""))</f>
        <v/>
      </c>
      <c r="P156" s="89" t="n"/>
      <c r="Q156" s="89" t="n"/>
      <c r="R156" s="89" t="n"/>
      <c r="S156" s="89" t="n"/>
      <c r="T156" s="89" t="n"/>
      <c r="U156" s="91" t="n"/>
      <c r="V156" s="91" t="n"/>
      <c r="W156" s="91" t="n"/>
      <c r="X156" s="89" t="n"/>
      <c r="Y156" s="89" t="n"/>
      <c r="Z156" s="88" t="n"/>
      <c r="AA156" s="88" t="n"/>
      <c r="AB156" s="92">
        <f>IF($A156="","",MAX(0,$F156-$G156))</f>
        <v/>
      </c>
      <c r="AC156" s="92">
        <f>IF($A156="","",SUM($H156:$M156))</f>
        <v/>
      </c>
      <c r="AD156" s="92">
        <f>IF($A156="","",MAX(0,$AB156-$AC156))</f>
        <v/>
      </c>
      <c r="AE156" s="92">
        <f>IF($A156="","",IFERROR($Q156/$O156,""))</f>
        <v/>
      </c>
      <c r="AF156" s="93">
        <f>IF($A156="","",IFERROR($AD156/$AB156,""))</f>
        <v/>
      </c>
      <c r="AG156" s="93">
        <f>IF($A156="","",IFERROR(($P156/$O156)/$AD156,""))</f>
        <v/>
      </c>
      <c r="AH156" s="93">
        <f>IF($A156="","",IFERROR($Q156/$P156,""))</f>
        <v/>
      </c>
      <c r="AI156" s="93">
        <f>IF($A156="","",IFERROR($AF156*$AG156*$AH156,""))</f>
        <v/>
      </c>
      <c r="AJ156" s="93">
        <f>IF($A156="","",IFERROR($AE156/$F156,""))</f>
        <v/>
      </c>
      <c r="AK156" s="92">
        <f>IF($A156="","",IFERROR($AD156/$N156,""))</f>
        <v/>
      </c>
      <c r="AL156" s="92">
        <f>IF($A156="","",IFERROR($H156/$N156,""))</f>
        <v/>
      </c>
      <c r="AM156" s="92">
        <f>IF($A156="","",IFERROR(($P156-$Q156)/$P156*1000000,""))</f>
        <v/>
      </c>
      <c r="AN156" s="93">
        <f>IF($A156="","",IFERROR(($Q156+$R156)/$T156,""))</f>
        <v/>
      </c>
      <c r="AO156" s="93">
        <f>IF($A156="","",IFERROR($V156/$U156,""))</f>
        <v/>
      </c>
      <c r="AP156" s="92">
        <f>IF($A156="","",IFERROR(MAX(0,$AD156-$P156/$O156),""))</f>
        <v/>
      </c>
      <c r="AQ156" s="92">
        <f>IF($A156="","",IFERROR(($P156-$Q156)/$O156,""))</f>
        <v/>
      </c>
      <c r="AR156" s="94">
        <f>IF($A156="","",IF($F156="","Temps d'ouverture manquant",IF($O156="","Cadence produit inconnue",IF($G156&gt;$F156,"Arrêts planifiés &gt; temps d'ouverture",IF($AC156&gt;$AB156,"Arrêts subis &gt; temps requis",IF($P156&lt;&gt;$Q156+$R156+$S156,"Produite ≠ conforme + retouchée + rebutée",IF($Q156&gt;$P156,"Conforme &gt; produite",IF($V156&gt;$U156,"Présents &gt; prévus","OK"))))))))</f>
        <v/>
      </c>
      <c r="AS156" s="95">
        <f>IF($A156="",0,IF(AND(OR(COCKPIT!$H$4="Toutes",$C156=COCKPIT!$H$4),OR(COCKPIT!$K$4="Toutes",$B156=COCKPIT!$K$4)),1,0))</f>
        <v/>
      </c>
    </row>
    <row r="157" ht="15" customHeight="1">
      <c r="A157" s="87" t="n"/>
      <c r="B157" s="88" t="n"/>
      <c r="C157" s="88" t="n"/>
      <c r="D157" s="88" t="n"/>
      <c r="E157" s="88" t="n"/>
      <c r="F157" s="89" t="n"/>
      <c r="G157" s="89" t="n"/>
      <c r="H157" s="89" t="n"/>
      <c r="I157" s="89" t="n"/>
      <c r="J157" s="89" t="n"/>
      <c r="K157" s="89" t="n"/>
      <c r="L157" s="89" t="n"/>
      <c r="M157" s="89" t="n"/>
      <c r="N157" s="89" t="n"/>
      <c r="O157" s="90">
        <f>IF($E157="","",IFERROR(INDEX(PARAMETRES!$O$7:$O$36,MATCH($E157,PARAMETRES!$M$7:$M$36,0)),""))</f>
        <v/>
      </c>
      <c r="P157" s="89" t="n"/>
      <c r="Q157" s="89" t="n"/>
      <c r="R157" s="89" t="n"/>
      <c r="S157" s="89" t="n"/>
      <c r="T157" s="89" t="n"/>
      <c r="U157" s="91" t="n"/>
      <c r="V157" s="91" t="n"/>
      <c r="W157" s="91" t="n"/>
      <c r="X157" s="89" t="n"/>
      <c r="Y157" s="89" t="n"/>
      <c r="Z157" s="88" t="n"/>
      <c r="AA157" s="88" t="n"/>
      <c r="AB157" s="92">
        <f>IF($A157="","",MAX(0,$F157-$G157))</f>
        <v/>
      </c>
      <c r="AC157" s="92">
        <f>IF($A157="","",SUM($H157:$M157))</f>
        <v/>
      </c>
      <c r="AD157" s="92">
        <f>IF($A157="","",MAX(0,$AB157-$AC157))</f>
        <v/>
      </c>
      <c r="AE157" s="92">
        <f>IF($A157="","",IFERROR($Q157/$O157,""))</f>
        <v/>
      </c>
      <c r="AF157" s="93">
        <f>IF($A157="","",IFERROR($AD157/$AB157,""))</f>
        <v/>
      </c>
      <c r="AG157" s="93">
        <f>IF($A157="","",IFERROR(($P157/$O157)/$AD157,""))</f>
        <v/>
      </c>
      <c r="AH157" s="93">
        <f>IF($A157="","",IFERROR($Q157/$P157,""))</f>
        <v/>
      </c>
      <c r="AI157" s="93">
        <f>IF($A157="","",IFERROR($AF157*$AG157*$AH157,""))</f>
        <v/>
      </c>
      <c r="AJ157" s="93">
        <f>IF($A157="","",IFERROR($AE157/$F157,""))</f>
        <v/>
      </c>
      <c r="AK157" s="92">
        <f>IF($A157="","",IFERROR($AD157/$N157,""))</f>
        <v/>
      </c>
      <c r="AL157" s="92">
        <f>IF($A157="","",IFERROR($H157/$N157,""))</f>
        <v/>
      </c>
      <c r="AM157" s="92">
        <f>IF($A157="","",IFERROR(($P157-$Q157)/$P157*1000000,""))</f>
        <v/>
      </c>
      <c r="AN157" s="93">
        <f>IF($A157="","",IFERROR(($Q157+$R157)/$T157,""))</f>
        <v/>
      </c>
      <c r="AO157" s="93">
        <f>IF($A157="","",IFERROR($V157/$U157,""))</f>
        <v/>
      </c>
      <c r="AP157" s="92">
        <f>IF($A157="","",IFERROR(MAX(0,$AD157-$P157/$O157),""))</f>
        <v/>
      </c>
      <c r="AQ157" s="92">
        <f>IF($A157="","",IFERROR(($P157-$Q157)/$O157,""))</f>
        <v/>
      </c>
      <c r="AR157" s="94">
        <f>IF($A157="","",IF($F157="","Temps d'ouverture manquant",IF($O157="","Cadence produit inconnue",IF($G157&gt;$F157,"Arrêts planifiés &gt; temps d'ouverture",IF($AC157&gt;$AB157,"Arrêts subis &gt; temps requis",IF($P157&lt;&gt;$Q157+$R157+$S157,"Produite ≠ conforme + retouchée + rebutée",IF($Q157&gt;$P157,"Conforme &gt; produite",IF($V157&gt;$U157,"Présents &gt; prévus","OK"))))))))</f>
        <v/>
      </c>
      <c r="AS157" s="95">
        <f>IF($A157="",0,IF(AND(OR(COCKPIT!$H$4="Toutes",$C157=COCKPIT!$H$4),OR(COCKPIT!$K$4="Toutes",$B157=COCKPIT!$K$4)),1,0))</f>
        <v/>
      </c>
    </row>
    <row r="158" ht="15" customHeight="1">
      <c r="A158" s="87" t="n"/>
      <c r="B158" s="88" t="n"/>
      <c r="C158" s="88" t="n"/>
      <c r="D158" s="88" t="n"/>
      <c r="E158" s="88" t="n"/>
      <c r="F158" s="89" t="n"/>
      <c r="G158" s="89" t="n"/>
      <c r="H158" s="89" t="n"/>
      <c r="I158" s="89" t="n"/>
      <c r="J158" s="89" t="n"/>
      <c r="K158" s="89" t="n"/>
      <c r="L158" s="89" t="n"/>
      <c r="M158" s="89" t="n"/>
      <c r="N158" s="89" t="n"/>
      <c r="O158" s="90">
        <f>IF($E158="","",IFERROR(INDEX(PARAMETRES!$O$7:$O$36,MATCH($E158,PARAMETRES!$M$7:$M$36,0)),""))</f>
        <v/>
      </c>
      <c r="P158" s="89" t="n"/>
      <c r="Q158" s="89" t="n"/>
      <c r="R158" s="89" t="n"/>
      <c r="S158" s="89" t="n"/>
      <c r="T158" s="89" t="n"/>
      <c r="U158" s="91" t="n"/>
      <c r="V158" s="91" t="n"/>
      <c r="W158" s="91" t="n"/>
      <c r="X158" s="89" t="n"/>
      <c r="Y158" s="89" t="n"/>
      <c r="Z158" s="88" t="n"/>
      <c r="AA158" s="88" t="n"/>
      <c r="AB158" s="92">
        <f>IF($A158="","",MAX(0,$F158-$G158))</f>
        <v/>
      </c>
      <c r="AC158" s="92">
        <f>IF($A158="","",SUM($H158:$M158))</f>
        <v/>
      </c>
      <c r="AD158" s="92">
        <f>IF($A158="","",MAX(0,$AB158-$AC158))</f>
        <v/>
      </c>
      <c r="AE158" s="92">
        <f>IF($A158="","",IFERROR($Q158/$O158,""))</f>
        <v/>
      </c>
      <c r="AF158" s="93">
        <f>IF($A158="","",IFERROR($AD158/$AB158,""))</f>
        <v/>
      </c>
      <c r="AG158" s="93">
        <f>IF($A158="","",IFERROR(($P158/$O158)/$AD158,""))</f>
        <v/>
      </c>
      <c r="AH158" s="93">
        <f>IF($A158="","",IFERROR($Q158/$P158,""))</f>
        <v/>
      </c>
      <c r="AI158" s="93">
        <f>IF($A158="","",IFERROR($AF158*$AG158*$AH158,""))</f>
        <v/>
      </c>
      <c r="AJ158" s="93">
        <f>IF($A158="","",IFERROR($AE158/$F158,""))</f>
        <v/>
      </c>
      <c r="AK158" s="92">
        <f>IF($A158="","",IFERROR($AD158/$N158,""))</f>
        <v/>
      </c>
      <c r="AL158" s="92">
        <f>IF($A158="","",IFERROR($H158/$N158,""))</f>
        <v/>
      </c>
      <c r="AM158" s="92">
        <f>IF($A158="","",IFERROR(($P158-$Q158)/$P158*1000000,""))</f>
        <v/>
      </c>
      <c r="AN158" s="93">
        <f>IF($A158="","",IFERROR(($Q158+$R158)/$T158,""))</f>
        <v/>
      </c>
      <c r="AO158" s="93">
        <f>IF($A158="","",IFERROR($V158/$U158,""))</f>
        <v/>
      </c>
      <c r="AP158" s="92">
        <f>IF($A158="","",IFERROR(MAX(0,$AD158-$P158/$O158),""))</f>
        <v/>
      </c>
      <c r="AQ158" s="92">
        <f>IF($A158="","",IFERROR(($P158-$Q158)/$O158,""))</f>
        <v/>
      </c>
      <c r="AR158" s="94">
        <f>IF($A158="","",IF($F158="","Temps d'ouverture manquant",IF($O158="","Cadence produit inconnue",IF($G158&gt;$F158,"Arrêts planifiés &gt; temps d'ouverture",IF($AC158&gt;$AB158,"Arrêts subis &gt; temps requis",IF($P158&lt;&gt;$Q158+$R158+$S158,"Produite ≠ conforme + retouchée + rebutée",IF($Q158&gt;$P158,"Conforme &gt; produite",IF($V158&gt;$U158,"Présents &gt; prévus","OK"))))))))</f>
        <v/>
      </c>
      <c r="AS158" s="95">
        <f>IF($A158="",0,IF(AND(OR(COCKPIT!$H$4="Toutes",$C158=COCKPIT!$H$4),OR(COCKPIT!$K$4="Toutes",$B158=COCKPIT!$K$4)),1,0))</f>
        <v/>
      </c>
    </row>
    <row r="159" ht="15" customHeight="1">
      <c r="A159" s="87" t="n"/>
      <c r="B159" s="88" t="n"/>
      <c r="C159" s="88" t="n"/>
      <c r="D159" s="88" t="n"/>
      <c r="E159" s="88" t="n"/>
      <c r="F159" s="89" t="n"/>
      <c r="G159" s="89" t="n"/>
      <c r="H159" s="89" t="n"/>
      <c r="I159" s="89" t="n"/>
      <c r="J159" s="89" t="n"/>
      <c r="K159" s="89" t="n"/>
      <c r="L159" s="89" t="n"/>
      <c r="M159" s="89" t="n"/>
      <c r="N159" s="89" t="n"/>
      <c r="O159" s="90">
        <f>IF($E159="","",IFERROR(INDEX(PARAMETRES!$O$7:$O$36,MATCH($E159,PARAMETRES!$M$7:$M$36,0)),""))</f>
        <v/>
      </c>
      <c r="P159" s="89" t="n"/>
      <c r="Q159" s="89" t="n"/>
      <c r="R159" s="89" t="n"/>
      <c r="S159" s="89" t="n"/>
      <c r="T159" s="89" t="n"/>
      <c r="U159" s="91" t="n"/>
      <c r="V159" s="91" t="n"/>
      <c r="W159" s="91" t="n"/>
      <c r="X159" s="89" t="n"/>
      <c r="Y159" s="89" t="n"/>
      <c r="Z159" s="88" t="n"/>
      <c r="AA159" s="88" t="n"/>
      <c r="AB159" s="92">
        <f>IF($A159="","",MAX(0,$F159-$G159))</f>
        <v/>
      </c>
      <c r="AC159" s="92">
        <f>IF($A159="","",SUM($H159:$M159))</f>
        <v/>
      </c>
      <c r="AD159" s="92">
        <f>IF($A159="","",MAX(0,$AB159-$AC159))</f>
        <v/>
      </c>
      <c r="AE159" s="92">
        <f>IF($A159="","",IFERROR($Q159/$O159,""))</f>
        <v/>
      </c>
      <c r="AF159" s="93">
        <f>IF($A159="","",IFERROR($AD159/$AB159,""))</f>
        <v/>
      </c>
      <c r="AG159" s="93">
        <f>IF($A159="","",IFERROR(($P159/$O159)/$AD159,""))</f>
        <v/>
      </c>
      <c r="AH159" s="93">
        <f>IF($A159="","",IFERROR($Q159/$P159,""))</f>
        <v/>
      </c>
      <c r="AI159" s="93">
        <f>IF($A159="","",IFERROR($AF159*$AG159*$AH159,""))</f>
        <v/>
      </c>
      <c r="AJ159" s="93">
        <f>IF($A159="","",IFERROR($AE159/$F159,""))</f>
        <v/>
      </c>
      <c r="AK159" s="92">
        <f>IF($A159="","",IFERROR($AD159/$N159,""))</f>
        <v/>
      </c>
      <c r="AL159" s="92">
        <f>IF($A159="","",IFERROR($H159/$N159,""))</f>
        <v/>
      </c>
      <c r="AM159" s="92">
        <f>IF($A159="","",IFERROR(($P159-$Q159)/$P159*1000000,""))</f>
        <v/>
      </c>
      <c r="AN159" s="93">
        <f>IF($A159="","",IFERROR(($Q159+$R159)/$T159,""))</f>
        <v/>
      </c>
      <c r="AO159" s="93">
        <f>IF($A159="","",IFERROR($V159/$U159,""))</f>
        <v/>
      </c>
      <c r="AP159" s="92">
        <f>IF($A159="","",IFERROR(MAX(0,$AD159-$P159/$O159),""))</f>
        <v/>
      </c>
      <c r="AQ159" s="92">
        <f>IF($A159="","",IFERROR(($P159-$Q159)/$O159,""))</f>
        <v/>
      </c>
      <c r="AR159" s="94">
        <f>IF($A159="","",IF($F159="","Temps d'ouverture manquant",IF($O159="","Cadence produit inconnue",IF($G159&gt;$F159,"Arrêts planifiés &gt; temps d'ouverture",IF($AC159&gt;$AB159,"Arrêts subis &gt; temps requis",IF($P159&lt;&gt;$Q159+$R159+$S159,"Produite ≠ conforme + retouchée + rebutée",IF($Q159&gt;$P159,"Conforme &gt; produite",IF($V159&gt;$U159,"Présents &gt; prévus","OK"))))))))</f>
        <v/>
      </c>
      <c r="AS159" s="95">
        <f>IF($A159="",0,IF(AND(OR(COCKPIT!$H$4="Toutes",$C159=COCKPIT!$H$4),OR(COCKPIT!$K$4="Toutes",$B159=COCKPIT!$K$4)),1,0))</f>
        <v/>
      </c>
    </row>
    <row r="160" ht="15" customHeight="1">
      <c r="A160" s="87" t="n"/>
      <c r="B160" s="88" t="n"/>
      <c r="C160" s="88" t="n"/>
      <c r="D160" s="88" t="n"/>
      <c r="E160" s="88" t="n"/>
      <c r="F160" s="89" t="n"/>
      <c r="G160" s="89" t="n"/>
      <c r="H160" s="89" t="n"/>
      <c r="I160" s="89" t="n"/>
      <c r="J160" s="89" t="n"/>
      <c r="K160" s="89" t="n"/>
      <c r="L160" s="89" t="n"/>
      <c r="M160" s="89" t="n"/>
      <c r="N160" s="89" t="n"/>
      <c r="O160" s="90">
        <f>IF($E160="","",IFERROR(INDEX(PARAMETRES!$O$7:$O$36,MATCH($E160,PARAMETRES!$M$7:$M$36,0)),""))</f>
        <v/>
      </c>
      <c r="P160" s="89" t="n"/>
      <c r="Q160" s="89" t="n"/>
      <c r="R160" s="89" t="n"/>
      <c r="S160" s="89" t="n"/>
      <c r="T160" s="89" t="n"/>
      <c r="U160" s="91" t="n"/>
      <c r="V160" s="91" t="n"/>
      <c r="W160" s="91" t="n"/>
      <c r="X160" s="89" t="n"/>
      <c r="Y160" s="89" t="n"/>
      <c r="Z160" s="88" t="n"/>
      <c r="AA160" s="88" t="n"/>
      <c r="AB160" s="92">
        <f>IF($A160="","",MAX(0,$F160-$G160))</f>
        <v/>
      </c>
      <c r="AC160" s="92">
        <f>IF($A160="","",SUM($H160:$M160))</f>
        <v/>
      </c>
      <c r="AD160" s="92">
        <f>IF($A160="","",MAX(0,$AB160-$AC160))</f>
        <v/>
      </c>
      <c r="AE160" s="92">
        <f>IF($A160="","",IFERROR($Q160/$O160,""))</f>
        <v/>
      </c>
      <c r="AF160" s="93">
        <f>IF($A160="","",IFERROR($AD160/$AB160,""))</f>
        <v/>
      </c>
      <c r="AG160" s="93">
        <f>IF($A160="","",IFERROR(($P160/$O160)/$AD160,""))</f>
        <v/>
      </c>
      <c r="AH160" s="93">
        <f>IF($A160="","",IFERROR($Q160/$P160,""))</f>
        <v/>
      </c>
      <c r="AI160" s="93">
        <f>IF($A160="","",IFERROR($AF160*$AG160*$AH160,""))</f>
        <v/>
      </c>
      <c r="AJ160" s="93">
        <f>IF($A160="","",IFERROR($AE160/$F160,""))</f>
        <v/>
      </c>
      <c r="AK160" s="92">
        <f>IF($A160="","",IFERROR($AD160/$N160,""))</f>
        <v/>
      </c>
      <c r="AL160" s="92">
        <f>IF($A160="","",IFERROR($H160/$N160,""))</f>
        <v/>
      </c>
      <c r="AM160" s="92">
        <f>IF($A160="","",IFERROR(($P160-$Q160)/$P160*1000000,""))</f>
        <v/>
      </c>
      <c r="AN160" s="93">
        <f>IF($A160="","",IFERROR(($Q160+$R160)/$T160,""))</f>
        <v/>
      </c>
      <c r="AO160" s="93">
        <f>IF($A160="","",IFERROR($V160/$U160,""))</f>
        <v/>
      </c>
      <c r="AP160" s="92">
        <f>IF($A160="","",IFERROR(MAX(0,$AD160-$P160/$O160),""))</f>
        <v/>
      </c>
      <c r="AQ160" s="92">
        <f>IF($A160="","",IFERROR(($P160-$Q160)/$O160,""))</f>
        <v/>
      </c>
      <c r="AR160" s="94">
        <f>IF($A160="","",IF($F160="","Temps d'ouverture manquant",IF($O160="","Cadence produit inconnue",IF($G160&gt;$F160,"Arrêts planifiés &gt; temps d'ouverture",IF($AC160&gt;$AB160,"Arrêts subis &gt; temps requis",IF($P160&lt;&gt;$Q160+$R160+$S160,"Produite ≠ conforme + retouchée + rebutée",IF($Q160&gt;$P160,"Conforme &gt; produite",IF($V160&gt;$U160,"Présents &gt; prévus","OK"))))))))</f>
        <v/>
      </c>
      <c r="AS160" s="95">
        <f>IF($A160="",0,IF(AND(OR(COCKPIT!$H$4="Toutes",$C160=COCKPIT!$H$4),OR(COCKPIT!$K$4="Toutes",$B160=COCKPIT!$K$4)),1,0))</f>
        <v/>
      </c>
    </row>
    <row r="161" ht="15" customHeight="1">
      <c r="A161" s="87" t="n"/>
      <c r="B161" s="88" t="n"/>
      <c r="C161" s="88" t="n"/>
      <c r="D161" s="88" t="n"/>
      <c r="E161" s="88" t="n"/>
      <c r="F161" s="89" t="n"/>
      <c r="G161" s="89" t="n"/>
      <c r="H161" s="89" t="n"/>
      <c r="I161" s="89" t="n"/>
      <c r="J161" s="89" t="n"/>
      <c r="K161" s="89" t="n"/>
      <c r="L161" s="89" t="n"/>
      <c r="M161" s="89" t="n"/>
      <c r="N161" s="89" t="n"/>
      <c r="O161" s="90">
        <f>IF($E161="","",IFERROR(INDEX(PARAMETRES!$O$7:$O$36,MATCH($E161,PARAMETRES!$M$7:$M$36,0)),""))</f>
        <v/>
      </c>
      <c r="P161" s="89" t="n"/>
      <c r="Q161" s="89" t="n"/>
      <c r="R161" s="89" t="n"/>
      <c r="S161" s="89" t="n"/>
      <c r="T161" s="89" t="n"/>
      <c r="U161" s="91" t="n"/>
      <c r="V161" s="91" t="n"/>
      <c r="W161" s="91" t="n"/>
      <c r="X161" s="89" t="n"/>
      <c r="Y161" s="89" t="n"/>
      <c r="Z161" s="88" t="n"/>
      <c r="AA161" s="88" t="n"/>
      <c r="AB161" s="92">
        <f>IF($A161="","",MAX(0,$F161-$G161))</f>
        <v/>
      </c>
      <c r="AC161" s="92">
        <f>IF($A161="","",SUM($H161:$M161))</f>
        <v/>
      </c>
      <c r="AD161" s="92">
        <f>IF($A161="","",MAX(0,$AB161-$AC161))</f>
        <v/>
      </c>
      <c r="AE161" s="92">
        <f>IF($A161="","",IFERROR($Q161/$O161,""))</f>
        <v/>
      </c>
      <c r="AF161" s="93">
        <f>IF($A161="","",IFERROR($AD161/$AB161,""))</f>
        <v/>
      </c>
      <c r="AG161" s="93">
        <f>IF($A161="","",IFERROR(($P161/$O161)/$AD161,""))</f>
        <v/>
      </c>
      <c r="AH161" s="93">
        <f>IF($A161="","",IFERROR($Q161/$P161,""))</f>
        <v/>
      </c>
      <c r="AI161" s="93">
        <f>IF($A161="","",IFERROR($AF161*$AG161*$AH161,""))</f>
        <v/>
      </c>
      <c r="AJ161" s="93">
        <f>IF($A161="","",IFERROR($AE161/$F161,""))</f>
        <v/>
      </c>
      <c r="AK161" s="92">
        <f>IF($A161="","",IFERROR($AD161/$N161,""))</f>
        <v/>
      </c>
      <c r="AL161" s="92">
        <f>IF($A161="","",IFERROR($H161/$N161,""))</f>
        <v/>
      </c>
      <c r="AM161" s="92">
        <f>IF($A161="","",IFERROR(($P161-$Q161)/$P161*1000000,""))</f>
        <v/>
      </c>
      <c r="AN161" s="93">
        <f>IF($A161="","",IFERROR(($Q161+$R161)/$T161,""))</f>
        <v/>
      </c>
      <c r="AO161" s="93">
        <f>IF($A161="","",IFERROR($V161/$U161,""))</f>
        <v/>
      </c>
      <c r="AP161" s="92">
        <f>IF($A161="","",IFERROR(MAX(0,$AD161-$P161/$O161),""))</f>
        <v/>
      </c>
      <c r="AQ161" s="92">
        <f>IF($A161="","",IFERROR(($P161-$Q161)/$O161,""))</f>
        <v/>
      </c>
      <c r="AR161" s="94">
        <f>IF($A161="","",IF($F161="","Temps d'ouverture manquant",IF($O161="","Cadence produit inconnue",IF($G161&gt;$F161,"Arrêts planifiés &gt; temps d'ouverture",IF($AC161&gt;$AB161,"Arrêts subis &gt; temps requis",IF($P161&lt;&gt;$Q161+$R161+$S161,"Produite ≠ conforme + retouchée + rebutée",IF($Q161&gt;$P161,"Conforme &gt; produite",IF($V161&gt;$U161,"Présents &gt; prévus","OK"))))))))</f>
        <v/>
      </c>
      <c r="AS161" s="95">
        <f>IF($A161="",0,IF(AND(OR(COCKPIT!$H$4="Toutes",$C161=COCKPIT!$H$4),OR(COCKPIT!$K$4="Toutes",$B161=COCKPIT!$K$4)),1,0))</f>
        <v/>
      </c>
    </row>
    <row r="162" ht="15" customHeight="1">
      <c r="A162" s="87" t="n"/>
      <c r="B162" s="88" t="n"/>
      <c r="C162" s="88" t="n"/>
      <c r="D162" s="88" t="n"/>
      <c r="E162" s="88" t="n"/>
      <c r="F162" s="89" t="n"/>
      <c r="G162" s="89" t="n"/>
      <c r="H162" s="89" t="n"/>
      <c r="I162" s="89" t="n"/>
      <c r="J162" s="89" t="n"/>
      <c r="K162" s="89" t="n"/>
      <c r="L162" s="89" t="n"/>
      <c r="M162" s="89" t="n"/>
      <c r="N162" s="89" t="n"/>
      <c r="O162" s="90">
        <f>IF($E162="","",IFERROR(INDEX(PARAMETRES!$O$7:$O$36,MATCH($E162,PARAMETRES!$M$7:$M$36,0)),""))</f>
        <v/>
      </c>
      <c r="P162" s="89" t="n"/>
      <c r="Q162" s="89" t="n"/>
      <c r="R162" s="89" t="n"/>
      <c r="S162" s="89" t="n"/>
      <c r="T162" s="89" t="n"/>
      <c r="U162" s="91" t="n"/>
      <c r="V162" s="91" t="n"/>
      <c r="W162" s="91" t="n"/>
      <c r="X162" s="89" t="n"/>
      <c r="Y162" s="89" t="n"/>
      <c r="Z162" s="88" t="n"/>
      <c r="AA162" s="88" t="n"/>
      <c r="AB162" s="92">
        <f>IF($A162="","",MAX(0,$F162-$G162))</f>
        <v/>
      </c>
      <c r="AC162" s="92">
        <f>IF($A162="","",SUM($H162:$M162))</f>
        <v/>
      </c>
      <c r="AD162" s="92">
        <f>IF($A162="","",MAX(0,$AB162-$AC162))</f>
        <v/>
      </c>
      <c r="AE162" s="92">
        <f>IF($A162="","",IFERROR($Q162/$O162,""))</f>
        <v/>
      </c>
      <c r="AF162" s="93">
        <f>IF($A162="","",IFERROR($AD162/$AB162,""))</f>
        <v/>
      </c>
      <c r="AG162" s="93">
        <f>IF($A162="","",IFERROR(($P162/$O162)/$AD162,""))</f>
        <v/>
      </c>
      <c r="AH162" s="93">
        <f>IF($A162="","",IFERROR($Q162/$P162,""))</f>
        <v/>
      </c>
      <c r="AI162" s="93">
        <f>IF($A162="","",IFERROR($AF162*$AG162*$AH162,""))</f>
        <v/>
      </c>
      <c r="AJ162" s="93">
        <f>IF($A162="","",IFERROR($AE162/$F162,""))</f>
        <v/>
      </c>
      <c r="AK162" s="92">
        <f>IF($A162="","",IFERROR($AD162/$N162,""))</f>
        <v/>
      </c>
      <c r="AL162" s="92">
        <f>IF($A162="","",IFERROR($H162/$N162,""))</f>
        <v/>
      </c>
      <c r="AM162" s="92">
        <f>IF($A162="","",IFERROR(($P162-$Q162)/$P162*1000000,""))</f>
        <v/>
      </c>
      <c r="AN162" s="93">
        <f>IF($A162="","",IFERROR(($Q162+$R162)/$T162,""))</f>
        <v/>
      </c>
      <c r="AO162" s="93">
        <f>IF($A162="","",IFERROR($V162/$U162,""))</f>
        <v/>
      </c>
      <c r="AP162" s="92">
        <f>IF($A162="","",IFERROR(MAX(0,$AD162-$P162/$O162),""))</f>
        <v/>
      </c>
      <c r="AQ162" s="92">
        <f>IF($A162="","",IFERROR(($P162-$Q162)/$O162,""))</f>
        <v/>
      </c>
      <c r="AR162" s="94">
        <f>IF($A162="","",IF($F162="","Temps d'ouverture manquant",IF($O162="","Cadence produit inconnue",IF($G162&gt;$F162,"Arrêts planifiés &gt; temps d'ouverture",IF($AC162&gt;$AB162,"Arrêts subis &gt; temps requis",IF($P162&lt;&gt;$Q162+$R162+$S162,"Produite ≠ conforme + retouchée + rebutée",IF($Q162&gt;$P162,"Conforme &gt; produite",IF($V162&gt;$U162,"Présents &gt; prévus","OK"))))))))</f>
        <v/>
      </c>
      <c r="AS162" s="95">
        <f>IF($A162="",0,IF(AND(OR(COCKPIT!$H$4="Toutes",$C162=COCKPIT!$H$4),OR(COCKPIT!$K$4="Toutes",$B162=COCKPIT!$K$4)),1,0))</f>
        <v/>
      </c>
    </row>
    <row r="163" ht="15" customHeight="1">
      <c r="A163" s="87" t="n"/>
      <c r="B163" s="88" t="n"/>
      <c r="C163" s="88" t="n"/>
      <c r="D163" s="88" t="n"/>
      <c r="E163" s="88" t="n"/>
      <c r="F163" s="89" t="n"/>
      <c r="G163" s="89" t="n"/>
      <c r="H163" s="89" t="n"/>
      <c r="I163" s="89" t="n"/>
      <c r="J163" s="89" t="n"/>
      <c r="K163" s="89" t="n"/>
      <c r="L163" s="89" t="n"/>
      <c r="M163" s="89" t="n"/>
      <c r="N163" s="89" t="n"/>
      <c r="O163" s="90">
        <f>IF($E163="","",IFERROR(INDEX(PARAMETRES!$O$7:$O$36,MATCH($E163,PARAMETRES!$M$7:$M$36,0)),""))</f>
        <v/>
      </c>
      <c r="P163" s="89" t="n"/>
      <c r="Q163" s="89" t="n"/>
      <c r="R163" s="89" t="n"/>
      <c r="S163" s="89" t="n"/>
      <c r="T163" s="89" t="n"/>
      <c r="U163" s="91" t="n"/>
      <c r="V163" s="91" t="n"/>
      <c r="W163" s="91" t="n"/>
      <c r="X163" s="89" t="n"/>
      <c r="Y163" s="89" t="n"/>
      <c r="Z163" s="88" t="n"/>
      <c r="AA163" s="88" t="n"/>
      <c r="AB163" s="92">
        <f>IF($A163="","",MAX(0,$F163-$G163))</f>
        <v/>
      </c>
      <c r="AC163" s="92">
        <f>IF($A163="","",SUM($H163:$M163))</f>
        <v/>
      </c>
      <c r="AD163" s="92">
        <f>IF($A163="","",MAX(0,$AB163-$AC163))</f>
        <v/>
      </c>
      <c r="AE163" s="92">
        <f>IF($A163="","",IFERROR($Q163/$O163,""))</f>
        <v/>
      </c>
      <c r="AF163" s="93">
        <f>IF($A163="","",IFERROR($AD163/$AB163,""))</f>
        <v/>
      </c>
      <c r="AG163" s="93">
        <f>IF($A163="","",IFERROR(($P163/$O163)/$AD163,""))</f>
        <v/>
      </c>
      <c r="AH163" s="93">
        <f>IF($A163="","",IFERROR($Q163/$P163,""))</f>
        <v/>
      </c>
      <c r="AI163" s="93">
        <f>IF($A163="","",IFERROR($AF163*$AG163*$AH163,""))</f>
        <v/>
      </c>
      <c r="AJ163" s="93">
        <f>IF($A163="","",IFERROR($AE163/$F163,""))</f>
        <v/>
      </c>
      <c r="AK163" s="92">
        <f>IF($A163="","",IFERROR($AD163/$N163,""))</f>
        <v/>
      </c>
      <c r="AL163" s="92">
        <f>IF($A163="","",IFERROR($H163/$N163,""))</f>
        <v/>
      </c>
      <c r="AM163" s="92">
        <f>IF($A163="","",IFERROR(($P163-$Q163)/$P163*1000000,""))</f>
        <v/>
      </c>
      <c r="AN163" s="93">
        <f>IF($A163="","",IFERROR(($Q163+$R163)/$T163,""))</f>
        <v/>
      </c>
      <c r="AO163" s="93">
        <f>IF($A163="","",IFERROR($V163/$U163,""))</f>
        <v/>
      </c>
      <c r="AP163" s="92">
        <f>IF($A163="","",IFERROR(MAX(0,$AD163-$P163/$O163),""))</f>
        <v/>
      </c>
      <c r="AQ163" s="92">
        <f>IF($A163="","",IFERROR(($P163-$Q163)/$O163,""))</f>
        <v/>
      </c>
      <c r="AR163" s="94">
        <f>IF($A163="","",IF($F163="","Temps d'ouverture manquant",IF($O163="","Cadence produit inconnue",IF($G163&gt;$F163,"Arrêts planifiés &gt; temps d'ouverture",IF($AC163&gt;$AB163,"Arrêts subis &gt; temps requis",IF($P163&lt;&gt;$Q163+$R163+$S163,"Produite ≠ conforme + retouchée + rebutée",IF($Q163&gt;$P163,"Conforme &gt; produite",IF($V163&gt;$U163,"Présents &gt; prévus","OK"))))))))</f>
        <v/>
      </c>
      <c r="AS163" s="95">
        <f>IF($A163="",0,IF(AND(OR(COCKPIT!$H$4="Toutes",$C163=COCKPIT!$H$4),OR(COCKPIT!$K$4="Toutes",$B163=COCKPIT!$K$4)),1,0))</f>
        <v/>
      </c>
    </row>
    <row r="164" ht="15" customHeight="1">
      <c r="A164" s="87" t="n"/>
      <c r="B164" s="88" t="n"/>
      <c r="C164" s="88" t="n"/>
      <c r="D164" s="88" t="n"/>
      <c r="E164" s="88" t="n"/>
      <c r="F164" s="89" t="n"/>
      <c r="G164" s="89" t="n"/>
      <c r="H164" s="89" t="n"/>
      <c r="I164" s="89" t="n"/>
      <c r="J164" s="89" t="n"/>
      <c r="K164" s="89" t="n"/>
      <c r="L164" s="89" t="n"/>
      <c r="M164" s="89" t="n"/>
      <c r="N164" s="89" t="n"/>
      <c r="O164" s="90">
        <f>IF($E164="","",IFERROR(INDEX(PARAMETRES!$O$7:$O$36,MATCH($E164,PARAMETRES!$M$7:$M$36,0)),""))</f>
        <v/>
      </c>
      <c r="P164" s="89" t="n"/>
      <c r="Q164" s="89" t="n"/>
      <c r="R164" s="89" t="n"/>
      <c r="S164" s="89" t="n"/>
      <c r="T164" s="89" t="n"/>
      <c r="U164" s="91" t="n"/>
      <c r="V164" s="91" t="n"/>
      <c r="W164" s="91" t="n"/>
      <c r="X164" s="89" t="n"/>
      <c r="Y164" s="89" t="n"/>
      <c r="Z164" s="88" t="n"/>
      <c r="AA164" s="88" t="n"/>
      <c r="AB164" s="92">
        <f>IF($A164="","",MAX(0,$F164-$G164))</f>
        <v/>
      </c>
      <c r="AC164" s="92">
        <f>IF($A164="","",SUM($H164:$M164))</f>
        <v/>
      </c>
      <c r="AD164" s="92">
        <f>IF($A164="","",MAX(0,$AB164-$AC164))</f>
        <v/>
      </c>
      <c r="AE164" s="92">
        <f>IF($A164="","",IFERROR($Q164/$O164,""))</f>
        <v/>
      </c>
      <c r="AF164" s="93">
        <f>IF($A164="","",IFERROR($AD164/$AB164,""))</f>
        <v/>
      </c>
      <c r="AG164" s="93">
        <f>IF($A164="","",IFERROR(($P164/$O164)/$AD164,""))</f>
        <v/>
      </c>
      <c r="AH164" s="93">
        <f>IF($A164="","",IFERROR($Q164/$P164,""))</f>
        <v/>
      </c>
      <c r="AI164" s="93">
        <f>IF($A164="","",IFERROR($AF164*$AG164*$AH164,""))</f>
        <v/>
      </c>
      <c r="AJ164" s="93">
        <f>IF($A164="","",IFERROR($AE164/$F164,""))</f>
        <v/>
      </c>
      <c r="AK164" s="92">
        <f>IF($A164="","",IFERROR($AD164/$N164,""))</f>
        <v/>
      </c>
      <c r="AL164" s="92">
        <f>IF($A164="","",IFERROR($H164/$N164,""))</f>
        <v/>
      </c>
      <c r="AM164" s="92">
        <f>IF($A164="","",IFERROR(($P164-$Q164)/$P164*1000000,""))</f>
        <v/>
      </c>
      <c r="AN164" s="93">
        <f>IF($A164="","",IFERROR(($Q164+$R164)/$T164,""))</f>
        <v/>
      </c>
      <c r="AO164" s="93">
        <f>IF($A164="","",IFERROR($V164/$U164,""))</f>
        <v/>
      </c>
      <c r="AP164" s="92">
        <f>IF($A164="","",IFERROR(MAX(0,$AD164-$P164/$O164),""))</f>
        <v/>
      </c>
      <c r="AQ164" s="92">
        <f>IF($A164="","",IFERROR(($P164-$Q164)/$O164,""))</f>
        <v/>
      </c>
      <c r="AR164" s="94">
        <f>IF($A164="","",IF($F164="","Temps d'ouverture manquant",IF($O164="","Cadence produit inconnue",IF($G164&gt;$F164,"Arrêts planifiés &gt; temps d'ouverture",IF($AC164&gt;$AB164,"Arrêts subis &gt; temps requis",IF($P164&lt;&gt;$Q164+$R164+$S164,"Produite ≠ conforme + retouchée + rebutée",IF($Q164&gt;$P164,"Conforme &gt; produite",IF($V164&gt;$U164,"Présents &gt; prévus","OK"))))))))</f>
        <v/>
      </c>
      <c r="AS164" s="95">
        <f>IF($A164="",0,IF(AND(OR(COCKPIT!$H$4="Toutes",$C164=COCKPIT!$H$4),OR(COCKPIT!$K$4="Toutes",$B164=COCKPIT!$K$4)),1,0))</f>
        <v/>
      </c>
    </row>
    <row r="165" ht="15" customHeight="1">
      <c r="A165" s="87" t="n"/>
      <c r="B165" s="88" t="n"/>
      <c r="C165" s="88" t="n"/>
      <c r="D165" s="88" t="n"/>
      <c r="E165" s="88" t="n"/>
      <c r="F165" s="89" t="n"/>
      <c r="G165" s="89" t="n"/>
      <c r="H165" s="89" t="n"/>
      <c r="I165" s="89" t="n"/>
      <c r="J165" s="89" t="n"/>
      <c r="K165" s="89" t="n"/>
      <c r="L165" s="89" t="n"/>
      <c r="M165" s="89" t="n"/>
      <c r="N165" s="89" t="n"/>
      <c r="O165" s="90">
        <f>IF($E165="","",IFERROR(INDEX(PARAMETRES!$O$7:$O$36,MATCH($E165,PARAMETRES!$M$7:$M$36,0)),""))</f>
        <v/>
      </c>
      <c r="P165" s="89" t="n"/>
      <c r="Q165" s="89" t="n"/>
      <c r="R165" s="89" t="n"/>
      <c r="S165" s="89" t="n"/>
      <c r="T165" s="89" t="n"/>
      <c r="U165" s="91" t="n"/>
      <c r="V165" s="91" t="n"/>
      <c r="W165" s="91" t="n"/>
      <c r="X165" s="89" t="n"/>
      <c r="Y165" s="89" t="n"/>
      <c r="Z165" s="88" t="n"/>
      <c r="AA165" s="88" t="n"/>
      <c r="AB165" s="92">
        <f>IF($A165="","",MAX(0,$F165-$G165))</f>
        <v/>
      </c>
      <c r="AC165" s="92">
        <f>IF($A165="","",SUM($H165:$M165))</f>
        <v/>
      </c>
      <c r="AD165" s="92">
        <f>IF($A165="","",MAX(0,$AB165-$AC165))</f>
        <v/>
      </c>
      <c r="AE165" s="92">
        <f>IF($A165="","",IFERROR($Q165/$O165,""))</f>
        <v/>
      </c>
      <c r="AF165" s="93">
        <f>IF($A165="","",IFERROR($AD165/$AB165,""))</f>
        <v/>
      </c>
      <c r="AG165" s="93">
        <f>IF($A165="","",IFERROR(($P165/$O165)/$AD165,""))</f>
        <v/>
      </c>
      <c r="AH165" s="93">
        <f>IF($A165="","",IFERROR($Q165/$P165,""))</f>
        <v/>
      </c>
      <c r="AI165" s="93">
        <f>IF($A165="","",IFERROR($AF165*$AG165*$AH165,""))</f>
        <v/>
      </c>
      <c r="AJ165" s="93">
        <f>IF($A165="","",IFERROR($AE165/$F165,""))</f>
        <v/>
      </c>
      <c r="AK165" s="92">
        <f>IF($A165="","",IFERROR($AD165/$N165,""))</f>
        <v/>
      </c>
      <c r="AL165" s="92">
        <f>IF($A165="","",IFERROR($H165/$N165,""))</f>
        <v/>
      </c>
      <c r="AM165" s="92">
        <f>IF($A165="","",IFERROR(($P165-$Q165)/$P165*1000000,""))</f>
        <v/>
      </c>
      <c r="AN165" s="93">
        <f>IF($A165="","",IFERROR(($Q165+$R165)/$T165,""))</f>
        <v/>
      </c>
      <c r="AO165" s="93">
        <f>IF($A165="","",IFERROR($V165/$U165,""))</f>
        <v/>
      </c>
      <c r="AP165" s="92">
        <f>IF($A165="","",IFERROR(MAX(0,$AD165-$P165/$O165),""))</f>
        <v/>
      </c>
      <c r="AQ165" s="92">
        <f>IF($A165="","",IFERROR(($P165-$Q165)/$O165,""))</f>
        <v/>
      </c>
      <c r="AR165" s="94">
        <f>IF($A165="","",IF($F165="","Temps d'ouverture manquant",IF($O165="","Cadence produit inconnue",IF($G165&gt;$F165,"Arrêts planifiés &gt; temps d'ouverture",IF($AC165&gt;$AB165,"Arrêts subis &gt; temps requis",IF($P165&lt;&gt;$Q165+$R165+$S165,"Produite ≠ conforme + retouchée + rebutée",IF($Q165&gt;$P165,"Conforme &gt; produite",IF($V165&gt;$U165,"Présents &gt; prévus","OK"))))))))</f>
        <v/>
      </c>
      <c r="AS165" s="95">
        <f>IF($A165="",0,IF(AND(OR(COCKPIT!$H$4="Toutes",$C165=COCKPIT!$H$4),OR(COCKPIT!$K$4="Toutes",$B165=COCKPIT!$K$4)),1,0))</f>
        <v/>
      </c>
    </row>
    <row r="166" ht="15" customHeight="1">
      <c r="A166" s="87" t="n"/>
      <c r="B166" s="88" t="n"/>
      <c r="C166" s="88" t="n"/>
      <c r="D166" s="88" t="n"/>
      <c r="E166" s="88" t="n"/>
      <c r="F166" s="89" t="n"/>
      <c r="G166" s="89" t="n"/>
      <c r="H166" s="89" t="n"/>
      <c r="I166" s="89" t="n"/>
      <c r="J166" s="89" t="n"/>
      <c r="K166" s="89" t="n"/>
      <c r="L166" s="89" t="n"/>
      <c r="M166" s="89" t="n"/>
      <c r="N166" s="89" t="n"/>
      <c r="O166" s="90">
        <f>IF($E166="","",IFERROR(INDEX(PARAMETRES!$O$7:$O$36,MATCH($E166,PARAMETRES!$M$7:$M$36,0)),""))</f>
        <v/>
      </c>
      <c r="P166" s="89" t="n"/>
      <c r="Q166" s="89" t="n"/>
      <c r="R166" s="89" t="n"/>
      <c r="S166" s="89" t="n"/>
      <c r="T166" s="89" t="n"/>
      <c r="U166" s="91" t="n"/>
      <c r="V166" s="91" t="n"/>
      <c r="W166" s="91" t="n"/>
      <c r="X166" s="89" t="n"/>
      <c r="Y166" s="89" t="n"/>
      <c r="Z166" s="88" t="n"/>
      <c r="AA166" s="88" t="n"/>
      <c r="AB166" s="92">
        <f>IF($A166="","",MAX(0,$F166-$G166))</f>
        <v/>
      </c>
      <c r="AC166" s="92">
        <f>IF($A166="","",SUM($H166:$M166))</f>
        <v/>
      </c>
      <c r="AD166" s="92">
        <f>IF($A166="","",MAX(0,$AB166-$AC166))</f>
        <v/>
      </c>
      <c r="AE166" s="92">
        <f>IF($A166="","",IFERROR($Q166/$O166,""))</f>
        <v/>
      </c>
      <c r="AF166" s="93">
        <f>IF($A166="","",IFERROR($AD166/$AB166,""))</f>
        <v/>
      </c>
      <c r="AG166" s="93">
        <f>IF($A166="","",IFERROR(($P166/$O166)/$AD166,""))</f>
        <v/>
      </c>
      <c r="AH166" s="93">
        <f>IF($A166="","",IFERROR($Q166/$P166,""))</f>
        <v/>
      </c>
      <c r="AI166" s="93">
        <f>IF($A166="","",IFERROR($AF166*$AG166*$AH166,""))</f>
        <v/>
      </c>
      <c r="AJ166" s="93">
        <f>IF($A166="","",IFERROR($AE166/$F166,""))</f>
        <v/>
      </c>
      <c r="AK166" s="92">
        <f>IF($A166="","",IFERROR($AD166/$N166,""))</f>
        <v/>
      </c>
      <c r="AL166" s="92">
        <f>IF($A166="","",IFERROR($H166/$N166,""))</f>
        <v/>
      </c>
      <c r="AM166" s="92">
        <f>IF($A166="","",IFERROR(($P166-$Q166)/$P166*1000000,""))</f>
        <v/>
      </c>
      <c r="AN166" s="93">
        <f>IF($A166="","",IFERROR(($Q166+$R166)/$T166,""))</f>
        <v/>
      </c>
      <c r="AO166" s="93">
        <f>IF($A166="","",IFERROR($V166/$U166,""))</f>
        <v/>
      </c>
      <c r="AP166" s="92">
        <f>IF($A166="","",IFERROR(MAX(0,$AD166-$P166/$O166),""))</f>
        <v/>
      </c>
      <c r="AQ166" s="92">
        <f>IF($A166="","",IFERROR(($P166-$Q166)/$O166,""))</f>
        <v/>
      </c>
      <c r="AR166" s="94">
        <f>IF($A166="","",IF($F166="","Temps d'ouverture manquant",IF($O166="","Cadence produit inconnue",IF($G166&gt;$F166,"Arrêts planifiés &gt; temps d'ouverture",IF($AC166&gt;$AB166,"Arrêts subis &gt; temps requis",IF($P166&lt;&gt;$Q166+$R166+$S166,"Produite ≠ conforme + retouchée + rebutée",IF($Q166&gt;$P166,"Conforme &gt; produite",IF($V166&gt;$U166,"Présents &gt; prévus","OK"))))))))</f>
        <v/>
      </c>
      <c r="AS166" s="95">
        <f>IF($A166="",0,IF(AND(OR(COCKPIT!$H$4="Toutes",$C166=COCKPIT!$H$4),OR(COCKPIT!$K$4="Toutes",$B166=COCKPIT!$K$4)),1,0))</f>
        <v/>
      </c>
    </row>
    <row r="167" ht="15" customHeight="1">
      <c r="A167" s="87" t="n"/>
      <c r="B167" s="88" t="n"/>
      <c r="C167" s="88" t="n"/>
      <c r="D167" s="88" t="n"/>
      <c r="E167" s="88" t="n"/>
      <c r="F167" s="89" t="n"/>
      <c r="G167" s="89" t="n"/>
      <c r="H167" s="89" t="n"/>
      <c r="I167" s="89" t="n"/>
      <c r="J167" s="89" t="n"/>
      <c r="K167" s="89" t="n"/>
      <c r="L167" s="89" t="n"/>
      <c r="M167" s="89" t="n"/>
      <c r="N167" s="89" t="n"/>
      <c r="O167" s="90">
        <f>IF($E167="","",IFERROR(INDEX(PARAMETRES!$O$7:$O$36,MATCH($E167,PARAMETRES!$M$7:$M$36,0)),""))</f>
        <v/>
      </c>
      <c r="P167" s="89" t="n"/>
      <c r="Q167" s="89" t="n"/>
      <c r="R167" s="89" t="n"/>
      <c r="S167" s="89" t="n"/>
      <c r="T167" s="89" t="n"/>
      <c r="U167" s="91" t="n"/>
      <c r="V167" s="91" t="n"/>
      <c r="W167" s="91" t="n"/>
      <c r="X167" s="89" t="n"/>
      <c r="Y167" s="89" t="n"/>
      <c r="Z167" s="88" t="n"/>
      <c r="AA167" s="88" t="n"/>
      <c r="AB167" s="92">
        <f>IF($A167="","",MAX(0,$F167-$G167))</f>
        <v/>
      </c>
      <c r="AC167" s="92">
        <f>IF($A167="","",SUM($H167:$M167))</f>
        <v/>
      </c>
      <c r="AD167" s="92">
        <f>IF($A167="","",MAX(0,$AB167-$AC167))</f>
        <v/>
      </c>
      <c r="AE167" s="92">
        <f>IF($A167="","",IFERROR($Q167/$O167,""))</f>
        <v/>
      </c>
      <c r="AF167" s="93">
        <f>IF($A167="","",IFERROR($AD167/$AB167,""))</f>
        <v/>
      </c>
      <c r="AG167" s="93">
        <f>IF($A167="","",IFERROR(($P167/$O167)/$AD167,""))</f>
        <v/>
      </c>
      <c r="AH167" s="93">
        <f>IF($A167="","",IFERROR($Q167/$P167,""))</f>
        <v/>
      </c>
      <c r="AI167" s="93">
        <f>IF($A167="","",IFERROR($AF167*$AG167*$AH167,""))</f>
        <v/>
      </c>
      <c r="AJ167" s="93">
        <f>IF($A167="","",IFERROR($AE167/$F167,""))</f>
        <v/>
      </c>
      <c r="AK167" s="92">
        <f>IF($A167="","",IFERROR($AD167/$N167,""))</f>
        <v/>
      </c>
      <c r="AL167" s="92">
        <f>IF($A167="","",IFERROR($H167/$N167,""))</f>
        <v/>
      </c>
      <c r="AM167" s="92">
        <f>IF($A167="","",IFERROR(($P167-$Q167)/$P167*1000000,""))</f>
        <v/>
      </c>
      <c r="AN167" s="93">
        <f>IF($A167="","",IFERROR(($Q167+$R167)/$T167,""))</f>
        <v/>
      </c>
      <c r="AO167" s="93">
        <f>IF($A167="","",IFERROR($V167/$U167,""))</f>
        <v/>
      </c>
      <c r="AP167" s="92">
        <f>IF($A167="","",IFERROR(MAX(0,$AD167-$P167/$O167),""))</f>
        <v/>
      </c>
      <c r="AQ167" s="92">
        <f>IF($A167="","",IFERROR(($P167-$Q167)/$O167,""))</f>
        <v/>
      </c>
      <c r="AR167" s="94">
        <f>IF($A167="","",IF($F167="","Temps d'ouverture manquant",IF($O167="","Cadence produit inconnue",IF($G167&gt;$F167,"Arrêts planifiés &gt; temps d'ouverture",IF($AC167&gt;$AB167,"Arrêts subis &gt; temps requis",IF($P167&lt;&gt;$Q167+$R167+$S167,"Produite ≠ conforme + retouchée + rebutée",IF($Q167&gt;$P167,"Conforme &gt; produite",IF($V167&gt;$U167,"Présents &gt; prévus","OK"))))))))</f>
        <v/>
      </c>
      <c r="AS167" s="95">
        <f>IF($A167="",0,IF(AND(OR(COCKPIT!$H$4="Toutes",$C167=COCKPIT!$H$4),OR(COCKPIT!$K$4="Toutes",$B167=COCKPIT!$K$4)),1,0))</f>
        <v/>
      </c>
    </row>
    <row r="168" ht="15" customHeight="1">
      <c r="A168" s="87" t="n"/>
      <c r="B168" s="88" t="n"/>
      <c r="C168" s="88" t="n"/>
      <c r="D168" s="88" t="n"/>
      <c r="E168" s="88" t="n"/>
      <c r="F168" s="89" t="n"/>
      <c r="G168" s="89" t="n"/>
      <c r="H168" s="89" t="n"/>
      <c r="I168" s="89" t="n"/>
      <c r="J168" s="89" t="n"/>
      <c r="K168" s="89" t="n"/>
      <c r="L168" s="89" t="n"/>
      <c r="M168" s="89" t="n"/>
      <c r="N168" s="89" t="n"/>
      <c r="O168" s="90">
        <f>IF($E168="","",IFERROR(INDEX(PARAMETRES!$O$7:$O$36,MATCH($E168,PARAMETRES!$M$7:$M$36,0)),""))</f>
        <v/>
      </c>
      <c r="P168" s="89" t="n"/>
      <c r="Q168" s="89" t="n"/>
      <c r="R168" s="89" t="n"/>
      <c r="S168" s="89" t="n"/>
      <c r="T168" s="89" t="n"/>
      <c r="U168" s="91" t="n"/>
      <c r="V168" s="91" t="n"/>
      <c r="W168" s="91" t="n"/>
      <c r="X168" s="89" t="n"/>
      <c r="Y168" s="89" t="n"/>
      <c r="Z168" s="88" t="n"/>
      <c r="AA168" s="88" t="n"/>
      <c r="AB168" s="92">
        <f>IF($A168="","",MAX(0,$F168-$G168))</f>
        <v/>
      </c>
      <c r="AC168" s="92">
        <f>IF($A168="","",SUM($H168:$M168))</f>
        <v/>
      </c>
      <c r="AD168" s="92">
        <f>IF($A168="","",MAX(0,$AB168-$AC168))</f>
        <v/>
      </c>
      <c r="AE168" s="92">
        <f>IF($A168="","",IFERROR($Q168/$O168,""))</f>
        <v/>
      </c>
      <c r="AF168" s="93">
        <f>IF($A168="","",IFERROR($AD168/$AB168,""))</f>
        <v/>
      </c>
      <c r="AG168" s="93">
        <f>IF($A168="","",IFERROR(($P168/$O168)/$AD168,""))</f>
        <v/>
      </c>
      <c r="AH168" s="93">
        <f>IF($A168="","",IFERROR($Q168/$P168,""))</f>
        <v/>
      </c>
      <c r="AI168" s="93">
        <f>IF($A168="","",IFERROR($AF168*$AG168*$AH168,""))</f>
        <v/>
      </c>
      <c r="AJ168" s="93">
        <f>IF($A168="","",IFERROR($AE168/$F168,""))</f>
        <v/>
      </c>
      <c r="AK168" s="92">
        <f>IF($A168="","",IFERROR($AD168/$N168,""))</f>
        <v/>
      </c>
      <c r="AL168" s="92">
        <f>IF($A168="","",IFERROR($H168/$N168,""))</f>
        <v/>
      </c>
      <c r="AM168" s="92">
        <f>IF($A168="","",IFERROR(($P168-$Q168)/$P168*1000000,""))</f>
        <v/>
      </c>
      <c r="AN168" s="93">
        <f>IF($A168="","",IFERROR(($Q168+$R168)/$T168,""))</f>
        <v/>
      </c>
      <c r="AO168" s="93">
        <f>IF($A168="","",IFERROR($V168/$U168,""))</f>
        <v/>
      </c>
      <c r="AP168" s="92">
        <f>IF($A168="","",IFERROR(MAX(0,$AD168-$P168/$O168),""))</f>
        <v/>
      </c>
      <c r="AQ168" s="92">
        <f>IF($A168="","",IFERROR(($P168-$Q168)/$O168,""))</f>
        <v/>
      </c>
      <c r="AR168" s="94">
        <f>IF($A168="","",IF($F168="","Temps d'ouverture manquant",IF($O168="","Cadence produit inconnue",IF($G168&gt;$F168,"Arrêts planifiés &gt; temps d'ouverture",IF($AC168&gt;$AB168,"Arrêts subis &gt; temps requis",IF($P168&lt;&gt;$Q168+$R168+$S168,"Produite ≠ conforme + retouchée + rebutée",IF($Q168&gt;$P168,"Conforme &gt; produite",IF($V168&gt;$U168,"Présents &gt; prévus","OK"))))))))</f>
        <v/>
      </c>
      <c r="AS168" s="95">
        <f>IF($A168="",0,IF(AND(OR(COCKPIT!$H$4="Toutes",$C168=COCKPIT!$H$4),OR(COCKPIT!$K$4="Toutes",$B168=COCKPIT!$K$4)),1,0))</f>
        <v/>
      </c>
    </row>
    <row r="169" ht="15" customHeight="1">
      <c r="A169" s="87" t="n"/>
      <c r="B169" s="88" t="n"/>
      <c r="C169" s="88" t="n"/>
      <c r="D169" s="88" t="n"/>
      <c r="E169" s="88" t="n"/>
      <c r="F169" s="89" t="n"/>
      <c r="G169" s="89" t="n"/>
      <c r="H169" s="89" t="n"/>
      <c r="I169" s="89" t="n"/>
      <c r="J169" s="89" t="n"/>
      <c r="K169" s="89" t="n"/>
      <c r="L169" s="89" t="n"/>
      <c r="M169" s="89" t="n"/>
      <c r="N169" s="89" t="n"/>
      <c r="O169" s="90">
        <f>IF($E169="","",IFERROR(INDEX(PARAMETRES!$O$7:$O$36,MATCH($E169,PARAMETRES!$M$7:$M$36,0)),""))</f>
        <v/>
      </c>
      <c r="P169" s="89" t="n"/>
      <c r="Q169" s="89" t="n"/>
      <c r="R169" s="89" t="n"/>
      <c r="S169" s="89" t="n"/>
      <c r="T169" s="89" t="n"/>
      <c r="U169" s="91" t="n"/>
      <c r="V169" s="91" t="n"/>
      <c r="W169" s="91" t="n"/>
      <c r="X169" s="89" t="n"/>
      <c r="Y169" s="89" t="n"/>
      <c r="Z169" s="88" t="n"/>
      <c r="AA169" s="88" t="n"/>
      <c r="AB169" s="92">
        <f>IF($A169="","",MAX(0,$F169-$G169))</f>
        <v/>
      </c>
      <c r="AC169" s="92">
        <f>IF($A169="","",SUM($H169:$M169))</f>
        <v/>
      </c>
      <c r="AD169" s="92">
        <f>IF($A169="","",MAX(0,$AB169-$AC169))</f>
        <v/>
      </c>
      <c r="AE169" s="92">
        <f>IF($A169="","",IFERROR($Q169/$O169,""))</f>
        <v/>
      </c>
      <c r="AF169" s="93">
        <f>IF($A169="","",IFERROR($AD169/$AB169,""))</f>
        <v/>
      </c>
      <c r="AG169" s="93">
        <f>IF($A169="","",IFERROR(($P169/$O169)/$AD169,""))</f>
        <v/>
      </c>
      <c r="AH169" s="93">
        <f>IF($A169="","",IFERROR($Q169/$P169,""))</f>
        <v/>
      </c>
      <c r="AI169" s="93">
        <f>IF($A169="","",IFERROR($AF169*$AG169*$AH169,""))</f>
        <v/>
      </c>
      <c r="AJ169" s="93">
        <f>IF($A169="","",IFERROR($AE169/$F169,""))</f>
        <v/>
      </c>
      <c r="AK169" s="92">
        <f>IF($A169="","",IFERROR($AD169/$N169,""))</f>
        <v/>
      </c>
      <c r="AL169" s="92">
        <f>IF($A169="","",IFERROR($H169/$N169,""))</f>
        <v/>
      </c>
      <c r="AM169" s="92">
        <f>IF($A169="","",IFERROR(($P169-$Q169)/$P169*1000000,""))</f>
        <v/>
      </c>
      <c r="AN169" s="93">
        <f>IF($A169="","",IFERROR(($Q169+$R169)/$T169,""))</f>
        <v/>
      </c>
      <c r="AO169" s="93">
        <f>IF($A169="","",IFERROR($V169/$U169,""))</f>
        <v/>
      </c>
      <c r="AP169" s="92">
        <f>IF($A169="","",IFERROR(MAX(0,$AD169-$P169/$O169),""))</f>
        <v/>
      </c>
      <c r="AQ169" s="92">
        <f>IF($A169="","",IFERROR(($P169-$Q169)/$O169,""))</f>
        <v/>
      </c>
      <c r="AR169" s="94">
        <f>IF($A169="","",IF($F169="","Temps d'ouverture manquant",IF($O169="","Cadence produit inconnue",IF($G169&gt;$F169,"Arrêts planifiés &gt; temps d'ouverture",IF($AC169&gt;$AB169,"Arrêts subis &gt; temps requis",IF($P169&lt;&gt;$Q169+$R169+$S169,"Produite ≠ conforme + retouchée + rebutée",IF($Q169&gt;$P169,"Conforme &gt; produite",IF($V169&gt;$U169,"Présents &gt; prévus","OK"))))))))</f>
        <v/>
      </c>
      <c r="AS169" s="95">
        <f>IF($A169="",0,IF(AND(OR(COCKPIT!$H$4="Toutes",$C169=COCKPIT!$H$4),OR(COCKPIT!$K$4="Toutes",$B169=COCKPIT!$K$4)),1,0))</f>
        <v/>
      </c>
    </row>
    <row r="170" ht="15" customHeight="1">
      <c r="A170" s="87" t="n"/>
      <c r="B170" s="88" t="n"/>
      <c r="C170" s="88" t="n"/>
      <c r="D170" s="88" t="n"/>
      <c r="E170" s="88" t="n"/>
      <c r="F170" s="89" t="n"/>
      <c r="G170" s="89" t="n"/>
      <c r="H170" s="89" t="n"/>
      <c r="I170" s="89" t="n"/>
      <c r="J170" s="89" t="n"/>
      <c r="K170" s="89" t="n"/>
      <c r="L170" s="89" t="n"/>
      <c r="M170" s="89" t="n"/>
      <c r="N170" s="89" t="n"/>
      <c r="O170" s="90">
        <f>IF($E170="","",IFERROR(INDEX(PARAMETRES!$O$7:$O$36,MATCH($E170,PARAMETRES!$M$7:$M$36,0)),""))</f>
        <v/>
      </c>
      <c r="P170" s="89" t="n"/>
      <c r="Q170" s="89" t="n"/>
      <c r="R170" s="89" t="n"/>
      <c r="S170" s="89" t="n"/>
      <c r="T170" s="89" t="n"/>
      <c r="U170" s="91" t="n"/>
      <c r="V170" s="91" t="n"/>
      <c r="W170" s="91" t="n"/>
      <c r="X170" s="89" t="n"/>
      <c r="Y170" s="89" t="n"/>
      <c r="Z170" s="88" t="n"/>
      <c r="AA170" s="88" t="n"/>
      <c r="AB170" s="92">
        <f>IF($A170="","",MAX(0,$F170-$G170))</f>
        <v/>
      </c>
      <c r="AC170" s="92">
        <f>IF($A170="","",SUM($H170:$M170))</f>
        <v/>
      </c>
      <c r="AD170" s="92">
        <f>IF($A170="","",MAX(0,$AB170-$AC170))</f>
        <v/>
      </c>
      <c r="AE170" s="92">
        <f>IF($A170="","",IFERROR($Q170/$O170,""))</f>
        <v/>
      </c>
      <c r="AF170" s="93">
        <f>IF($A170="","",IFERROR($AD170/$AB170,""))</f>
        <v/>
      </c>
      <c r="AG170" s="93">
        <f>IF($A170="","",IFERROR(($P170/$O170)/$AD170,""))</f>
        <v/>
      </c>
      <c r="AH170" s="93">
        <f>IF($A170="","",IFERROR($Q170/$P170,""))</f>
        <v/>
      </c>
      <c r="AI170" s="93">
        <f>IF($A170="","",IFERROR($AF170*$AG170*$AH170,""))</f>
        <v/>
      </c>
      <c r="AJ170" s="93">
        <f>IF($A170="","",IFERROR($AE170/$F170,""))</f>
        <v/>
      </c>
      <c r="AK170" s="92">
        <f>IF($A170="","",IFERROR($AD170/$N170,""))</f>
        <v/>
      </c>
      <c r="AL170" s="92">
        <f>IF($A170="","",IFERROR($H170/$N170,""))</f>
        <v/>
      </c>
      <c r="AM170" s="92">
        <f>IF($A170="","",IFERROR(($P170-$Q170)/$P170*1000000,""))</f>
        <v/>
      </c>
      <c r="AN170" s="93">
        <f>IF($A170="","",IFERROR(($Q170+$R170)/$T170,""))</f>
        <v/>
      </c>
      <c r="AO170" s="93">
        <f>IF($A170="","",IFERROR($V170/$U170,""))</f>
        <v/>
      </c>
      <c r="AP170" s="92">
        <f>IF($A170="","",IFERROR(MAX(0,$AD170-$P170/$O170),""))</f>
        <v/>
      </c>
      <c r="AQ170" s="92">
        <f>IF($A170="","",IFERROR(($P170-$Q170)/$O170,""))</f>
        <v/>
      </c>
      <c r="AR170" s="94">
        <f>IF($A170="","",IF($F170="","Temps d'ouverture manquant",IF($O170="","Cadence produit inconnue",IF($G170&gt;$F170,"Arrêts planifiés &gt; temps d'ouverture",IF($AC170&gt;$AB170,"Arrêts subis &gt; temps requis",IF($P170&lt;&gt;$Q170+$R170+$S170,"Produite ≠ conforme + retouchée + rebutée",IF($Q170&gt;$P170,"Conforme &gt; produite",IF($V170&gt;$U170,"Présents &gt; prévus","OK"))))))))</f>
        <v/>
      </c>
      <c r="AS170" s="95">
        <f>IF($A170="",0,IF(AND(OR(COCKPIT!$H$4="Toutes",$C170=COCKPIT!$H$4),OR(COCKPIT!$K$4="Toutes",$B170=COCKPIT!$K$4)),1,0))</f>
        <v/>
      </c>
    </row>
    <row r="171" ht="15" customHeight="1">
      <c r="A171" s="87" t="n"/>
      <c r="B171" s="88" t="n"/>
      <c r="C171" s="88" t="n"/>
      <c r="D171" s="88" t="n"/>
      <c r="E171" s="88" t="n"/>
      <c r="F171" s="89" t="n"/>
      <c r="G171" s="89" t="n"/>
      <c r="H171" s="89" t="n"/>
      <c r="I171" s="89" t="n"/>
      <c r="J171" s="89" t="n"/>
      <c r="K171" s="89" t="n"/>
      <c r="L171" s="89" t="n"/>
      <c r="M171" s="89" t="n"/>
      <c r="N171" s="89" t="n"/>
      <c r="O171" s="90">
        <f>IF($E171="","",IFERROR(INDEX(PARAMETRES!$O$7:$O$36,MATCH($E171,PARAMETRES!$M$7:$M$36,0)),""))</f>
        <v/>
      </c>
      <c r="P171" s="89" t="n"/>
      <c r="Q171" s="89" t="n"/>
      <c r="R171" s="89" t="n"/>
      <c r="S171" s="89" t="n"/>
      <c r="T171" s="89" t="n"/>
      <c r="U171" s="91" t="n"/>
      <c r="V171" s="91" t="n"/>
      <c r="W171" s="91" t="n"/>
      <c r="X171" s="89" t="n"/>
      <c r="Y171" s="89" t="n"/>
      <c r="Z171" s="88" t="n"/>
      <c r="AA171" s="88" t="n"/>
      <c r="AB171" s="92">
        <f>IF($A171="","",MAX(0,$F171-$G171))</f>
        <v/>
      </c>
      <c r="AC171" s="92">
        <f>IF($A171="","",SUM($H171:$M171))</f>
        <v/>
      </c>
      <c r="AD171" s="92">
        <f>IF($A171="","",MAX(0,$AB171-$AC171))</f>
        <v/>
      </c>
      <c r="AE171" s="92">
        <f>IF($A171="","",IFERROR($Q171/$O171,""))</f>
        <v/>
      </c>
      <c r="AF171" s="93">
        <f>IF($A171="","",IFERROR($AD171/$AB171,""))</f>
        <v/>
      </c>
      <c r="AG171" s="93">
        <f>IF($A171="","",IFERROR(($P171/$O171)/$AD171,""))</f>
        <v/>
      </c>
      <c r="AH171" s="93">
        <f>IF($A171="","",IFERROR($Q171/$P171,""))</f>
        <v/>
      </c>
      <c r="AI171" s="93">
        <f>IF($A171="","",IFERROR($AF171*$AG171*$AH171,""))</f>
        <v/>
      </c>
      <c r="AJ171" s="93">
        <f>IF($A171="","",IFERROR($AE171/$F171,""))</f>
        <v/>
      </c>
      <c r="AK171" s="92">
        <f>IF($A171="","",IFERROR($AD171/$N171,""))</f>
        <v/>
      </c>
      <c r="AL171" s="92">
        <f>IF($A171="","",IFERROR($H171/$N171,""))</f>
        <v/>
      </c>
      <c r="AM171" s="92">
        <f>IF($A171="","",IFERROR(($P171-$Q171)/$P171*1000000,""))</f>
        <v/>
      </c>
      <c r="AN171" s="93">
        <f>IF($A171="","",IFERROR(($Q171+$R171)/$T171,""))</f>
        <v/>
      </c>
      <c r="AO171" s="93">
        <f>IF($A171="","",IFERROR($V171/$U171,""))</f>
        <v/>
      </c>
      <c r="AP171" s="92">
        <f>IF($A171="","",IFERROR(MAX(0,$AD171-$P171/$O171),""))</f>
        <v/>
      </c>
      <c r="AQ171" s="92">
        <f>IF($A171="","",IFERROR(($P171-$Q171)/$O171,""))</f>
        <v/>
      </c>
      <c r="AR171" s="94">
        <f>IF($A171="","",IF($F171="","Temps d'ouverture manquant",IF($O171="","Cadence produit inconnue",IF($G171&gt;$F171,"Arrêts planifiés &gt; temps d'ouverture",IF($AC171&gt;$AB171,"Arrêts subis &gt; temps requis",IF($P171&lt;&gt;$Q171+$R171+$S171,"Produite ≠ conforme + retouchée + rebutée",IF($Q171&gt;$P171,"Conforme &gt; produite",IF($V171&gt;$U171,"Présents &gt; prévus","OK"))))))))</f>
        <v/>
      </c>
      <c r="AS171" s="95">
        <f>IF($A171="",0,IF(AND(OR(COCKPIT!$H$4="Toutes",$C171=COCKPIT!$H$4),OR(COCKPIT!$K$4="Toutes",$B171=COCKPIT!$K$4)),1,0))</f>
        <v/>
      </c>
    </row>
    <row r="172" ht="15" customHeight="1">
      <c r="A172" s="87" t="n"/>
      <c r="B172" s="88" t="n"/>
      <c r="C172" s="88" t="n"/>
      <c r="D172" s="88" t="n"/>
      <c r="E172" s="88" t="n"/>
      <c r="F172" s="89" t="n"/>
      <c r="G172" s="89" t="n"/>
      <c r="H172" s="89" t="n"/>
      <c r="I172" s="89" t="n"/>
      <c r="J172" s="89" t="n"/>
      <c r="K172" s="89" t="n"/>
      <c r="L172" s="89" t="n"/>
      <c r="M172" s="89" t="n"/>
      <c r="N172" s="89" t="n"/>
      <c r="O172" s="90">
        <f>IF($E172="","",IFERROR(INDEX(PARAMETRES!$O$7:$O$36,MATCH($E172,PARAMETRES!$M$7:$M$36,0)),""))</f>
        <v/>
      </c>
      <c r="P172" s="89" t="n"/>
      <c r="Q172" s="89" t="n"/>
      <c r="R172" s="89" t="n"/>
      <c r="S172" s="89" t="n"/>
      <c r="T172" s="89" t="n"/>
      <c r="U172" s="91" t="n"/>
      <c r="V172" s="91" t="n"/>
      <c r="W172" s="91" t="n"/>
      <c r="X172" s="89" t="n"/>
      <c r="Y172" s="89" t="n"/>
      <c r="Z172" s="88" t="n"/>
      <c r="AA172" s="88" t="n"/>
      <c r="AB172" s="92">
        <f>IF($A172="","",MAX(0,$F172-$G172))</f>
        <v/>
      </c>
      <c r="AC172" s="92">
        <f>IF($A172="","",SUM($H172:$M172))</f>
        <v/>
      </c>
      <c r="AD172" s="92">
        <f>IF($A172="","",MAX(0,$AB172-$AC172))</f>
        <v/>
      </c>
      <c r="AE172" s="92">
        <f>IF($A172="","",IFERROR($Q172/$O172,""))</f>
        <v/>
      </c>
      <c r="AF172" s="93">
        <f>IF($A172="","",IFERROR($AD172/$AB172,""))</f>
        <v/>
      </c>
      <c r="AG172" s="93">
        <f>IF($A172="","",IFERROR(($P172/$O172)/$AD172,""))</f>
        <v/>
      </c>
      <c r="AH172" s="93">
        <f>IF($A172="","",IFERROR($Q172/$P172,""))</f>
        <v/>
      </c>
      <c r="AI172" s="93">
        <f>IF($A172="","",IFERROR($AF172*$AG172*$AH172,""))</f>
        <v/>
      </c>
      <c r="AJ172" s="93">
        <f>IF($A172="","",IFERROR($AE172/$F172,""))</f>
        <v/>
      </c>
      <c r="AK172" s="92">
        <f>IF($A172="","",IFERROR($AD172/$N172,""))</f>
        <v/>
      </c>
      <c r="AL172" s="92">
        <f>IF($A172="","",IFERROR($H172/$N172,""))</f>
        <v/>
      </c>
      <c r="AM172" s="92">
        <f>IF($A172="","",IFERROR(($P172-$Q172)/$P172*1000000,""))</f>
        <v/>
      </c>
      <c r="AN172" s="93">
        <f>IF($A172="","",IFERROR(($Q172+$R172)/$T172,""))</f>
        <v/>
      </c>
      <c r="AO172" s="93">
        <f>IF($A172="","",IFERROR($V172/$U172,""))</f>
        <v/>
      </c>
      <c r="AP172" s="92">
        <f>IF($A172="","",IFERROR(MAX(0,$AD172-$P172/$O172),""))</f>
        <v/>
      </c>
      <c r="AQ172" s="92">
        <f>IF($A172="","",IFERROR(($P172-$Q172)/$O172,""))</f>
        <v/>
      </c>
      <c r="AR172" s="94">
        <f>IF($A172="","",IF($F172="","Temps d'ouverture manquant",IF($O172="","Cadence produit inconnue",IF($G172&gt;$F172,"Arrêts planifiés &gt; temps d'ouverture",IF($AC172&gt;$AB172,"Arrêts subis &gt; temps requis",IF($P172&lt;&gt;$Q172+$R172+$S172,"Produite ≠ conforme + retouchée + rebutée",IF($Q172&gt;$P172,"Conforme &gt; produite",IF($V172&gt;$U172,"Présents &gt; prévus","OK"))))))))</f>
        <v/>
      </c>
      <c r="AS172" s="95">
        <f>IF($A172="",0,IF(AND(OR(COCKPIT!$H$4="Toutes",$C172=COCKPIT!$H$4),OR(COCKPIT!$K$4="Toutes",$B172=COCKPIT!$K$4)),1,0))</f>
        <v/>
      </c>
    </row>
    <row r="173" ht="15" customHeight="1">
      <c r="A173" s="87" t="n"/>
      <c r="B173" s="88" t="n"/>
      <c r="C173" s="88" t="n"/>
      <c r="D173" s="88" t="n"/>
      <c r="E173" s="88" t="n"/>
      <c r="F173" s="89" t="n"/>
      <c r="G173" s="89" t="n"/>
      <c r="H173" s="89" t="n"/>
      <c r="I173" s="89" t="n"/>
      <c r="J173" s="89" t="n"/>
      <c r="K173" s="89" t="n"/>
      <c r="L173" s="89" t="n"/>
      <c r="M173" s="89" t="n"/>
      <c r="N173" s="89" t="n"/>
      <c r="O173" s="90">
        <f>IF($E173="","",IFERROR(INDEX(PARAMETRES!$O$7:$O$36,MATCH($E173,PARAMETRES!$M$7:$M$36,0)),""))</f>
        <v/>
      </c>
      <c r="P173" s="89" t="n"/>
      <c r="Q173" s="89" t="n"/>
      <c r="R173" s="89" t="n"/>
      <c r="S173" s="89" t="n"/>
      <c r="T173" s="89" t="n"/>
      <c r="U173" s="91" t="n"/>
      <c r="V173" s="91" t="n"/>
      <c r="W173" s="91" t="n"/>
      <c r="X173" s="89" t="n"/>
      <c r="Y173" s="89" t="n"/>
      <c r="Z173" s="88" t="n"/>
      <c r="AA173" s="88" t="n"/>
      <c r="AB173" s="92">
        <f>IF($A173="","",MAX(0,$F173-$G173))</f>
        <v/>
      </c>
      <c r="AC173" s="92">
        <f>IF($A173="","",SUM($H173:$M173))</f>
        <v/>
      </c>
      <c r="AD173" s="92">
        <f>IF($A173="","",MAX(0,$AB173-$AC173))</f>
        <v/>
      </c>
      <c r="AE173" s="92">
        <f>IF($A173="","",IFERROR($Q173/$O173,""))</f>
        <v/>
      </c>
      <c r="AF173" s="93">
        <f>IF($A173="","",IFERROR($AD173/$AB173,""))</f>
        <v/>
      </c>
      <c r="AG173" s="93">
        <f>IF($A173="","",IFERROR(($P173/$O173)/$AD173,""))</f>
        <v/>
      </c>
      <c r="AH173" s="93">
        <f>IF($A173="","",IFERROR($Q173/$P173,""))</f>
        <v/>
      </c>
      <c r="AI173" s="93">
        <f>IF($A173="","",IFERROR($AF173*$AG173*$AH173,""))</f>
        <v/>
      </c>
      <c r="AJ173" s="93">
        <f>IF($A173="","",IFERROR($AE173/$F173,""))</f>
        <v/>
      </c>
      <c r="AK173" s="92">
        <f>IF($A173="","",IFERROR($AD173/$N173,""))</f>
        <v/>
      </c>
      <c r="AL173" s="92">
        <f>IF($A173="","",IFERROR($H173/$N173,""))</f>
        <v/>
      </c>
      <c r="AM173" s="92">
        <f>IF($A173="","",IFERROR(($P173-$Q173)/$P173*1000000,""))</f>
        <v/>
      </c>
      <c r="AN173" s="93">
        <f>IF($A173="","",IFERROR(($Q173+$R173)/$T173,""))</f>
        <v/>
      </c>
      <c r="AO173" s="93">
        <f>IF($A173="","",IFERROR($V173/$U173,""))</f>
        <v/>
      </c>
      <c r="AP173" s="92">
        <f>IF($A173="","",IFERROR(MAX(0,$AD173-$P173/$O173),""))</f>
        <v/>
      </c>
      <c r="AQ173" s="92">
        <f>IF($A173="","",IFERROR(($P173-$Q173)/$O173,""))</f>
        <v/>
      </c>
      <c r="AR173" s="94">
        <f>IF($A173="","",IF($F173="","Temps d'ouverture manquant",IF($O173="","Cadence produit inconnue",IF($G173&gt;$F173,"Arrêts planifiés &gt; temps d'ouverture",IF($AC173&gt;$AB173,"Arrêts subis &gt; temps requis",IF($P173&lt;&gt;$Q173+$R173+$S173,"Produite ≠ conforme + retouchée + rebutée",IF($Q173&gt;$P173,"Conforme &gt; produite",IF($V173&gt;$U173,"Présents &gt; prévus","OK"))))))))</f>
        <v/>
      </c>
      <c r="AS173" s="95">
        <f>IF($A173="",0,IF(AND(OR(COCKPIT!$H$4="Toutes",$C173=COCKPIT!$H$4),OR(COCKPIT!$K$4="Toutes",$B173=COCKPIT!$K$4)),1,0))</f>
        <v/>
      </c>
    </row>
    <row r="174" ht="15" customHeight="1">
      <c r="A174" s="87" t="n"/>
      <c r="B174" s="88" t="n"/>
      <c r="C174" s="88" t="n"/>
      <c r="D174" s="88" t="n"/>
      <c r="E174" s="88" t="n"/>
      <c r="F174" s="89" t="n"/>
      <c r="G174" s="89" t="n"/>
      <c r="H174" s="89" t="n"/>
      <c r="I174" s="89" t="n"/>
      <c r="J174" s="89" t="n"/>
      <c r="K174" s="89" t="n"/>
      <c r="L174" s="89" t="n"/>
      <c r="M174" s="89" t="n"/>
      <c r="N174" s="89" t="n"/>
      <c r="O174" s="90">
        <f>IF($E174="","",IFERROR(INDEX(PARAMETRES!$O$7:$O$36,MATCH($E174,PARAMETRES!$M$7:$M$36,0)),""))</f>
        <v/>
      </c>
      <c r="P174" s="89" t="n"/>
      <c r="Q174" s="89" t="n"/>
      <c r="R174" s="89" t="n"/>
      <c r="S174" s="89" t="n"/>
      <c r="T174" s="89" t="n"/>
      <c r="U174" s="91" t="n"/>
      <c r="V174" s="91" t="n"/>
      <c r="W174" s="91" t="n"/>
      <c r="X174" s="89" t="n"/>
      <c r="Y174" s="89" t="n"/>
      <c r="Z174" s="88" t="n"/>
      <c r="AA174" s="88" t="n"/>
      <c r="AB174" s="92">
        <f>IF($A174="","",MAX(0,$F174-$G174))</f>
        <v/>
      </c>
      <c r="AC174" s="92">
        <f>IF($A174="","",SUM($H174:$M174))</f>
        <v/>
      </c>
      <c r="AD174" s="92">
        <f>IF($A174="","",MAX(0,$AB174-$AC174))</f>
        <v/>
      </c>
      <c r="AE174" s="92">
        <f>IF($A174="","",IFERROR($Q174/$O174,""))</f>
        <v/>
      </c>
      <c r="AF174" s="93">
        <f>IF($A174="","",IFERROR($AD174/$AB174,""))</f>
        <v/>
      </c>
      <c r="AG174" s="93">
        <f>IF($A174="","",IFERROR(($P174/$O174)/$AD174,""))</f>
        <v/>
      </c>
      <c r="AH174" s="93">
        <f>IF($A174="","",IFERROR($Q174/$P174,""))</f>
        <v/>
      </c>
      <c r="AI174" s="93">
        <f>IF($A174="","",IFERROR($AF174*$AG174*$AH174,""))</f>
        <v/>
      </c>
      <c r="AJ174" s="93">
        <f>IF($A174="","",IFERROR($AE174/$F174,""))</f>
        <v/>
      </c>
      <c r="AK174" s="92">
        <f>IF($A174="","",IFERROR($AD174/$N174,""))</f>
        <v/>
      </c>
      <c r="AL174" s="92">
        <f>IF($A174="","",IFERROR($H174/$N174,""))</f>
        <v/>
      </c>
      <c r="AM174" s="92">
        <f>IF($A174="","",IFERROR(($P174-$Q174)/$P174*1000000,""))</f>
        <v/>
      </c>
      <c r="AN174" s="93">
        <f>IF($A174="","",IFERROR(($Q174+$R174)/$T174,""))</f>
        <v/>
      </c>
      <c r="AO174" s="93">
        <f>IF($A174="","",IFERROR($V174/$U174,""))</f>
        <v/>
      </c>
      <c r="AP174" s="92">
        <f>IF($A174="","",IFERROR(MAX(0,$AD174-$P174/$O174),""))</f>
        <v/>
      </c>
      <c r="AQ174" s="92">
        <f>IF($A174="","",IFERROR(($P174-$Q174)/$O174,""))</f>
        <v/>
      </c>
      <c r="AR174" s="94">
        <f>IF($A174="","",IF($F174="","Temps d'ouverture manquant",IF($O174="","Cadence produit inconnue",IF($G174&gt;$F174,"Arrêts planifiés &gt; temps d'ouverture",IF($AC174&gt;$AB174,"Arrêts subis &gt; temps requis",IF($P174&lt;&gt;$Q174+$R174+$S174,"Produite ≠ conforme + retouchée + rebutée",IF($Q174&gt;$P174,"Conforme &gt; produite",IF($V174&gt;$U174,"Présents &gt; prévus","OK"))))))))</f>
        <v/>
      </c>
      <c r="AS174" s="95">
        <f>IF($A174="",0,IF(AND(OR(COCKPIT!$H$4="Toutes",$C174=COCKPIT!$H$4),OR(COCKPIT!$K$4="Toutes",$B174=COCKPIT!$K$4)),1,0))</f>
        <v/>
      </c>
    </row>
    <row r="175" ht="15" customHeight="1">
      <c r="A175" s="87" t="n"/>
      <c r="B175" s="88" t="n"/>
      <c r="C175" s="88" t="n"/>
      <c r="D175" s="88" t="n"/>
      <c r="E175" s="88" t="n"/>
      <c r="F175" s="89" t="n"/>
      <c r="G175" s="89" t="n"/>
      <c r="H175" s="89" t="n"/>
      <c r="I175" s="89" t="n"/>
      <c r="J175" s="89" t="n"/>
      <c r="K175" s="89" t="n"/>
      <c r="L175" s="89" t="n"/>
      <c r="M175" s="89" t="n"/>
      <c r="N175" s="89" t="n"/>
      <c r="O175" s="90">
        <f>IF($E175="","",IFERROR(INDEX(PARAMETRES!$O$7:$O$36,MATCH($E175,PARAMETRES!$M$7:$M$36,0)),""))</f>
        <v/>
      </c>
      <c r="P175" s="89" t="n"/>
      <c r="Q175" s="89" t="n"/>
      <c r="R175" s="89" t="n"/>
      <c r="S175" s="89" t="n"/>
      <c r="T175" s="89" t="n"/>
      <c r="U175" s="91" t="n"/>
      <c r="V175" s="91" t="n"/>
      <c r="W175" s="91" t="n"/>
      <c r="X175" s="89" t="n"/>
      <c r="Y175" s="89" t="n"/>
      <c r="Z175" s="88" t="n"/>
      <c r="AA175" s="88" t="n"/>
      <c r="AB175" s="92">
        <f>IF($A175="","",MAX(0,$F175-$G175))</f>
        <v/>
      </c>
      <c r="AC175" s="92">
        <f>IF($A175="","",SUM($H175:$M175))</f>
        <v/>
      </c>
      <c r="AD175" s="92">
        <f>IF($A175="","",MAX(0,$AB175-$AC175))</f>
        <v/>
      </c>
      <c r="AE175" s="92">
        <f>IF($A175="","",IFERROR($Q175/$O175,""))</f>
        <v/>
      </c>
      <c r="AF175" s="93">
        <f>IF($A175="","",IFERROR($AD175/$AB175,""))</f>
        <v/>
      </c>
      <c r="AG175" s="93">
        <f>IF($A175="","",IFERROR(($P175/$O175)/$AD175,""))</f>
        <v/>
      </c>
      <c r="AH175" s="93">
        <f>IF($A175="","",IFERROR($Q175/$P175,""))</f>
        <v/>
      </c>
      <c r="AI175" s="93">
        <f>IF($A175="","",IFERROR($AF175*$AG175*$AH175,""))</f>
        <v/>
      </c>
      <c r="AJ175" s="93">
        <f>IF($A175="","",IFERROR($AE175/$F175,""))</f>
        <v/>
      </c>
      <c r="AK175" s="92">
        <f>IF($A175="","",IFERROR($AD175/$N175,""))</f>
        <v/>
      </c>
      <c r="AL175" s="92">
        <f>IF($A175="","",IFERROR($H175/$N175,""))</f>
        <v/>
      </c>
      <c r="AM175" s="92">
        <f>IF($A175="","",IFERROR(($P175-$Q175)/$P175*1000000,""))</f>
        <v/>
      </c>
      <c r="AN175" s="93">
        <f>IF($A175="","",IFERROR(($Q175+$R175)/$T175,""))</f>
        <v/>
      </c>
      <c r="AO175" s="93">
        <f>IF($A175="","",IFERROR($V175/$U175,""))</f>
        <v/>
      </c>
      <c r="AP175" s="92">
        <f>IF($A175="","",IFERROR(MAX(0,$AD175-$P175/$O175),""))</f>
        <v/>
      </c>
      <c r="AQ175" s="92">
        <f>IF($A175="","",IFERROR(($P175-$Q175)/$O175,""))</f>
        <v/>
      </c>
      <c r="AR175" s="94">
        <f>IF($A175="","",IF($F175="","Temps d'ouverture manquant",IF($O175="","Cadence produit inconnue",IF($G175&gt;$F175,"Arrêts planifiés &gt; temps d'ouverture",IF($AC175&gt;$AB175,"Arrêts subis &gt; temps requis",IF($P175&lt;&gt;$Q175+$R175+$S175,"Produite ≠ conforme + retouchée + rebutée",IF($Q175&gt;$P175,"Conforme &gt; produite",IF($V175&gt;$U175,"Présents &gt; prévus","OK"))))))))</f>
        <v/>
      </c>
      <c r="AS175" s="95">
        <f>IF($A175="",0,IF(AND(OR(COCKPIT!$H$4="Toutes",$C175=COCKPIT!$H$4),OR(COCKPIT!$K$4="Toutes",$B175=COCKPIT!$K$4)),1,0))</f>
        <v/>
      </c>
    </row>
    <row r="176" ht="15" customHeight="1">
      <c r="A176" s="87" t="n"/>
      <c r="B176" s="88" t="n"/>
      <c r="C176" s="88" t="n"/>
      <c r="D176" s="88" t="n"/>
      <c r="E176" s="88" t="n"/>
      <c r="F176" s="89" t="n"/>
      <c r="G176" s="89" t="n"/>
      <c r="H176" s="89" t="n"/>
      <c r="I176" s="89" t="n"/>
      <c r="J176" s="89" t="n"/>
      <c r="K176" s="89" t="n"/>
      <c r="L176" s="89" t="n"/>
      <c r="M176" s="89" t="n"/>
      <c r="N176" s="89" t="n"/>
      <c r="O176" s="90">
        <f>IF($E176="","",IFERROR(INDEX(PARAMETRES!$O$7:$O$36,MATCH($E176,PARAMETRES!$M$7:$M$36,0)),""))</f>
        <v/>
      </c>
      <c r="P176" s="89" t="n"/>
      <c r="Q176" s="89" t="n"/>
      <c r="R176" s="89" t="n"/>
      <c r="S176" s="89" t="n"/>
      <c r="T176" s="89" t="n"/>
      <c r="U176" s="91" t="n"/>
      <c r="V176" s="91" t="n"/>
      <c r="W176" s="91" t="n"/>
      <c r="X176" s="89" t="n"/>
      <c r="Y176" s="89" t="n"/>
      <c r="Z176" s="88" t="n"/>
      <c r="AA176" s="88" t="n"/>
      <c r="AB176" s="92">
        <f>IF($A176="","",MAX(0,$F176-$G176))</f>
        <v/>
      </c>
      <c r="AC176" s="92">
        <f>IF($A176="","",SUM($H176:$M176))</f>
        <v/>
      </c>
      <c r="AD176" s="92">
        <f>IF($A176="","",MAX(0,$AB176-$AC176))</f>
        <v/>
      </c>
      <c r="AE176" s="92">
        <f>IF($A176="","",IFERROR($Q176/$O176,""))</f>
        <v/>
      </c>
      <c r="AF176" s="93">
        <f>IF($A176="","",IFERROR($AD176/$AB176,""))</f>
        <v/>
      </c>
      <c r="AG176" s="93">
        <f>IF($A176="","",IFERROR(($P176/$O176)/$AD176,""))</f>
        <v/>
      </c>
      <c r="AH176" s="93">
        <f>IF($A176="","",IFERROR($Q176/$P176,""))</f>
        <v/>
      </c>
      <c r="AI176" s="93">
        <f>IF($A176="","",IFERROR($AF176*$AG176*$AH176,""))</f>
        <v/>
      </c>
      <c r="AJ176" s="93">
        <f>IF($A176="","",IFERROR($AE176/$F176,""))</f>
        <v/>
      </c>
      <c r="AK176" s="92">
        <f>IF($A176="","",IFERROR($AD176/$N176,""))</f>
        <v/>
      </c>
      <c r="AL176" s="92">
        <f>IF($A176="","",IFERROR($H176/$N176,""))</f>
        <v/>
      </c>
      <c r="AM176" s="92">
        <f>IF($A176="","",IFERROR(($P176-$Q176)/$P176*1000000,""))</f>
        <v/>
      </c>
      <c r="AN176" s="93">
        <f>IF($A176="","",IFERROR(($Q176+$R176)/$T176,""))</f>
        <v/>
      </c>
      <c r="AO176" s="93">
        <f>IF($A176="","",IFERROR($V176/$U176,""))</f>
        <v/>
      </c>
      <c r="AP176" s="92">
        <f>IF($A176="","",IFERROR(MAX(0,$AD176-$P176/$O176),""))</f>
        <v/>
      </c>
      <c r="AQ176" s="92">
        <f>IF($A176="","",IFERROR(($P176-$Q176)/$O176,""))</f>
        <v/>
      </c>
      <c r="AR176" s="94">
        <f>IF($A176="","",IF($F176="","Temps d'ouverture manquant",IF($O176="","Cadence produit inconnue",IF($G176&gt;$F176,"Arrêts planifiés &gt; temps d'ouverture",IF($AC176&gt;$AB176,"Arrêts subis &gt; temps requis",IF($P176&lt;&gt;$Q176+$R176+$S176,"Produite ≠ conforme + retouchée + rebutée",IF($Q176&gt;$P176,"Conforme &gt; produite",IF($V176&gt;$U176,"Présents &gt; prévus","OK"))))))))</f>
        <v/>
      </c>
      <c r="AS176" s="95">
        <f>IF($A176="",0,IF(AND(OR(COCKPIT!$H$4="Toutes",$C176=COCKPIT!$H$4),OR(COCKPIT!$K$4="Toutes",$B176=COCKPIT!$K$4)),1,0))</f>
        <v/>
      </c>
    </row>
    <row r="177" ht="15" customHeight="1">
      <c r="A177" s="87" t="n"/>
      <c r="B177" s="88" t="n"/>
      <c r="C177" s="88" t="n"/>
      <c r="D177" s="88" t="n"/>
      <c r="E177" s="88" t="n"/>
      <c r="F177" s="89" t="n"/>
      <c r="G177" s="89" t="n"/>
      <c r="H177" s="89" t="n"/>
      <c r="I177" s="89" t="n"/>
      <c r="J177" s="89" t="n"/>
      <c r="K177" s="89" t="n"/>
      <c r="L177" s="89" t="n"/>
      <c r="M177" s="89" t="n"/>
      <c r="N177" s="89" t="n"/>
      <c r="O177" s="90">
        <f>IF($E177="","",IFERROR(INDEX(PARAMETRES!$O$7:$O$36,MATCH($E177,PARAMETRES!$M$7:$M$36,0)),""))</f>
        <v/>
      </c>
      <c r="P177" s="89" t="n"/>
      <c r="Q177" s="89" t="n"/>
      <c r="R177" s="89" t="n"/>
      <c r="S177" s="89" t="n"/>
      <c r="T177" s="89" t="n"/>
      <c r="U177" s="91" t="n"/>
      <c r="V177" s="91" t="n"/>
      <c r="W177" s="91" t="n"/>
      <c r="X177" s="89" t="n"/>
      <c r="Y177" s="89" t="n"/>
      <c r="Z177" s="88" t="n"/>
      <c r="AA177" s="88" t="n"/>
      <c r="AB177" s="92">
        <f>IF($A177="","",MAX(0,$F177-$G177))</f>
        <v/>
      </c>
      <c r="AC177" s="92">
        <f>IF($A177="","",SUM($H177:$M177))</f>
        <v/>
      </c>
      <c r="AD177" s="92">
        <f>IF($A177="","",MAX(0,$AB177-$AC177))</f>
        <v/>
      </c>
      <c r="AE177" s="92">
        <f>IF($A177="","",IFERROR($Q177/$O177,""))</f>
        <v/>
      </c>
      <c r="AF177" s="93">
        <f>IF($A177="","",IFERROR($AD177/$AB177,""))</f>
        <v/>
      </c>
      <c r="AG177" s="93">
        <f>IF($A177="","",IFERROR(($P177/$O177)/$AD177,""))</f>
        <v/>
      </c>
      <c r="AH177" s="93">
        <f>IF($A177="","",IFERROR($Q177/$P177,""))</f>
        <v/>
      </c>
      <c r="AI177" s="93">
        <f>IF($A177="","",IFERROR($AF177*$AG177*$AH177,""))</f>
        <v/>
      </c>
      <c r="AJ177" s="93">
        <f>IF($A177="","",IFERROR($AE177/$F177,""))</f>
        <v/>
      </c>
      <c r="AK177" s="92">
        <f>IF($A177="","",IFERROR($AD177/$N177,""))</f>
        <v/>
      </c>
      <c r="AL177" s="92">
        <f>IF($A177="","",IFERROR($H177/$N177,""))</f>
        <v/>
      </c>
      <c r="AM177" s="92">
        <f>IF($A177="","",IFERROR(($P177-$Q177)/$P177*1000000,""))</f>
        <v/>
      </c>
      <c r="AN177" s="93">
        <f>IF($A177="","",IFERROR(($Q177+$R177)/$T177,""))</f>
        <v/>
      </c>
      <c r="AO177" s="93">
        <f>IF($A177="","",IFERROR($V177/$U177,""))</f>
        <v/>
      </c>
      <c r="AP177" s="92">
        <f>IF($A177="","",IFERROR(MAX(0,$AD177-$P177/$O177),""))</f>
        <v/>
      </c>
      <c r="AQ177" s="92">
        <f>IF($A177="","",IFERROR(($P177-$Q177)/$O177,""))</f>
        <v/>
      </c>
      <c r="AR177" s="94">
        <f>IF($A177="","",IF($F177="","Temps d'ouverture manquant",IF($O177="","Cadence produit inconnue",IF($G177&gt;$F177,"Arrêts planifiés &gt; temps d'ouverture",IF($AC177&gt;$AB177,"Arrêts subis &gt; temps requis",IF($P177&lt;&gt;$Q177+$R177+$S177,"Produite ≠ conforme + retouchée + rebutée",IF($Q177&gt;$P177,"Conforme &gt; produite",IF($V177&gt;$U177,"Présents &gt; prévus","OK"))))))))</f>
        <v/>
      </c>
      <c r="AS177" s="95">
        <f>IF($A177="",0,IF(AND(OR(COCKPIT!$H$4="Toutes",$C177=COCKPIT!$H$4),OR(COCKPIT!$K$4="Toutes",$B177=COCKPIT!$K$4)),1,0))</f>
        <v/>
      </c>
    </row>
    <row r="178" ht="15" customHeight="1">
      <c r="A178" s="87" t="n"/>
      <c r="B178" s="88" t="n"/>
      <c r="C178" s="88" t="n"/>
      <c r="D178" s="88" t="n"/>
      <c r="E178" s="88" t="n"/>
      <c r="F178" s="89" t="n"/>
      <c r="G178" s="89" t="n"/>
      <c r="H178" s="89" t="n"/>
      <c r="I178" s="89" t="n"/>
      <c r="J178" s="89" t="n"/>
      <c r="K178" s="89" t="n"/>
      <c r="L178" s="89" t="n"/>
      <c r="M178" s="89" t="n"/>
      <c r="N178" s="89" t="n"/>
      <c r="O178" s="90">
        <f>IF($E178="","",IFERROR(INDEX(PARAMETRES!$O$7:$O$36,MATCH($E178,PARAMETRES!$M$7:$M$36,0)),""))</f>
        <v/>
      </c>
      <c r="P178" s="89" t="n"/>
      <c r="Q178" s="89" t="n"/>
      <c r="R178" s="89" t="n"/>
      <c r="S178" s="89" t="n"/>
      <c r="T178" s="89" t="n"/>
      <c r="U178" s="91" t="n"/>
      <c r="V178" s="91" t="n"/>
      <c r="W178" s="91" t="n"/>
      <c r="X178" s="89" t="n"/>
      <c r="Y178" s="89" t="n"/>
      <c r="Z178" s="88" t="n"/>
      <c r="AA178" s="88" t="n"/>
      <c r="AB178" s="92">
        <f>IF($A178="","",MAX(0,$F178-$G178))</f>
        <v/>
      </c>
      <c r="AC178" s="92">
        <f>IF($A178="","",SUM($H178:$M178))</f>
        <v/>
      </c>
      <c r="AD178" s="92">
        <f>IF($A178="","",MAX(0,$AB178-$AC178))</f>
        <v/>
      </c>
      <c r="AE178" s="92">
        <f>IF($A178="","",IFERROR($Q178/$O178,""))</f>
        <v/>
      </c>
      <c r="AF178" s="93">
        <f>IF($A178="","",IFERROR($AD178/$AB178,""))</f>
        <v/>
      </c>
      <c r="AG178" s="93">
        <f>IF($A178="","",IFERROR(($P178/$O178)/$AD178,""))</f>
        <v/>
      </c>
      <c r="AH178" s="93">
        <f>IF($A178="","",IFERROR($Q178/$P178,""))</f>
        <v/>
      </c>
      <c r="AI178" s="93">
        <f>IF($A178="","",IFERROR($AF178*$AG178*$AH178,""))</f>
        <v/>
      </c>
      <c r="AJ178" s="93">
        <f>IF($A178="","",IFERROR($AE178/$F178,""))</f>
        <v/>
      </c>
      <c r="AK178" s="92">
        <f>IF($A178="","",IFERROR($AD178/$N178,""))</f>
        <v/>
      </c>
      <c r="AL178" s="92">
        <f>IF($A178="","",IFERROR($H178/$N178,""))</f>
        <v/>
      </c>
      <c r="AM178" s="92">
        <f>IF($A178="","",IFERROR(($P178-$Q178)/$P178*1000000,""))</f>
        <v/>
      </c>
      <c r="AN178" s="93">
        <f>IF($A178="","",IFERROR(($Q178+$R178)/$T178,""))</f>
        <v/>
      </c>
      <c r="AO178" s="93">
        <f>IF($A178="","",IFERROR($V178/$U178,""))</f>
        <v/>
      </c>
      <c r="AP178" s="92">
        <f>IF($A178="","",IFERROR(MAX(0,$AD178-$P178/$O178),""))</f>
        <v/>
      </c>
      <c r="AQ178" s="92">
        <f>IF($A178="","",IFERROR(($P178-$Q178)/$O178,""))</f>
        <v/>
      </c>
      <c r="AR178" s="94">
        <f>IF($A178="","",IF($F178="","Temps d'ouverture manquant",IF($O178="","Cadence produit inconnue",IF($G178&gt;$F178,"Arrêts planifiés &gt; temps d'ouverture",IF($AC178&gt;$AB178,"Arrêts subis &gt; temps requis",IF($P178&lt;&gt;$Q178+$R178+$S178,"Produite ≠ conforme + retouchée + rebutée",IF($Q178&gt;$P178,"Conforme &gt; produite",IF($V178&gt;$U178,"Présents &gt; prévus","OK"))))))))</f>
        <v/>
      </c>
      <c r="AS178" s="95">
        <f>IF($A178="",0,IF(AND(OR(COCKPIT!$H$4="Toutes",$C178=COCKPIT!$H$4),OR(COCKPIT!$K$4="Toutes",$B178=COCKPIT!$K$4)),1,0))</f>
        <v/>
      </c>
    </row>
    <row r="179" ht="15" customHeight="1">
      <c r="A179" s="87" t="n"/>
      <c r="B179" s="88" t="n"/>
      <c r="C179" s="88" t="n"/>
      <c r="D179" s="88" t="n"/>
      <c r="E179" s="88" t="n"/>
      <c r="F179" s="89" t="n"/>
      <c r="G179" s="89" t="n"/>
      <c r="H179" s="89" t="n"/>
      <c r="I179" s="89" t="n"/>
      <c r="J179" s="89" t="n"/>
      <c r="K179" s="89" t="n"/>
      <c r="L179" s="89" t="n"/>
      <c r="M179" s="89" t="n"/>
      <c r="N179" s="89" t="n"/>
      <c r="O179" s="90">
        <f>IF($E179="","",IFERROR(INDEX(PARAMETRES!$O$7:$O$36,MATCH($E179,PARAMETRES!$M$7:$M$36,0)),""))</f>
        <v/>
      </c>
      <c r="P179" s="89" t="n"/>
      <c r="Q179" s="89" t="n"/>
      <c r="R179" s="89" t="n"/>
      <c r="S179" s="89" t="n"/>
      <c r="T179" s="89" t="n"/>
      <c r="U179" s="91" t="n"/>
      <c r="V179" s="91" t="n"/>
      <c r="W179" s="91" t="n"/>
      <c r="X179" s="89" t="n"/>
      <c r="Y179" s="89" t="n"/>
      <c r="Z179" s="88" t="n"/>
      <c r="AA179" s="88" t="n"/>
      <c r="AB179" s="92">
        <f>IF($A179="","",MAX(0,$F179-$G179))</f>
        <v/>
      </c>
      <c r="AC179" s="92">
        <f>IF($A179="","",SUM($H179:$M179))</f>
        <v/>
      </c>
      <c r="AD179" s="92">
        <f>IF($A179="","",MAX(0,$AB179-$AC179))</f>
        <v/>
      </c>
      <c r="AE179" s="92">
        <f>IF($A179="","",IFERROR($Q179/$O179,""))</f>
        <v/>
      </c>
      <c r="AF179" s="93">
        <f>IF($A179="","",IFERROR($AD179/$AB179,""))</f>
        <v/>
      </c>
      <c r="AG179" s="93">
        <f>IF($A179="","",IFERROR(($P179/$O179)/$AD179,""))</f>
        <v/>
      </c>
      <c r="AH179" s="93">
        <f>IF($A179="","",IFERROR($Q179/$P179,""))</f>
        <v/>
      </c>
      <c r="AI179" s="93">
        <f>IF($A179="","",IFERROR($AF179*$AG179*$AH179,""))</f>
        <v/>
      </c>
      <c r="AJ179" s="93">
        <f>IF($A179="","",IFERROR($AE179/$F179,""))</f>
        <v/>
      </c>
      <c r="AK179" s="92">
        <f>IF($A179="","",IFERROR($AD179/$N179,""))</f>
        <v/>
      </c>
      <c r="AL179" s="92">
        <f>IF($A179="","",IFERROR($H179/$N179,""))</f>
        <v/>
      </c>
      <c r="AM179" s="92">
        <f>IF($A179="","",IFERROR(($P179-$Q179)/$P179*1000000,""))</f>
        <v/>
      </c>
      <c r="AN179" s="93">
        <f>IF($A179="","",IFERROR(($Q179+$R179)/$T179,""))</f>
        <v/>
      </c>
      <c r="AO179" s="93">
        <f>IF($A179="","",IFERROR($V179/$U179,""))</f>
        <v/>
      </c>
      <c r="AP179" s="92">
        <f>IF($A179="","",IFERROR(MAX(0,$AD179-$P179/$O179),""))</f>
        <v/>
      </c>
      <c r="AQ179" s="92">
        <f>IF($A179="","",IFERROR(($P179-$Q179)/$O179,""))</f>
        <v/>
      </c>
      <c r="AR179" s="94">
        <f>IF($A179="","",IF($F179="","Temps d'ouverture manquant",IF($O179="","Cadence produit inconnue",IF($G179&gt;$F179,"Arrêts planifiés &gt; temps d'ouverture",IF($AC179&gt;$AB179,"Arrêts subis &gt; temps requis",IF($P179&lt;&gt;$Q179+$R179+$S179,"Produite ≠ conforme + retouchée + rebutée",IF($Q179&gt;$P179,"Conforme &gt; produite",IF($V179&gt;$U179,"Présents &gt; prévus","OK"))))))))</f>
        <v/>
      </c>
      <c r="AS179" s="95">
        <f>IF($A179="",0,IF(AND(OR(COCKPIT!$H$4="Toutes",$C179=COCKPIT!$H$4),OR(COCKPIT!$K$4="Toutes",$B179=COCKPIT!$K$4)),1,0))</f>
        <v/>
      </c>
    </row>
    <row r="180" ht="15" customHeight="1">
      <c r="A180" s="87" t="n"/>
      <c r="B180" s="88" t="n"/>
      <c r="C180" s="88" t="n"/>
      <c r="D180" s="88" t="n"/>
      <c r="E180" s="88" t="n"/>
      <c r="F180" s="89" t="n"/>
      <c r="G180" s="89" t="n"/>
      <c r="H180" s="89" t="n"/>
      <c r="I180" s="89" t="n"/>
      <c r="J180" s="89" t="n"/>
      <c r="K180" s="89" t="n"/>
      <c r="L180" s="89" t="n"/>
      <c r="M180" s="89" t="n"/>
      <c r="N180" s="89" t="n"/>
      <c r="O180" s="90">
        <f>IF($E180="","",IFERROR(INDEX(PARAMETRES!$O$7:$O$36,MATCH($E180,PARAMETRES!$M$7:$M$36,0)),""))</f>
        <v/>
      </c>
      <c r="P180" s="89" t="n"/>
      <c r="Q180" s="89" t="n"/>
      <c r="R180" s="89" t="n"/>
      <c r="S180" s="89" t="n"/>
      <c r="T180" s="89" t="n"/>
      <c r="U180" s="91" t="n"/>
      <c r="V180" s="91" t="n"/>
      <c r="W180" s="91" t="n"/>
      <c r="X180" s="89" t="n"/>
      <c r="Y180" s="89" t="n"/>
      <c r="Z180" s="88" t="n"/>
      <c r="AA180" s="88" t="n"/>
      <c r="AB180" s="92">
        <f>IF($A180="","",MAX(0,$F180-$G180))</f>
        <v/>
      </c>
      <c r="AC180" s="92">
        <f>IF($A180="","",SUM($H180:$M180))</f>
        <v/>
      </c>
      <c r="AD180" s="92">
        <f>IF($A180="","",MAX(0,$AB180-$AC180))</f>
        <v/>
      </c>
      <c r="AE180" s="92">
        <f>IF($A180="","",IFERROR($Q180/$O180,""))</f>
        <v/>
      </c>
      <c r="AF180" s="93">
        <f>IF($A180="","",IFERROR($AD180/$AB180,""))</f>
        <v/>
      </c>
      <c r="AG180" s="93">
        <f>IF($A180="","",IFERROR(($P180/$O180)/$AD180,""))</f>
        <v/>
      </c>
      <c r="AH180" s="93">
        <f>IF($A180="","",IFERROR($Q180/$P180,""))</f>
        <v/>
      </c>
      <c r="AI180" s="93">
        <f>IF($A180="","",IFERROR($AF180*$AG180*$AH180,""))</f>
        <v/>
      </c>
      <c r="AJ180" s="93">
        <f>IF($A180="","",IFERROR($AE180/$F180,""))</f>
        <v/>
      </c>
      <c r="AK180" s="92">
        <f>IF($A180="","",IFERROR($AD180/$N180,""))</f>
        <v/>
      </c>
      <c r="AL180" s="92">
        <f>IF($A180="","",IFERROR($H180/$N180,""))</f>
        <v/>
      </c>
      <c r="AM180" s="92">
        <f>IF($A180="","",IFERROR(($P180-$Q180)/$P180*1000000,""))</f>
        <v/>
      </c>
      <c r="AN180" s="93">
        <f>IF($A180="","",IFERROR(($Q180+$R180)/$T180,""))</f>
        <v/>
      </c>
      <c r="AO180" s="93">
        <f>IF($A180="","",IFERROR($V180/$U180,""))</f>
        <v/>
      </c>
      <c r="AP180" s="92">
        <f>IF($A180="","",IFERROR(MAX(0,$AD180-$P180/$O180),""))</f>
        <v/>
      </c>
      <c r="AQ180" s="92">
        <f>IF($A180="","",IFERROR(($P180-$Q180)/$O180,""))</f>
        <v/>
      </c>
      <c r="AR180" s="94">
        <f>IF($A180="","",IF($F180="","Temps d'ouverture manquant",IF($O180="","Cadence produit inconnue",IF($G180&gt;$F180,"Arrêts planifiés &gt; temps d'ouverture",IF($AC180&gt;$AB180,"Arrêts subis &gt; temps requis",IF($P180&lt;&gt;$Q180+$R180+$S180,"Produite ≠ conforme + retouchée + rebutée",IF($Q180&gt;$P180,"Conforme &gt; produite",IF($V180&gt;$U180,"Présents &gt; prévus","OK"))))))))</f>
        <v/>
      </c>
      <c r="AS180" s="95">
        <f>IF($A180="",0,IF(AND(OR(COCKPIT!$H$4="Toutes",$C180=COCKPIT!$H$4),OR(COCKPIT!$K$4="Toutes",$B180=COCKPIT!$K$4)),1,0))</f>
        <v/>
      </c>
    </row>
    <row r="181" ht="15" customHeight="1">
      <c r="A181" s="87" t="n"/>
      <c r="B181" s="88" t="n"/>
      <c r="C181" s="88" t="n"/>
      <c r="D181" s="88" t="n"/>
      <c r="E181" s="88" t="n"/>
      <c r="F181" s="89" t="n"/>
      <c r="G181" s="89" t="n"/>
      <c r="H181" s="89" t="n"/>
      <c r="I181" s="89" t="n"/>
      <c r="J181" s="89" t="n"/>
      <c r="K181" s="89" t="n"/>
      <c r="L181" s="89" t="n"/>
      <c r="M181" s="89" t="n"/>
      <c r="N181" s="89" t="n"/>
      <c r="O181" s="90">
        <f>IF($E181="","",IFERROR(INDEX(PARAMETRES!$O$7:$O$36,MATCH($E181,PARAMETRES!$M$7:$M$36,0)),""))</f>
        <v/>
      </c>
      <c r="P181" s="89" t="n"/>
      <c r="Q181" s="89" t="n"/>
      <c r="R181" s="89" t="n"/>
      <c r="S181" s="89" t="n"/>
      <c r="T181" s="89" t="n"/>
      <c r="U181" s="91" t="n"/>
      <c r="V181" s="91" t="n"/>
      <c r="W181" s="91" t="n"/>
      <c r="X181" s="89" t="n"/>
      <c r="Y181" s="89" t="n"/>
      <c r="Z181" s="88" t="n"/>
      <c r="AA181" s="88" t="n"/>
      <c r="AB181" s="92">
        <f>IF($A181="","",MAX(0,$F181-$G181))</f>
        <v/>
      </c>
      <c r="AC181" s="92">
        <f>IF($A181="","",SUM($H181:$M181))</f>
        <v/>
      </c>
      <c r="AD181" s="92">
        <f>IF($A181="","",MAX(0,$AB181-$AC181))</f>
        <v/>
      </c>
      <c r="AE181" s="92">
        <f>IF($A181="","",IFERROR($Q181/$O181,""))</f>
        <v/>
      </c>
      <c r="AF181" s="93">
        <f>IF($A181="","",IFERROR($AD181/$AB181,""))</f>
        <v/>
      </c>
      <c r="AG181" s="93">
        <f>IF($A181="","",IFERROR(($P181/$O181)/$AD181,""))</f>
        <v/>
      </c>
      <c r="AH181" s="93">
        <f>IF($A181="","",IFERROR($Q181/$P181,""))</f>
        <v/>
      </c>
      <c r="AI181" s="93">
        <f>IF($A181="","",IFERROR($AF181*$AG181*$AH181,""))</f>
        <v/>
      </c>
      <c r="AJ181" s="93">
        <f>IF($A181="","",IFERROR($AE181/$F181,""))</f>
        <v/>
      </c>
      <c r="AK181" s="92">
        <f>IF($A181="","",IFERROR($AD181/$N181,""))</f>
        <v/>
      </c>
      <c r="AL181" s="92">
        <f>IF($A181="","",IFERROR($H181/$N181,""))</f>
        <v/>
      </c>
      <c r="AM181" s="92">
        <f>IF($A181="","",IFERROR(($P181-$Q181)/$P181*1000000,""))</f>
        <v/>
      </c>
      <c r="AN181" s="93">
        <f>IF($A181="","",IFERROR(($Q181+$R181)/$T181,""))</f>
        <v/>
      </c>
      <c r="AO181" s="93">
        <f>IF($A181="","",IFERROR($V181/$U181,""))</f>
        <v/>
      </c>
      <c r="AP181" s="92">
        <f>IF($A181="","",IFERROR(MAX(0,$AD181-$P181/$O181),""))</f>
        <v/>
      </c>
      <c r="AQ181" s="92">
        <f>IF($A181="","",IFERROR(($P181-$Q181)/$O181,""))</f>
        <v/>
      </c>
      <c r="AR181" s="94">
        <f>IF($A181="","",IF($F181="","Temps d'ouverture manquant",IF($O181="","Cadence produit inconnue",IF($G181&gt;$F181,"Arrêts planifiés &gt; temps d'ouverture",IF($AC181&gt;$AB181,"Arrêts subis &gt; temps requis",IF($P181&lt;&gt;$Q181+$R181+$S181,"Produite ≠ conforme + retouchée + rebutée",IF($Q181&gt;$P181,"Conforme &gt; produite",IF($V181&gt;$U181,"Présents &gt; prévus","OK"))))))))</f>
        <v/>
      </c>
      <c r="AS181" s="95">
        <f>IF($A181="",0,IF(AND(OR(COCKPIT!$H$4="Toutes",$C181=COCKPIT!$H$4),OR(COCKPIT!$K$4="Toutes",$B181=COCKPIT!$K$4)),1,0))</f>
        <v/>
      </c>
    </row>
    <row r="182" ht="15" customHeight="1">
      <c r="A182" s="87" t="n"/>
      <c r="B182" s="88" t="n"/>
      <c r="C182" s="88" t="n"/>
      <c r="D182" s="88" t="n"/>
      <c r="E182" s="88" t="n"/>
      <c r="F182" s="89" t="n"/>
      <c r="G182" s="89" t="n"/>
      <c r="H182" s="89" t="n"/>
      <c r="I182" s="89" t="n"/>
      <c r="J182" s="89" t="n"/>
      <c r="K182" s="89" t="n"/>
      <c r="L182" s="89" t="n"/>
      <c r="M182" s="89" t="n"/>
      <c r="N182" s="89" t="n"/>
      <c r="O182" s="90">
        <f>IF($E182="","",IFERROR(INDEX(PARAMETRES!$O$7:$O$36,MATCH($E182,PARAMETRES!$M$7:$M$36,0)),""))</f>
        <v/>
      </c>
      <c r="P182" s="89" t="n"/>
      <c r="Q182" s="89" t="n"/>
      <c r="R182" s="89" t="n"/>
      <c r="S182" s="89" t="n"/>
      <c r="T182" s="89" t="n"/>
      <c r="U182" s="91" t="n"/>
      <c r="V182" s="91" t="n"/>
      <c r="W182" s="91" t="n"/>
      <c r="X182" s="89" t="n"/>
      <c r="Y182" s="89" t="n"/>
      <c r="Z182" s="88" t="n"/>
      <c r="AA182" s="88" t="n"/>
      <c r="AB182" s="92">
        <f>IF($A182="","",MAX(0,$F182-$G182))</f>
        <v/>
      </c>
      <c r="AC182" s="92">
        <f>IF($A182="","",SUM($H182:$M182))</f>
        <v/>
      </c>
      <c r="AD182" s="92">
        <f>IF($A182="","",MAX(0,$AB182-$AC182))</f>
        <v/>
      </c>
      <c r="AE182" s="92">
        <f>IF($A182="","",IFERROR($Q182/$O182,""))</f>
        <v/>
      </c>
      <c r="AF182" s="93">
        <f>IF($A182="","",IFERROR($AD182/$AB182,""))</f>
        <v/>
      </c>
      <c r="AG182" s="93">
        <f>IF($A182="","",IFERROR(($P182/$O182)/$AD182,""))</f>
        <v/>
      </c>
      <c r="AH182" s="93">
        <f>IF($A182="","",IFERROR($Q182/$P182,""))</f>
        <v/>
      </c>
      <c r="AI182" s="93">
        <f>IF($A182="","",IFERROR($AF182*$AG182*$AH182,""))</f>
        <v/>
      </c>
      <c r="AJ182" s="93">
        <f>IF($A182="","",IFERROR($AE182/$F182,""))</f>
        <v/>
      </c>
      <c r="AK182" s="92">
        <f>IF($A182="","",IFERROR($AD182/$N182,""))</f>
        <v/>
      </c>
      <c r="AL182" s="92">
        <f>IF($A182="","",IFERROR($H182/$N182,""))</f>
        <v/>
      </c>
      <c r="AM182" s="92">
        <f>IF($A182="","",IFERROR(($P182-$Q182)/$P182*1000000,""))</f>
        <v/>
      </c>
      <c r="AN182" s="93">
        <f>IF($A182="","",IFERROR(($Q182+$R182)/$T182,""))</f>
        <v/>
      </c>
      <c r="AO182" s="93">
        <f>IF($A182="","",IFERROR($V182/$U182,""))</f>
        <v/>
      </c>
      <c r="AP182" s="92">
        <f>IF($A182="","",IFERROR(MAX(0,$AD182-$P182/$O182),""))</f>
        <v/>
      </c>
      <c r="AQ182" s="92">
        <f>IF($A182="","",IFERROR(($P182-$Q182)/$O182,""))</f>
        <v/>
      </c>
      <c r="AR182" s="94">
        <f>IF($A182="","",IF($F182="","Temps d'ouverture manquant",IF($O182="","Cadence produit inconnue",IF($G182&gt;$F182,"Arrêts planifiés &gt; temps d'ouverture",IF($AC182&gt;$AB182,"Arrêts subis &gt; temps requis",IF($P182&lt;&gt;$Q182+$R182+$S182,"Produite ≠ conforme + retouchée + rebutée",IF($Q182&gt;$P182,"Conforme &gt; produite",IF($V182&gt;$U182,"Présents &gt; prévus","OK"))))))))</f>
        <v/>
      </c>
      <c r="AS182" s="95">
        <f>IF($A182="",0,IF(AND(OR(COCKPIT!$H$4="Toutes",$C182=COCKPIT!$H$4),OR(COCKPIT!$K$4="Toutes",$B182=COCKPIT!$K$4)),1,0))</f>
        <v/>
      </c>
    </row>
    <row r="183" ht="15" customHeight="1">
      <c r="A183" s="87" t="n"/>
      <c r="B183" s="88" t="n"/>
      <c r="C183" s="88" t="n"/>
      <c r="D183" s="88" t="n"/>
      <c r="E183" s="88" t="n"/>
      <c r="F183" s="89" t="n"/>
      <c r="G183" s="89" t="n"/>
      <c r="H183" s="89" t="n"/>
      <c r="I183" s="89" t="n"/>
      <c r="J183" s="89" t="n"/>
      <c r="K183" s="89" t="n"/>
      <c r="L183" s="89" t="n"/>
      <c r="M183" s="89" t="n"/>
      <c r="N183" s="89" t="n"/>
      <c r="O183" s="90">
        <f>IF($E183="","",IFERROR(INDEX(PARAMETRES!$O$7:$O$36,MATCH($E183,PARAMETRES!$M$7:$M$36,0)),""))</f>
        <v/>
      </c>
      <c r="P183" s="89" t="n"/>
      <c r="Q183" s="89" t="n"/>
      <c r="R183" s="89" t="n"/>
      <c r="S183" s="89" t="n"/>
      <c r="T183" s="89" t="n"/>
      <c r="U183" s="91" t="n"/>
      <c r="V183" s="91" t="n"/>
      <c r="W183" s="91" t="n"/>
      <c r="X183" s="89" t="n"/>
      <c r="Y183" s="89" t="n"/>
      <c r="Z183" s="88" t="n"/>
      <c r="AA183" s="88" t="n"/>
      <c r="AB183" s="92">
        <f>IF($A183="","",MAX(0,$F183-$G183))</f>
        <v/>
      </c>
      <c r="AC183" s="92">
        <f>IF($A183="","",SUM($H183:$M183))</f>
        <v/>
      </c>
      <c r="AD183" s="92">
        <f>IF($A183="","",MAX(0,$AB183-$AC183))</f>
        <v/>
      </c>
      <c r="AE183" s="92">
        <f>IF($A183="","",IFERROR($Q183/$O183,""))</f>
        <v/>
      </c>
      <c r="AF183" s="93">
        <f>IF($A183="","",IFERROR($AD183/$AB183,""))</f>
        <v/>
      </c>
      <c r="AG183" s="93">
        <f>IF($A183="","",IFERROR(($P183/$O183)/$AD183,""))</f>
        <v/>
      </c>
      <c r="AH183" s="93">
        <f>IF($A183="","",IFERROR($Q183/$P183,""))</f>
        <v/>
      </c>
      <c r="AI183" s="93">
        <f>IF($A183="","",IFERROR($AF183*$AG183*$AH183,""))</f>
        <v/>
      </c>
      <c r="AJ183" s="93">
        <f>IF($A183="","",IFERROR($AE183/$F183,""))</f>
        <v/>
      </c>
      <c r="AK183" s="92">
        <f>IF($A183="","",IFERROR($AD183/$N183,""))</f>
        <v/>
      </c>
      <c r="AL183" s="92">
        <f>IF($A183="","",IFERROR($H183/$N183,""))</f>
        <v/>
      </c>
      <c r="AM183" s="92">
        <f>IF($A183="","",IFERROR(($P183-$Q183)/$P183*1000000,""))</f>
        <v/>
      </c>
      <c r="AN183" s="93">
        <f>IF($A183="","",IFERROR(($Q183+$R183)/$T183,""))</f>
        <v/>
      </c>
      <c r="AO183" s="93">
        <f>IF($A183="","",IFERROR($V183/$U183,""))</f>
        <v/>
      </c>
      <c r="AP183" s="92">
        <f>IF($A183="","",IFERROR(MAX(0,$AD183-$P183/$O183),""))</f>
        <v/>
      </c>
      <c r="AQ183" s="92">
        <f>IF($A183="","",IFERROR(($P183-$Q183)/$O183,""))</f>
        <v/>
      </c>
      <c r="AR183" s="94">
        <f>IF($A183="","",IF($F183="","Temps d'ouverture manquant",IF($O183="","Cadence produit inconnue",IF($G183&gt;$F183,"Arrêts planifiés &gt; temps d'ouverture",IF($AC183&gt;$AB183,"Arrêts subis &gt; temps requis",IF($P183&lt;&gt;$Q183+$R183+$S183,"Produite ≠ conforme + retouchée + rebutée",IF($Q183&gt;$P183,"Conforme &gt; produite",IF($V183&gt;$U183,"Présents &gt; prévus","OK"))))))))</f>
        <v/>
      </c>
      <c r="AS183" s="95">
        <f>IF($A183="",0,IF(AND(OR(COCKPIT!$H$4="Toutes",$C183=COCKPIT!$H$4),OR(COCKPIT!$K$4="Toutes",$B183=COCKPIT!$K$4)),1,0))</f>
        <v/>
      </c>
    </row>
    <row r="184" ht="15" customHeight="1">
      <c r="A184" s="87" t="n"/>
      <c r="B184" s="88" t="n"/>
      <c r="C184" s="88" t="n"/>
      <c r="D184" s="88" t="n"/>
      <c r="E184" s="88" t="n"/>
      <c r="F184" s="89" t="n"/>
      <c r="G184" s="89" t="n"/>
      <c r="H184" s="89" t="n"/>
      <c r="I184" s="89" t="n"/>
      <c r="J184" s="89" t="n"/>
      <c r="K184" s="89" t="n"/>
      <c r="L184" s="89" t="n"/>
      <c r="M184" s="89" t="n"/>
      <c r="N184" s="89" t="n"/>
      <c r="O184" s="90">
        <f>IF($E184="","",IFERROR(INDEX(PARAMETRES!$O$7:$O$36,MATCH($E184,PARAMETRES!$M$7:$M$36,0)),""))</f>
        <v/>
      </c>
      <c r="P184" s="89" t="n"/>
      <c r="Q184" s="89" t="n"/>
      <c r="R184" s="89" t="n"/>
      <c r="S184" s="89" t="n"/>
      <c r="T184" s="89" t="n"/>
      <c r="U184" s="91" t="n"/>
      <c r="V184" s="91" t="n"/>
      <c r="W184" s="91" t="n"/>
      <c r="X184" s="89" t="n"/>
      <c r="Y184" s="89" t="n"/>
      <c r="Z184" s="88" t="n"/>
      <c r="AA184" s="88" t="n"/>
      <c r="AB184" s="92">
        <f>IF($A184="","",MAX(0,$F184-$G184))</f>
        <v/>
      </c>
      <c r="AC184" s="92">
        <f>IF($A184="","",SUM($H184:$M184))</f>
        <v/>
      </c>
      <c r="AD184" s="92">
        <f>IF($A184="","",MAX(0,$AB184-$AC184))</f>
        <v/>
      </c>
      <c r="AE184" s="92">
        <f>IF($A184="","",IFERROR($Q184/$O184,""))</f>
        <v/>
      </c>
      <c r="AF184" s="93">
        <f>IF($A184="","",IFERROR($AD184/$AB184,""))</f>
        <v/>
      </c>
      <c r="AG184" s="93">
        <f>IF($A184="","",IFERROR(($P184/$O184)/$AD184,""))</f>
        <v/>
      </c>
      <c r="AH184" s="93">
        <f>IF($A184="","",IFERROR($Q184/$P184,""))</f>
        <v/>
      </c>
      <c r="AI184" s="93">
        <f>IF($A184="","",IFERROR($AF184*$AG184*$AH184,""))</f>
        <v/>
      </c>
      <c r="AJ184" s="93">
        <f>IF($A184="","",IFERROR($AE184/$F184,""))</f>
        <v/>
      </c>
      <c r="AK184" s="92">
        <f>IF($A184="","",IFERROR($AD184/$N184,""))</f>
        <v/>
      </c>
      <c r="AL184" s="92">
        <f>IF($A184="","",IFERROR($H184/$N184,""))</f>
        <v/>
      </c>
      <c r="AM184" s="92">
        <f>IF($A184="","",IFERROR(($P184-$Q184)/$P184*1000000,""))</f>
        <v/>
      </c>
      <c r="AN184" s="93">
        <f>IF($A184="","",IFERROR(($Q184+$R184)/$T184,""))</f>
        <v/>
      </c>
      <c r="AO184" s="93">
        <f>IF($A184="","",IFERROR($V184/$U184,""))</f>
        <v/>
      </c>
      <c r="AP184" s="92">
        <f>IF($A184="","",IFERROR(MAX(0,$AD184-$P184/$O184),""))</f>
        <v/>
      </c>
      <c r="AQ184" s="92">
        <f>IF($A184="","",IFERROR(($P184-$Q184)/$O184,""))</f>
        <v/>
      </c>
      <c r="AR184" s="94">
        <f>IF($A184="","",IF($F184="","Temps d'ouverture manquant",IF($O184="","Cadence produit inconnue",IF($G184&gt;$F184,"Arrêts planifiés &gt; temps d'ouverture",IF($AC184&gt;$AB184,"Arrêts subis &gt; temps requis",IF($P184&lt;&gt;$Q184+$R184+$S184,"Produite ≠ conforme + retouchée + rebutée",IF($Q184&gt;$P184,"Conforme &gt; produite",IF($V184&gt;$U184,"Présents &gt; prévus","OK"))))))))</f>
        <v/>
      </c>
      <c r="AS184" s="95">
        <f>IF($A184="",0,IF(AND(OR(COCKPIT!$H$4="Toutes",$C184=COCKPIT!$H$4),OR(COCKPIT!$K$4="Toutes",$B184=COCKPIT!$K$4)),1,0))</f>
        <v/>
      </c>
    </row>
    <row r="185" ht="15" customHeight="1">
      <c r="A185" s="87" t="n"/>
      <c r="B185" s="88" t="n"/>
      <c r="C185" s="88" t="n"/>
      <c r="D185" s="88" t="n"/>
      <c r="E185" s="88" t="n"/>
      <c r="F185" s="89" t="n"/>
      <c r="G185" s="89" t="n"/>
      <c r="H185" s="89" t="n"/>
      <c r="I185" s="89" t="n"/>
      <c r="J185" s="89" t="n"/>
      <c r="K185" s="89" t="n"/>
      <c r="L185" s="89" t="n"/>
      <c r="M185" s="89" t="n"/>
      <c r="N185" s="89" t="n"/>
      <c r="O185" s="90">
        <f>IF($E185="","",IFERROR(INDEX(PARAMETRES!$O$7:$O$36,MATCH($E185,PARAMETRES!$M$7:$M$36,0)),""))</f>
        <v/>
      </c>
      <c r="P185" s="89" t="n"/>
      <c r="Q185" s="89" t="n"/>
      <c r="R185" s="89" t="n"/>
      <c r="S185" s="89" t="n"/>
      <c r="T185" s="89" t="n"/>
      <c r="U185" s="91" t="n"/>
      <c r="V185" s="91" t="n"/>
      <c r="W185" s="91" t="n"/>
      <c r="X185" s="89" t="n"/>
      <c r="Y185" s="89" t="n"/>
      <c r="Z185" s="88" t="n"/>
      <c r="AA185" s="88" t="n"/>
      <c r="AB185" s="92">
        <f>IF($A185="","",MAX(0,$F185-$G185))</f>
        <v/>
      </c>
      <c r="AC185" s="92">
        <f>IF($A185="","",SUM($H185:$M185))</f>
        <v/>
      </c>
      <c r="AD185" s="92">
        <f>IF($A185="","",MAX(0,$AB185-$AC185))</f>
        <v/>
      </c>
      <c r="AE185" s="92">
        <f>IF($A185="","",IFERROR($Q185/$O185,""))</f>
        <v/>
      </c>
      <c r="AF185" s="93">
        <f>IF($A185="","",IFERROR($AD185/$AB185,""))</f>
        <v/>
      </c>
      <c r="AG185" s="93">
        <f>IF($A185="","",IFERROR(($P185/$O185)/$AD185,""))</f>
        <v/>
      </c>
      <c r="AH185" s="93">
        <f>IF($A185="","",IFERROR($Q185/$P185,""))</f>
        <v/>
      </c>
      <c r="AI185" s="93">
        <f>IF($A185="","",IFERROR($AF185*$AG185*$AH185,""))</f>
        <v/>
      </c>
      <c r="AJ185" s="93">
        <f>IF($A185="","",IFERROR($AE185/$F185,""))</f>
        <v/>
      </c>
      <c r="AK185" s="92">
        <f>IF($A185="","",IFERROR($AD185/$N185,""))</f>
        <v/>
      </c>
      <c r="AL185" s="92">
        <f>IF($A185="","",IFERROR($H185/$N185,""))</f>
        <v/>
      </c>
      <c r="AM185" s="92">
        <f>IF($A185="","",IFERROR(($P185-$Q185)/$P185*1000000,""))</f>
        <v/>
      </c>
      <c r="AN185" s="93">
        <f>IF($A185="","",IFERROR(($Q185+$R185)/$T185,""))</f>
        <v/>
      </c>
      <c r="AO185" s="93">
        <f>IF($A185="","",IFERROR($V185/$U185,""))</f>
        <v/>
      </c>
      <c r="AP185" s="92">
        <f>IF($A185="","",IFERROR(MAX(0,$AD185-$P185/$O185),""))</f>
        <v/>
      </c>
      <c r="AQ185" s="92">
        <f>IF($A185="","",IFERROR(($P185-$Q185)/$O185,""))</f>
        <v/>
      </c>
      <c r="AR185" s="94">
        <f>IF($A185="","",IF($F185="","Temps d'ouverture manquant",IF($O185="","Cadence produit inconnue",IF($G185&gt;$F185,"Arrêts planifiés &gt; temps d'ouverture",IF($AC185&gt;$AB185,"Arrêts subis &gt; temps requis",IF($P185&lt;&gt;$Q185+$R185+$S185,"Produite ≠ conforme + retouchée + rebutée",IF($Q185&gt;$P185,"Conforme &gt; produite",IF($V185&gt;$U185,"Présents &gt; prévus","OK"))))))))</f>
        <v/>
      </c>
      <c r="AS185" s="95">
        <f>IF($A185="",0,IF(AND(OR(COCKPIT!$H$4="Toutes",$C185=COCKPIT!$H$4),OR(COCKPIT!$K$4="Toutes",$B185=COCKPIT!$K$4)),1,0))</f>
        <v/>
      </c>
    </row>
    <row r="186" ht="15" customHeight="1">
      <c r="A186" s="87" t="n"/>
      <c r="B186" s="88" t="n"/>
      <c r="C186" s="88" t="n"/>
      <c r="D186" s="88" t="n"/>
      <c r="E186" s="88" t="n"/>
      <c r="F186" s="89" t="n"/>
      <c r="G186" s="89" t="n"/>
      <c r="H186" s="89" t="n"/>
      <c r="I186" s="89" t="n"/>
      <c r="J186" s="89" t="n"/>
      <c r="K186" s="89" t="n"/>
      <c r="L186" s="89" t="n"/>
      <c r="M186" s="89" t="n"/>
      <c r="N186" s="89" t="n"/>
      <c r="O186" s="90">
        <f>IF($E186="","",IFERROR(INDEX(PARAMETRES!$O$7:$O$36,MATCH($E186,PARAMETRES!$M$7:$M$36,0)),""))</f>
        <v/>
      </c>
      <c r="P186" s="89" t="n"/>
      <c r="Q186" s="89" t="n"/>
      <c r="R186" s="89" t="n"/>
      <c r="S186" s="89" t="n"/>
      <c r="T186" s="89" t="n"/>
      <c r="U186" s="91" t="n"/>
      <c r="V186" s="91" t="n"/>
      <c r="W186" s="91" t="n"/>
      <c r="X186" s="89" t="n"/>
      <c r="Y186" s="89" t="n"/>
      <c r="Z186" s="88" t="n"/>
      <c r="AA186" s="88" t="n"/>
      <c r="AB186" s="92">
        <f>IF($A186="","",MAX(0,$F186-$G186))</f>
        <v/>
      </c>
      <c r="AC186" s="92">
        <f>IF($A186="","",SUM($H186:$M186))</f>
        <v/>
      </c>
      <c r="AD186" s="92">
        <f>IF($A186="","",MAX(0,$AB186-$AC186))</f>
        <v/>
      </c>
      <c r="AE186" s="92">
        <f>IF($A186="","",IFERROR($Q186/$O186,""))</f>
        <v/>
      </c>
      <c r="AF186" s="93">
        <f>IF($A186="","",IFERROR($AD186/$AB186,""))</f>
        <v/>
      </c>
      <c r="AG186" s="93">
        <f>IF($A186="","",IFERROR(($P186/$O186)/$AD186,""))</f>
        <v/>
      </c>
      <c r="AH186" s="93">
        <f>IF($A186="","",IFERROR($Q186/$P186,""))</f>
        <v/>
      </c>
      <c r="AI186" s="93">
        <f>IF($A186="","",IFERROR($AF186*$AG186*$AH186,""))</f>
        <v/>
      </c>
      <c r="AJ186" s="93">
        <f>IF($A186="","",IFERROR($AE186/$F186,""))</f>
        <v/>
      </c>
      <c r="AK186" s="92">
        <f>IF($A186="","",IFERROR($AD186/$N186,""))</f>
        <v/>
      </c>
      <c r="AL186" s="92">
        <f>IF($A186="","",IFERROR($H186/$N186,""))</f>
        <v/>
      </c>
      <c r="AM186" s="92">
        <f>IF($A186="","",IFERROR(($P186-$Q186)/$P186*1000000,""))</f>
        <v/>
      </c>
      <c r="AN186" s="93">
        <f>IF($A186="","",IFERROR(($Q186+$R186)/$T186,""))</f>
        <v/>
      </c>
      <c r="AO186" s="93">
        <f>IF($A186="","",IFERROR($V186/$U186,""))</f>
        <v/>
      </c>
      <c r="AP186" s="92">
        <f>IF($A186="","",IFERROR(MAX(0,$AD186-$P186/$O186),""))</f>
        <v/>
      </c>
      <c r="AQ186" s="92">
        <f>IF($A186="","",IFERROR(($P186-$Q186)/$O186,""))</f>
        <v/>
      </c>
      <c r="AR186" s="94">
        <f>IF($A186="","",IF($F186="","Temps d'ouverture manquant",IF($O186="","Cadence produit inconnue",IF($G186&gt;$F186,"Arrêts planifiés &gt; temps d'ouverture",IF($AC186&gt;$AB186,"Arrêts subis &gt; temps requis",IF($P186&lt;&gt;$Q186+$R186+$S186,"Produite ≠ conforme + retouchée + rebutée",IF($Q186&gt;$P186,"Conforme &gt; produite",IF($V186&gt;$U186,"Présents &gt; prévus","OK"))))))))</f>
        <v/>
      </c>
      <c r="AS186" s="95">
        <f>IF($A186="",0,IF(AND(OR(COCKPIT!$H$4="Toutes",$C186=COCKPIT!$H$4),OR(COCKPIT!$K$4="Toutes",$B186=COCKPIT!$K$4)),1,0))</f>
        <v/>
      </c>
    </row>
    <row r="187" ht="15" customHeight="1">
      <c r="A187" s="87" t="n"/>
      <c r="B187" s="88" t="n"/>
      <c r="C187" s="88" t="n"/>
      <c r="D187" s="88" t="n"/>
      <c r="E187" s="88" t="n"/>
      <c r="F187" s="89" t="n"/>
      <c r="G187" s="89" t="n"/>
      <c r="H187" s="89" t="n"/>
      <c r="I187" s="89" t="n"/>
      <c r="J187" s="89" t="n"/>
      <c r="K187" s="89" t="n"/>
      <c r="L187" s="89" t="n"/>
      <c r="M187" s="89" t="n"/>
      <c r="N187" s="89" t="n"/>
      <c r="O187" s="90">
        <f>IF($E187="","",IFERROR(INDEX(PARAMETRES!$O$7:$O$36,MATCH($E187,PARAMETRES!$M$7:$M$36,0)),""))</f>
        <v/>
      </c>
      <c r="P187" s="89" t="n"/>
      <c r="Q187" s="89" t="n"/>
      <c r="R187" s="89" t="n"/>
      <c r="S187" s="89" t="n"/>
      <c r="T187" s="89" t="n"/>
      <c r="U187" s="91" t="n"/>
      <c r="V187" s="91" t="n"/>
      <c r="W187" s="91" t="n"/>
      <c r="X187" s="89" t="n"/>
      <c r="Y187" s="89" t="n"/>
      <c r="Z187" s="88" t="n"/>
      <c r="AA187" s="88" t="n"/>
      <c r="AB187" s="92">
        <f>IF($A187="","",MAX(0,$F187-$G187))</f>
        <v/>
      </c>
      <c r="AC187" s="92">
        <f>IF($A187="","",SUM($H187:$M187))</f>
        <v/>
      </c>
      <c r="AD187" s="92">
        <f>IF($A187="","",MAX(0,$AB187-$AC187))</f>
        <v/>
      </c>
      <c r="AE187" s="92">
        <f>IF($A187="","",IFERROR($Q187/$O187,""))</f>
        <v/>
      </c>
      <c r="AF187" s="93">
        <f>IF($A187="","",IFERROR($AD187/$AB187,""))</f>
        <v/>
      </c>
      <c r="AG187" s="93">
        <f>IF($A187="","",IFERROR(($P187/$O187)/$AD187,""))</f>
        <v/>
      </c>
      <c r="AH187" s="93">
        <f>IF($A187="","",IFERROR($Q187/$P187,""))</f>
        <v/>
      </c>
      <c r="AI187" s="93">
        <f>IF($A187="","",IFERROR($AF187*$AG187*$AH187,""))</f>
        <v/>
      </c>
      <c r="AJ187" s="93">
        <f>IF($A187="","",IFERROR($AE187/$F187,""))</f>
        <v/>
      </c>
      <c r="AK187" s="92">
        <f>IF($A187="","",IFERROR($AD187/$N187,""))</f>
        <v/>
      </c>
      <c r="AL187" s="92">
        <f>IF($A187="","",IFERROR($H187/$N187,""))</f>
        <v/>
      </c>
      <c r="AM187" s="92">
        <f>IF($A187="","",IFERROR(($P187-$Q187)/$P187*1000000,""))</f>
        <v/>
      </c>
      <c r="AN187" s="93">
        <f>IF($A187="","",IFERROR(($Q187+$R187)/$T187,""))</f>
        <v/>
      </c>
      <c r="AO187" s="93">
        <f>IF($A187="","",IFERROR($V187/$U187,""))</f>
        <v/>
      </c>
      <c r="AP187" s="92">
        <f>IF($A187="","",IFERROR(MAX(0,$AD187-$P187/$O187),""))</f>
        <v/>
      </c>
      <c r="AQ187" s="92">
        <f>IF($A187="","",IFERROR(($P187-$Q187)/$O187,""))</f>
        <v/>
      </c>
      <c r="AR187" s="94">
        <f>IF($A187="","",IF($F187="","Temps d'ouverture manquant",IF($O187="","Cadence produit inconnue",IF($G187&gt;$F187,"Arrêts planifiés &gt; temps d'ouverture",IF($AC187&gt;$AB187,"Arrêts subis &gt; temps requis",IF($P187&lt;&gt;$Q187+$R187+$S187,"Produite ≠ conforme + retouchée + rebutée",IF($Q187&gt;$P187,"Conforme &gt; produite",IF($V187&gt;$U187,"Présents &gt; prévus","OK"))))))))</f>
        <v/>
      </c>
      <c r="AS187" s="95">
        <f>IF($A187="",0,IF(AND(OR(COCKPIT!$H$4="Toutes",$C187=COCKPIT!$H$4),OR(COCKPIT!$K$4="Toutes",$B187=COCKPIT!$K$4)),1,0))</f>
        <v/>
      </c>
    </row>
    <row r="188" ht="15" customHeight="1">
      <c r="A188" s="87" t="n"/>
      <c r="B188" s="88" t="n"/>
      <c r="C188" s="88" t="n"/>
      <c r="D188" s="88" t="n"/>
      <c r="E188" s="88" t="n"/>
      <c r="F188" s="89" t="n"/>
      <c r="G188" s="89" t="n"/>
      <c r="H188" s="89" t="n"/>
      <c r="I188" s="89" t="n"/>
      <c r="J188" s="89" t="n"/>
      <c r="K188" s="89" t="n"/>
      <c r="L188" s="89" t="n"/>
      <c r="M188" s="89" t="n"/>
      <c r="N188" s="89" t="n"/>
      <c r="O188" s="90">
        <f>IF($E188="","",IFERROR(INDEX(PARAMETRES!$O$7:$O$36,MATCH($E188,PARAMETRES!$M$7:$M$36,0)),""))</f>
        <v/>
      </c>
      <c r="P188" s="89" t="n"/>
      <c r="Q188" s="89" t="n"/>
      <c r="R188" s="89" t="n"/>
      <c r="S188" s="89" t="n"/>
      <c r="T188" s="89" t="n"/>
      <c r="U188" s="91" t="n"/>
      <c r="V188" s="91" t="n"/>
      <c r="W188" s="91" t="n"/>
      <c r="X188" s="89" t="n"/>
      <c r="Y188" s="89" t="n"/>
      <c r="Z188" s="88" t="n"/>
      <c r="AA188" s="88" t="n"/>
      <c r="AB188" s="92">
        <f>IF($A188="","",MAX(0,$F188-$G188))</f>
        <v/>
      </c>
      <c r="AC188" s="92">
        <f>IF($A188="","",SUM($H188:$M188))</f>
        <v/>
      </c>
      <c r="AD188" s="92">
        <f>IF($A188="","",MAX(0,$AB188-$AC188))</f>
        <v/>
      </c>
      <c r="AE188" s="92">
        <f>IF($A188="","",IFERROR($Q188/$O188,""))</f>
        <v/>
      </c>
      <c r="AF188" s="93">
        <f>IF($A188="","",IFERROR($AD188/$AB188,""))</f>
        <v/>
      </c>
      <c r="AG188" s="93">
        <f>IF($A188="","",IFERROR(($P188/$O188)/$AD188,""))</f>
        <v/>
      </c>
      <c r="AH188" s="93">
        <f>IF($A188="","",IFERROR($Q188/$P188,""))</f>
        <v/>
      </c>
      <c r="AI188" s="93">
        <f>IF($A188="","",IFERROR($AF188*$AG188*$AH188,""))</f>
        <v/>
      </c>
      <c r="AJ188" s="93">
        <f>IF($A188="","",IFERROR($AE188/$F188,""))</f>
        <v/>
      </c>
      <c r="AK188" s="92">
        <f>IF($A188="","",IFERROR($AD188/$N188,""))</f>
        <v/>
      </c>
      <c r="AL188" s="92">
        <f>IF($A188="","",IFERROR($H188/$N188,""))</f>
        <v/>
      </c>
      <c r="AM188" s="92">
        <f>IF($A188="","",IFERROR(($P188-$Q188)/$P188*1000000,""))</f>
        <v/>
      </c>
      <c r="AN188" s="93">
        <f>IF($A188="","",IFERROR(($Q188+$R188)/$T188,""))</f>
        <v/>
      </c>
      <c r="AO188" s="93">
        <f>IF($A188="","",IFERROR($V188/$U188,""))</f>
        <v/>
      </c>
      <c r="AP188" s="92">
        <f>IF($A188="","",IFERROR(MAX(0,$AD188-$P188/$O188),""))</f>
        <v/>
      </c>
      <c r="AQ188" s="92">
        <f>IF($A188="","",IFERROR(($P188-$Q188)/$O188,""))</f>
        <v/>
      </c>
      <c r="AR188" s="94">
        <f>IF($A188="","",IF($F188="","Temps d'ouverture manquant",IF($O188="","Cadence produit inconnue",IF($G188&gt;$F188,"Arrêts planifiés &gt; temps d'ouverture",IF($AC188&gt;$AB188,"Arrêts subis &gt; temps requis",IF($P188&lt;&gt;$Q188+$R188+$S188,"Produite ≠ conforme + retouchée + rebutée",IF($Q188&gt;$P188,"Conforme &gt; produite",IF($V188&gt;$U188,"Présents &gt; prévus","OK"))))))))</f>
        <v/>
      </c>
      <c r="AS188" s="95">
        <f>IF($A188="",0,IF(AND(OR(COCKPIT!$H$4="Toutes",$C188=COCKPIT!$H$4),OR(COCKPIT!$K$4="Toutes",$B188=COCKPIT!$K$4)),1,0))</f>
        <v/>
      </c>
    </row>
    <row r="189" ht="15" customHeight="1">
      <c r="A189" s="87" t="n"/>
      <c r="B189" s="88" t="n"/>
      <c r="C189" s="88" t="n"/>
      <c r="D189" s="88" t="n"/>
      <c r="E189" s="88" t="n"/>
      <c r="F189" s="89" t="n"/>
      <c r="G189" s="89" t="n"/>
      <c r="H189" s="89" t="n"/>
      <c r="I189" s="89" t="n"/>
      <c r="J189" s="89" t="n"/>
      <c r="K189" s="89" t="n"/>
      <c r="L189" s="89" t="n"/>
      <c r="M189" s="89" t="n"/>
      <c r="N189" s="89" t="n"/>
      <c r="O189" s="90">
        <f>IF($E189="","",IFERROR(INDEX(PARAMETRES!$O$7:$O$36,MATCH($E189,PARAMETRES!$M$7:$M$36,0)),""))</f>
        <v/>
      </c>
      <c r="P189" s="89" t="n"/>
      <c r="Q189" s="89" t="n"/>
      <c r="R189" s="89" t="n"/>
      <c r="S189" s="89" t="n"/>
      <c r="T189" s="89" t="n"/>
      <c r="U189" s="91" t="n"/>
      <c r="V189" s="91" t="n"/>
      <c r="W189" s="91" t="n"/>
      <c r="X189" s="89" t="n"/>
      <c r="Y189" s="89" t="n"/>
      <c r="Z189" s="88" t="n"/>
      <c r="AA189" s="88" t="n"/>
      <c r="AB189" s="92">
        <f>IF($A189="","",MAX(0,$F189-$G189))</f>
        <v/>
      </c>
      <c r="AC189" s="92">
        <f>IF($A189="","",SUM($H189:$M189))</f>
        <v/>
      </c>
      <c r="AD189" s="92">
        <f>IF($A189="","",MAX(0,$AB189-$AC189))</f>
        <v/>
      </c>
      <c r="AE189" s="92">
        <f>IF($A189="","",IFERROR($Q189/$O189,""))</f>
        <v/>
      </c>
      <c r="AF189" s="93">
        <f>IF($A189="","",IFERROR($AD189/$AB189,""))</f>
        <v/>
      </c>
      <c r="AG189" s="93">
        <f>IF($A189="","",IFERROR(($P189/$O189)/$AD189,""))</f>
        <v/>
      </c>
      <c r="AH189" s="93">
        <f>IF($A189="","",IFERROR($Q189/$P189,""))</f>
        <v/>
      </c>
      <c r="AI189" s="93">
        <f>IF($A189="","",IFERROR($AF189*$AG189*$AH189,""))</f>
        <v/>
      </c>
      <c r="AJ189" s="93">
        <f>IF($A189="","",IFERROR($AE189/$F189,""))</f>
        <v/>
      </c>
      <c r="AK189" s="92">
        <f>IF($A189="","",IFERROR($AD189/$N189,""))</f>
        <v/>
      </c>
      <c r="AL189" s="92">
        <f>IF($A189="","",IFERROR($H189/$N189,""))</f>
        <v/>
      </c>
      <c r="AM189" s="92">
        <f>IF($A189="","",IFERROR(($P189-$Q189)/$P189*1000000,""))</f>
        <v/>
      </c>
      <c r="AN189" s="93">
        <f>IF($A189="","",IFERROR(($Q189+$R189)/$T189,""))</f>
        <v/>
      </c>
      <c r="AO189" s="93">
        <f>IF($A189="","",IFERROR($V189/$U189,""))</f>
        <v/>
      </c>
      <c r="AP189" s="92">
        <f>IF($A189="","",IFERROR(MAX(0,$AD189-$P189/$O189),""))</f>
        <v/>
      </c>
      <c r="AQ189" s="92">
        <f>IF($A189="","",IFERROR(($P189-$Q189)/$O189,""))</f>
        <v/>
      </c>
      <c r="AR189" s="94">
        <f>IF($A189="","",IF($F189="","Temps d'ouverture manquant",IF($O189="","Cadence produit inconnue",IF($G189&gt;$F189,"Arrêts planifiés &gt; temps d'ouverture",IF($AC189&gt;$AB189,"Arrêts subis &gt; temps requis",IF($P189&lt;&gt;$Q189+$R189+$S189,"Produite ≠ conforme + retouchée + rebutée",IF($Q189&gt;$P189,"Conforme &gt; produite",IF($V189&gt;$U189,"Présents &gt; prévus","OK"))))))))</f>
        <v/>
      </c>
      <c r="AS189" s="95">
        <f>IF($A189="",0,IF(AND(OR(COCKPIT!$H$4="Toutes",$C189=COCKPIT!$H$4),OR(COCKPIT!$K$4="Toutes",$B189=COCKPIT!$K$4)),1,0))</f>
        <v/>
      </c>
    </row>
    <row r="190" ht="15" customHeight="1">
      <c r="A190" s="87" t="n"/>
      <c r="B190" s="88" t="n"/>
      <c r="C190" s="88" t="n"/>
      <c r="D190" s="88" t="n"/>
      <c r="E190" s="88" t="n"/>
      <c r="F190" s="89" t="n"/>
      <c r="G190" s="89" t="n"/>
      <c r="H190" s="89" t="n"/>
      <c r="I190" s="89" t="n"/>
      <c r="J190" s="89" t="n"/>
      <c r="K190" s="89" t="n"/>
      <c r="L190" s="89" t="n"/>
      <c r="M190" s="89" t="n"/>
      <c r="N190" s="89" t="n"/>
      <c r="O190" s="90">
        <f>IF($E190="","",IFERROR(INDEX(PARAMETRES!$O$7:$O$36,MATCH($E190,PARAMETRES!$M$7:$M$36,0)),""))</f>
        <v/>
      </c>
      <c r="P190" s="89" t="n"/>
      <c r="Q190" s="89" t="n"/>
      <c r="R190" s="89" t="n"/>
      <c r="S190" s="89" t="n"/>
      <c r="T190" s="89" t="n"/>
      <c r="U190" s="91" t="n"/>
      <c r="V190" s="91" t="n"/>
      <c r="W190" s="91" t="n"/>
      <c r="X190" s="89" t="n"/>
      <c r="Y190" s="89" t="n"/>
      <c r="Z190" s="88" t="n"/>
      <c r="AA190" s="88" t="n"/>
      <c r="AB190" s="92">
        <f>IF($A190="","",MAX(0,$F190-$G190))</f>
        <v/>
      </c>
      <c r="AC190" s="92">
        <f>IF($A190="","",SUM($H190:$M190))</f>
        <v/>
      </c>
      <c r="AD190" s="92">
        <f>IF($A190="","",MAX(0,$AB190-$AC190))</f>
        <v/>
      </c>
      <c r="AE190" s="92">
        <f>IF($A190="","",IFERROR($Q190/$O190,""))</f>
        <v/>
      </c>
      <c r="AF190" s="93">
        <f>IF($A190="","",IFERROR($AD190/$AB190,""))</f>
        <v/>
      </c>
      <c r="AG190" s="93">
        <f>IF($A190="","",IFERROR(($P190/$O190)/$AD190,""))</f>
        <v/>
      </c>
      <c r="AH190" s="93">
        <f>IF($A190="","",IFERROR($Q190/$P190,""))</f>
        <v/>
      </c>
      <c r="AI190" s="93">
        <f>IF($A190="","",IFERROR($AF190*$AG190*$AH190,""))</f>
        <v/>
      </c>
      <c r="AJ190" s="93">
        <f>IF($A190="","",IFERROR($AE190/$F190,""))</f>
        <v/>
      </c>
      <c r="AK190" s="92">
        <f>IF($A190="","",IFERROR($AD190/$N190,""))</f>
        <v/>
      </c>
      <c r="AL190" s="92">
        <f>IF($A190="","",IFERROR($H190/$N190,""))</f>
        <v/>
      </c>
      <c r="AM190" s="92">
        <f>IF($A190="","",IFERROR(($P190-$Q190)/$P190*1000000,""))</f>
        <v/>
      </c>
      <c r="AN190" s="93">
        <f>IF($A190="","",IFERROR(($Q190+$R190)/$T190,""))</f>
        <v/>
      </c>
      <c r="AO190" s="93">
        <f>IF($A190="","",IFERROR($V190/$U190,""))</f>
        <v/>
      </c>
      <c r="AP190" s="92">
        <f>IF($A190="","",IFERROR(MAX(0,$AD190-$P190/$O190),""))</f>
        <v/>
      </c>
      <c r="AQ190" s="92">
        <f>IF($A190="","",IFERROR(($P190-$Q190)/$O190,""))</f>
        <v/>
      </c>
      <c r="AR190" s="94">
        <f>IF($A190="","",IF($F190="","Temps d'ouverture manquant",IF($O190="","Cadence produit inconnue",IF($G190&gt;$F190,"Arrêts planifiés &gt; temps d'ouverture",IF($AC190&gt;$AB190,"Arrêts subis &gt; temps requis",IF($P190&lt;&gt;$Q190+$R190+$S190,"Produite ≠ conforme + retouchée + rebutée",IF($Q190&gt;$P190,"Conforme &gt; produite",IF($V190&gt;$U190,"Présents &gt; prévus","OK"))))))))</f>
        <v/>
      </c>
      <c r="AS190" s="95">
        <f>IF($A190="",0,IF(AND(OR(COCKPIT!$H$4="Toutes",$C190=COCKPIT!$H$4),OR(COCKPIT!$K$4="Toutes",$B190=COCKPIT!$K$4)),1,0))</f>
        <v/>
      </c>
    </row>
    <row r="191" ht="15" customHeight="1">
      <c r="A191" s="87" t="n"/>
      <c r="B191" s="88" t="n"/>
      <c r="C191" s="88" t="n"/>
      <c r="D191" s="88" t="n"/>
      <c r="E191" s="88" t="n"/>
      <c r="F191" s="89" t="n"/>
      <c r="G191" s="89" t="n"/>
      <c r="H191" s="89" t="n"/>
      <c r="I191" s="89" t="n"/>
      <c r="J191" s="89" t="n"/>
      <c r="K191" s="89" t="n"/>
      <c r="L191" s="89" t="n"/>
      <c r="M191" s="89" t="n"/>
      <c r="N191" s="89" t="n"/>
      <c r="O191" s="90">
        <f>IF($E191="","",IFERROR(INDEX(PARAMETRES!$O$7:$O$36,MATCH($E191,PARAMETRES!$M$7:$M$36,0)),""))</f>
        <v/>
      </c>
      <c r="P191" s="89" t="n"/>
      <c r="Q191" s="89" t="n"/>
      <c r="R191" s="89" t="n"/>
      <c r="S191" s="89" t="n"/>
      <c r="T191" s="89" t="n"/>
      <c r="U191" s="91" t="n"/>
      <c r="V191" s="91" t="n"/>
      <c r="W191" s="91" t="n"/>
      <c r="X191" s="89" t="n"/>
      <c r="Y191" s="89" t="n"/>
      <c r="Z191" s="88" t="n"/>
      <c r="AA191" s="88" t="n"/>
      <c r="AB191" s="92">
        <f>IF($A191="","",MAX(0,$F191-$G191))</f>
        <v/>
      </c>
      <c r="AC191" s="92">
        <f>IF($A191="","",SUM($H191:$M191))</f>
        <v/>
      </c>
      <c r="AD191" s="92">
        <f>IF($A191="","",MAX(0,$AB191-$AC191))</f>
        <v/>
      </c>
      <c r="AE191" s="92">
        <f>IF($A191="","",IFERROR($Q191/$O191,""))</f>
        <v/>
      </c>
      <c r="AF191" s="93">
        <f>IF($A191="","",IFERROR($AD191/$AB191,""))</f>
        <v/>
      </c>
      <c r="AG191" s="93">
        <f>IF($A191="","",IFERROR(($P191/$O191)/$AD191,""))</f>
        <v/>
      </c>
      <c r="AH191" s="93">
        <f>IF($A191="","",IFERROR($Q191/$P191,""))</f>
        <v/>
      </c>
      <c r="AI191" s="93">
        <f>IF($A191="","",IFERROR($AF191*$AG191*$AH191,""))</f>
        <v/>
      </c>
      <c r="AJ191" s="93">
        <f>IF($A191="","",IFERROR($AE191/$F191,""))</f>
        <v/>
      </c>
      <c r="AK191" s="92">
        <f>IF($A191="","",IFERROR($AD191/$N191,""))</f>
        <v/>
      </c>
      <c r="AL191" s="92">
        <f>IF($A191="","",IFERROR($H191/$N191,""))</f>
        <v/>
      </c>
      <c r="AM191" s="92">
        <f>IF($A191="","",IFERROR(($P191-$Q191)/$P191*1000000,""))</f>
        <v/>
      </c>
      <c r="AN191" s="93">
        <f>IF($A191="","",IFERROR(($Q191+$R191)/$T191,""))</f>
        <v/>
      </c>
      <c r="AO191" s="93">
        <f>IF($A191="","",IFERROR($V191/$U191,""))</f>
        <v/>
      </c>
      <c r="AP191" s="92">
        <f>IF($A191="","",IFERROR(MAX(0,$AD191-$P191/$O191),""))</f>
        <v/>
      </c>
      <c r="AQ191" s="92">
        <f>IF($A191="","",IFERROR(($P191-$Q191)/$O191,""))</f>
        <v/>
      </c>
      <c r="AR191" s="94">
        <f>IF($A191="","",IF($F191="","Temps d'ouverture manquant",IF($O191="","Cadence produit inconnue",IF($G191&gt;$F191,"Arrêts planifiés &gt; temps d'ouverture",IF($AC191&gt;$AB191,"Arrêts subis &gt; temps requis",IF($P191&lt;&gt;$Q191+$R191+$S191,"Produite ≠ conforme + retouchée + rebutée",IF($Q191&gt;$P191,"Conforme &gt; produite",IF($V191&gt;$U191,"Présents &gt; prévus","OK"))))))))</f>
        <v/>
      </c>
      <c r="AS191" s="95">
        <f>IF($A191="",0,IF(AND(OR(COCKPIT!$H$4="Toutes",$C191=COCKPIT!$H$4),OR(COCKPIT!$K$4="Toutes",$B191=COCKPIT!$K$4)),1,0))</f>
        <v/>
      </c>
    </row>
    <row r="192" ht="15" customHeight="1">
      <c r="A192" s="87" t="n"/>
      <c r="B192" s="88" t="n"/>
      <c r="C192" s="88" t="n"/>
      <c r="D192" s="88" t="n"/>
      <c r="E192" s="88" t="n"/>
      <c r="F192" s="89" t="n"/>
      <c r="G192" s="89" t="n"/>
      <c r="H192" s="89" t="n"/>
      <c r="I192" s="89" t="n"/>
      <c r="J192" s="89" t="n"/>
      <c r="K192" s="89" t="n"/>
      <c r="L192" s="89" t="n"/>
      <c r="M192" s="89" t="n"/>
      <c r="N192" s="89" t="n"/>
      <c r="O192" s="90">
        <f>IF($E192="","",IFERROR(INDEX(PARAMETRES!$O$7:$O$36,MATCH($E192,PARAMETRES!$M$7:$M$36,0)),""))</f>
        <v/>
      </c>
      <c r="P192" s="89" t="n"/>
      <c r="Q192" s="89" t="n"/>
      <c r="R192" s="89" t="n"/>
      <c r="S192" s="89" t="n"/>
      <c r="T192" s="89" t="n"/>
      <c r="U192" s="91" t="n"/>
      <c r="V192" s="91" t="n"/>
      <c r="W192" s="91" t="n"/>
      <c r="X192" s="89" t="n"/>
      <c r="Y192" s="89" t="n"/>
      <c r="Z192" s="88" t="n"/>
      <c r="AA192" s="88" t="n"/>
      <c r="AB192" s="92">
        <f>IF($A192="","",MAX(0,$F192-$G192))</f>
        <v/>
      </c>
      <c r="AC192" s="92">
        <f>IF($A192="","",SUM($H192:$M192))</f>
        <v/>
      </c>
      <c r="AD192" s="92">
        <f>IF($A192="","",MAX(0,$AB192-$AC192))</f>
        <v/>
      </c>
      <c r="AE192" s="92">
        <f>IF($A192="","",IFERROR($Q192/$O192,""))</f>
        <v/>
      </c>
      <c r="AF192" s="93">
        <f>IF($A192="","",IFERROR($AD192/$AB192,""))</f>
        <v/>
      </c>
      <c r="AG192" s="93">
        <f>IF($A192="","",IFERROR(($P192/$O192)/$AD192,""))</f>
        <v/>
      </c>
      <c r="AH192" s="93">
        <f>IF($A192="","",IFERROR($Q192/$P192,""))</f>
        <v/>
      </c>
      <c r="AI192" s="93">
        <f>IF($A192="","",IFERROR($AF192*$AG192*$AH192,""))</f>
        <v/>
      </c>
      <c r="AJ192" s="93">
        <f>IF($A192="","",IFERROR($AE192/$F192,""))</f>
        <v/>
      </c>
      <c r="AK192" s="92">
        <f>IF($A192="","",IFERROR($AD192/$N192,""))</f>
        <v/>
      </c>
      <c r="AL192" s="92">
        <f>IF($A192="","",IFERROR($H192/$N192,""))</f>
        <v/>
      </c>
      <c r="AM192" s="92">
        <f>IF($A192="","",IFERROR(($P192-$Q192)/$P192*1000000,""))</f>
        <v/>
      </c>
      <c r="AN192" s="93">
        <f>IF($A192="","",IFERROR(($Q192+$R192)/$T192,""))</f>
        <v/>
      </c>
      <c r="AO192" s="93">
        <f>IF($A192="","",IFERROR($V192/$U192,""))</f>
        <v/>
      </c>
      <c r="AP192" s="92">
        <f>IF($A192="","",IFERROR(MAX(0,$AD192-$P192/$O192),""))</f>
        <v/>
      </c>
      <c r="AQ192" s="92">
        <f>IF($A192="","",IFERROR(($P192-$Q192)/$O192,""))</f>
        <v/>
      </c>
      <c r="AR192" s="94">
        <f>IF($A192="","",IF($F192="","Temps d'ouverture manquant",IF($O192="","Cadence produit inconnue",IF($G192&gt;$F192,"Arrêts planifiés &gt; temps d'ouverture",IF($AC192&gt;$AB192,"Arrêts subis &gt; temps requis",IF($P192&lt;&gt;$Q192+$R192+$S192,"Produite ≠ conforme + retouchée + rebutée",IF($Q192&gt;$P192,"Conforme &gt; produite",IF($V192&gt;$U192,"Présents &gt; prévus","OK"))))))))</f>
        <v/>
      </c>
      <c r="AS192" s="95">
        <f>IF($A192="",0,IF(AND(OR(COCKPIT!$H$4="Toutes",$C192=COCKPIT!$H$4),OR(COCKPIT!$K$4="Toutes",$B192=COCKPIT!$K$4)),1,0))</f>
        <v/>
      </c>
    </row>
    <row r="193" ht="15" customHeight="1">
      <c r="A193" s="87" t="n"/>
      <c r="B193" s="88" t="n"/>
      <c r="C193" s="88" t="n"/>
      <c r="D193" s="88" t="n"/>
      <c r="E193" s="88" t="n"/>
      <c r="F193" s="89" t="n"/>
      <c r="G193" s="89" t="n"/>
      <c r="H193" s="89" t="n"/>
      <c r="I193" s="89" t="n"/>
      <c r="J193" s="89" t="n"/>
      <c r="K193" s="89" t="n"/>
      <c r="L193" s="89" t="n"/>
      <c r="M193" s="89" t="n"/>
      <c r="N193" s="89" t="n"/>
      <c r="O193" s="90">
        <f>IF($E193="","",IFERROR(INDEX(PARAMETRES!$O$7:$O$36,MATCH($E193,PARAMETRES!$M$7:$M$36,0)),""))</f>
        <v/>
      </c>
      <c r="P193" s="89" t="n"/>
      <c r="Q193" s="89" t="n"/>
      <c r="R193" s="89" t="n"/>
      <c r="S193" s="89" t="n"/>
      <c r="T193" s="89" t="n"/>
      <c r="U193" s="91" t="n"/>
      <c r="V193" s="91" t="n"/>
      <c r="W193" s="91" t="n"/>
      <c r="X193" s="89" t="n"/>
      <c r="Y193" s="89" t="n"/>
      <c r="Z193" s="88" t="n"/>
      <c r="AA193" s="88" t="n"/>
      <c r="AB193" s="92">
        <f>IF($A193="","",MAX(0,$F193-$G193))</f>
        <v/>
      </c>
      <c r="AC193" s="92">
        <f>IF($A193="","",SUM($H193:$M193))</f>
        <v/>
      </c>
      <c r="AD193" s="92">
        <f>IF($A193="","",MAX(0,$AB193-$AC193))</f>
        <v/>
      </c>
      <c r="AE193" s="92">
        <f>IF($A193="","",IFERROR($Q193/$O193,""))</f>
        <v/>
      </c>
      <c r="AF193" s="93">
        <f>IF($A193="","",IFERROR($AD193/$AB193,""))</f>
        <v/>
      </c>
      <c r="AG193" s="93">
        <f>IF($A193="","",IFERROR(($P193/$O193)/$AD193,""))</f>
        <v/>
      </c>
      <c r="AH193" s="93">
        <f>IF($A193="","",IFERROR($Q193/$P193,""))</f>
        <v/>
      </c>
      <c r="AI193" s="93">
        <f>IF($A193="","",IFERROR($AF193*$AG193*$AH193,""))</f>
        <v/>
      </c>
      <c r="AJ193" s="93">
        <f>IF($A193="","",IFERROR($AE193/$F193,""))</f>
        <v/>
      </c>
      <c r="AK193" s="92">
        <f>IF($A193="","",IFERROR($AD193/$N193,""))</f>
        <v/>
      </c>
      <c r="AL193" s="92">
        <f>IF($A193="","",IFERROR($H193/$N193,""))</f>
        <v/>
      </c>
      <c r="AM193" s="92">
        <f>IF($A193="","",IFERROR(($P193-$Q193)/$P193*1000000,""))</f>
        <v/>
      </c>
      <c r="AN193" s="93">
        <f>IF($A193="","",IFERROR(($Q193+$R193)/$T193,""))</f>
        <v/>
      </c>
      <c r="AO193" s="93">
        <f>IF($A193="","",IFERROR($V193/$U193,""))</f>
        <v/>
      </c>
      <c r="AP193" s="92">
        <f>IF($A193="","",IFERROR(MAX(0,$AD193-$P193/$O193),""))</f>
        <v/>
      </c>
      <c r="AQ193" s="92">
        <f>IF($A193="","",IFERROR(($P193-$Q193)/$O193,""))</f>
        <v/>
      </c>
      <c r="AR193" s="94">
        <f>IF($A193="","",IF($F193="","Temps d'ouverture manquant",IF($O193="","Cadence produit inconnue",IF($G193&gt;$F193,"Arrêts planifiés &gt; temps d'ouverture",IF($AC193&gt;$AB193,"Arrêts subis &gt; temps requis",IF($P193&lt;&gt;$Q193+$R193+$S193,"Produite ≠ conforme + retouchée + rebutée",IF($Q193&gt;$P193,"Conforme &gt; produite",IF($V193&gt;$U193,"Présents &gt; prévus","OK"))))))))</f>
        <v/>
      </c>
      <c r="AS193" s="95">
        <f>IF($A193="",0,IF(AND(OR(COCKPIT!$H$4="Toutes",$C193=COCKPIT!$H$4),OR(COCKPIT!$K$4="Toutes",$B193=COCKPIT!$K$4)),1,0))</f>
        <v/>
      </c>
    </row>
    <row r="194" ht="15" customHeight="1">
      <c r="A194" s="87" t="n"/>
      <c r="B194" s="88" t="n"/>
      <c r="C194" s="88" t="n"/>
      <c r="D194" s="88" t="n"/>
      <c r="E194" s="88" t="n"/>
      <c r="F194" s="89" t="n"/>
      <c r="G194" s="89" t="n"/>
      <c r="H194" s="89" t="n"/>
      <c r="I194" s="89" t="n"/>
      <c r="J194" s="89" t="n"/>
      <c r="K194" s="89" t="n"/>
      <c r="L194" s="89" t="n"/>
      <c r="M194" s="89" t="n"/>
      <c r="N194" s="89" t="n"/>
      <c r="O194" s="90">
        <f>IF($E194="","",IFERROR(INDEX(PARAMETRES!$O$7:$O$36,MATCH($E194,PARAMETRES!$M$7:$M$36,0)),""))</f>
        <v/>
      </c>
      <c r="P194" s="89" t="n"/>
      <c r="Q194" s="89" t="n"/>
      <c r="R194" s="89" t="n"/>
      <c r="S194" s="89" t="n"/>
      <c r="T194" s="89" t="n"/>
      <c r="U194" s="91" t="n"/>
      <c r="V194" s="91" t="n"/>
      <c r="W194" s="91" t="n"/>
      <c r="X194" s="89" t="n"/>
      <c r="Y194" s="89" t="n"/>
      <c r="Z194" s="88" t="n"/>
      <c r="AA194" s="88" t="n"/>
      <c r="AB194" s="92">
        <f>IF($A194="","",MAX(0,$F194-$G194))</f>
        <v/>
      </c>
      <c r="AC194" s="92">
        <f>IF($A194="","",SUM($H194:$M194))</f>
        <v/>
      </c>
      <c r="AD194" s="92">
        <f>IF($A194="","",MAX(0,$AB194-$AC194))</f>
        <v/>
      </c>
      <c r="AE194" s="92">
        <f>IF($A194="","",IFERROR($Q194/$O194,""))</f>
        <v/>
      </c>
      <c r="AF194" s="93">
        <f>IF($A194="","",IFERROR($AD194/$AB194,""))</f>
        <v/>
      </c>
      <c r="AG194" s="93">
        <f>IF($A194="","",IFERROR(($P194/$O194)/$AD194,""))</f>
        <v/>
      </c>
      <c r="AH194" s="93">
        <f>IF($A194="","",IFERROR($Q194/$P194,""))</f>
        <v/>
      </c>
      <c r="AI194" s="93">
        <f>IF($A194="","",IFERROR($AF194*$AG194*$AH194,""))</f>
        <v/>
      </c>
      <c r="AJ194" s="93">
        <f>IF($A194="","",IFERROR($AE194/$F194,""))</f>
        <v/>
      </c>
      <c r="AK194" s="92">
        <f>IF($A194="","",IFERROR($AD194/$N194,""))</f>
        <v/>
      </c>
      <c r="AL194" s="92">
        <f>IF($A194="","",IFERROR($H194/$N194,""))</f>
        <v/>
      </c>
      <c r="AM194" s="92">
        <f>IF($A194="","",IFERROR(($P194-$Q194)/$P194*1000000,""))</f>
        <v/>
      </c>
      <c r="AN194" s="93">
        <f>IF($A194="","",IFERROR(($Q194+$R194)/$T194,""))</f>
        <v/>
      </c>
      <c r="AO194" s="93">
        <f>IF($A194="","",IFERROR($V194/$U194,""))</f>
        <v/>
      </c>
      <c r="AP194" s="92">
        <f>IF($A194="","",IFERROR(MAX(0,$AD194-$P194/$O194),""))</f>
        <v/>
      </c>
      <c r="AQ194" s="92">
        <f>IF($A194="","",IFERROR(($P194-$Q194)/$O194,""))</f>
        <v/>
      </c>
      <c r="AR194" s="94">
        <f>IF($A194="","",IF($F194="","Temps d'ouverture manquant",IF($O194="","Cadence produit inconnue",IF($G194&gt;$F194,"Arrêts planifiés &gt; temps d'ouverture",IF($AC194&gt;$AB194,"Arrêts subis &gt; temps requis",IF($P194&lt;&gt;$Q194+$R194+$S194,"Produite ≠ conforme + retouchée + rebutée",IF($Q194&gt;$P194,"Conforme &gt; produite",IF($V194&gt;$U194,"Présents &gt; prévus","OK"))))))))</f>
        <v/>
      </c>
      <c r="AS194" s="95">
        <f>IF($A194="",0,IF(AND(OR(COCKPIT!$H$4="Toutes",$C194=COCKPIT!$H$4),OR(COCKPIT!$K$4="Toutes",$B194=COCKPIT!$K$4)),1,0))</f>
        <v/>
      </c>
    </row>
    <row r="195" ht="15" customHeight="1">
      <c r="A195" s="87" t="n"/>
      <c r="B195" s="88" t="n"/>
      <c r="C195" s="88" t="n"/>
      <c r="D195" s="88" t="n"/>
      <c r="E195" s="88" t="n"/>
      <c r="F195" s="89" t="n"/>
      <c r="G195" s="89" t="n"/>
      <c r="H195" s="89" t="n"/>
      <c r="I195" s="89" t="n"/>
      <c r="J195" s="89" t="n"/>
      <c r="K195" s="89" t="n"/>
      <c r="L195" s="89" t="n"/>
      <c r="M195" s="89" t="n"/>
      <c r="N195" s="89" t="n"/>
      <c r="O195" s="90">
        <f>IF($E195="","",IFERROR(INDEX(PARAMETRES!$O$7:$O$36,MATCH($E195,PARAMETRES!$M$7:$M$36,0)),""))</f>
        <v/>
      </c>
      <c r="P195" s="89" t="n"/>
      <c r="Q195" s="89" t="n"/>
      <c r="R195" s="89" t="n"/>
      <c r="S195" s="89" t="n"/>
      <c r="T195" s="89" t="n"/>
      <c r="U195" s="91" t="n"/>
      <c r="V195" s="91" t="n"/>
      <c r="W195" s="91" t="n"/>
      <c r="X195" s="89" t="n"/>
      <c r="Y195" s="89" t="n"/>
      <c r="Z195" s="88" t="n"/>
      <c r="AA195" s="88" t="n"/>
      <c r="AB195" s="92">
        <f>IF($A195="","",MAX(0,$F195-$G195))</f>
        <v/>
      </c>
      <c r="AC195" s="92">
        <f>IF($A195="","",SUM($H195:$M195))</f>
        <v/>
      </c>
      <c r="AD195" s="92">
        <f>IF($A195="","",MAX(0,$AB195-$AC195))</f>
        <v/>
      </c>
      <c r="AE195" s="92">
        <f>IF($A195="","",IFERROR($Q195/$O195,""))</f>
        <v/>
      </c>
      <c r="AF195" s="93">
        <f>IF($A195="","",IFERROR($AD195/$AB195,""))</f>
        <v/>
      </c>
      <c r="AG195" s="93">
        <f>IF($A195="","",IFERROR(($P195/$O195)/$AD195,""))</f>
        <v/>
      </c>
      <c r="AH195" s="93">
        <f>IF($A195="","",IFERROR($Q195/$P195,""))</f>
        <v/>
      </c>
      <c r="AI195" s="93">
        <f>IF($A195="","",IFERROR($AF195*$AG195*$AH195,""))</f>
        <v/>
      </c>
      <c r="AJ195" s="93">
        <f>IF($A195="","",IFERROR($AE195/$F195,""))</f>
        <v/>
      </c>
      <c r="AK195" s="92">
        <f>IF($A195="","",IFERROR($AD195/$N195,""))</f>
        <v/>
      </c>
      <c r="AL195" s="92">
        <f>IF($A195="","",IFERROR($H195/$N195,""))</f>
        <v/>
      </c>
      <c r="AM195" s="92">
        <f>IF($A195="","",IFERROR(($P195-$Q195)/$P195*1000000,""))</f>
        <v/>
      </c>
      <c r="AN195" s="93">
        <f>IF($A195="","",IFERROR(($Q195+$R195)/$T195,""))</f>
        <v/>
      </c>
      <c r="AO195" s="93">
        <f>IF($A195="","",IFERROR($V195/$U195,""))</f>
        <v/>
      </c>
      <c r="AP195" s="92">
        <f>IF($A195="","",IFERROR(MAX(0,$AD195-$P195/$O195),""))</f>
        <v/>
      </c>
      <c r="AQ195" s="92">
        <f>IF($A195="","",IFERROR(($P195-$Q195)/$O195,""))</f>
        <v/>
      </c>
      <c r="AR195" s="94">
        <f>IF($A195="","",IF($F195="","Temps d'ouverture manquant",IF($O195="","Cadence produit inconnue",IF($G195&gt;$F195,"Arrêts planifiés &gt; temps d'ouverture",IF($AC195&gt;$AB195,"Arrêts subis &gt; temps requis",IF($P195&lt;&gt;$Q195+$R195+$S195,"Produite ≠ conforme + retouchée + rebutée",IF($Q195&gt;$P195,"Conforme &gt; produite",IF($V195&gt;$U195,"Présents &gt; prévus","OK"))))))))</f>
        <v/>
      </c>
      <c r="AS195" s="95">
        <f>IF($A195="",0,IF(AND(OR(COCKPIT!$H$4="Toutes",$C195=COCKPIT!$H$4),OR(COCKPIT!$K$4="Toutes",$B195=COCKPIT!$K$4)),1,0))</f>
        <v/>
      </c>
    </row>
    <row r="196" ht="15" customHeight="1">
      <c r="A196" s="87" t="n"/>
      <c r="B196" s="88" t="n"/>
      <c r="C196" s="88" t="n"/>
      <c r="D196" s="88" t="n"/>
      <c r="E196" s="88" t="n"/>
      <c r="F196" s="89" t="n"/>
      <c r="G196" s="89" t="n"/>
      <c r="H196" s="89" t="n"/>
      <c r="I196" s="89" t="n"/>
      <c r="J196" s="89" t="n"/>
      <c r="K196" s="89" t="n"/>
      <c r="L196" s="89" t="n"/>
      <c r="M196" s="89" t="n"/>
      <c r="N196" s="89" t="n"/>
      <c r="O196" s="90">
        <f>IF($E196="","",IFERROR(INDEX(PARAMETRES!$O$7:$O$36,MATCH($E196,PARAMETRES!$M$7:$M$36,0)),""))</f>
        <v/>
      </c>
      <c r="P196" s="89" t="n"/>
      <c r="Q196" s="89" t="n"/>
      <c r="R196" s="89" t="n"/>
      <c r="S196" s="89" t="n"/>
      <c r="T196" s="89" t="n"/>
      <c r="U196" s="91" t="n"/>
      <c r="V196" s="91" t="n"/>
      <c r="W196" s="91" t="n"/>
      <c r="X196" s="89" t="n"/>
      <c r="Y196" s="89" t="n"/>
      <c r="Z196" s="88" t="n"/>
      <c r="AA196" s="88" t="n"/>
      <c r="AB196" s="92">
        <f>IF($A196="","",MAX(0,$F196-$G196))</f>
        <v/>
      </c>
      <c r="AC196" s="92">
        <f>IF($A196="","",SUM($H196:$M196))</f>
        <v/>
      </c>
      <c r="AD196" s="92">
        <f>IF($A196="","",MAX(0,$AB196-$AC196))</f>
        <v/>
      </c>
      <c r="AE196" s="92">
        <f>IF($A196="","",IFERROR($Q196/$O196,""))</f>
        <v/>
      </c>
      <c r="AF196" s="93">
        <f>IF($A196="","",IFERROR($AD196/$AB196,""))</f>
        <v/>
      </c>
      <c r="AG196" s="93">
        <f>IF($A196="","",IFERROR(($P196/$O196)/$AD196,""))</f>
        <v/>
      </c>
      <c r="AH196" s="93">
        <f>IF($A196="","",IFERROR($Q196/$P196,""))</f>
        <v/>
      </c>
      <c r="AI196" s="93">
        <f>IF($A196="","",IFERROR($AF196*$AG196*$AH196,""))</f>
        <v/>
      </c>
      <c r="AJ196" s="93">
        <f>IF($A196="","",IFERROR($AE196/$F196,""))</f>
        <v/>
      </c>
      <c r="AK196" s="92">
        <f>IF($A196="","",IFERROR($AD196/$N196,""))</f>
        <v/>
      </c>
      <c r="AL196" s="92">
        <f>IF($A196="","",IFERROR($H196/$N196,""))</f>
        <v/>
      </c>
      <c r="AM196" s="92">
        <f>IF($A196="","",IFERROR(($P196-$Q196)/$P196*1000000,""))</f>
        <v/>
      </c>
      <c r="AN196" s="93">
        <f>IF($A196="","",IFERROR(($Q196+$R196)/$T196,""))</f>
        <v/>
      </c>
      <c r="AO196" s="93">
        <f>IF($A196="","",IFERROR($V196/$U196,""))</f>
        <v/>
      </c>
      <c r="AP196" s="92">
        <f>IF($A196="","",IFERROR(MAX(0,$AD196-$P196/$O196),""))</f>
        <v/>
      </c>
      <c r="AQ196" s="92">
        <f>IF($A196="","",IFERROR(($P196-$Q196)/$O196,""))</f>
        <v/>
      </c>
      <c r="AR196" s="94">
        <f>IF($A196="","",IF($F196="","Temps d'ouverture manquant",IF($O196="","Cadence produit inconnue",IF($G196&gt;$F196,"Arrêts planifiés &gt; temps d'ouverture",IF($AC196&gt;$AB196,"Arrêts subis &gt; temps requis",IF($P196&lt;&gt;$Q196+$R196+$S196,"Produite ≠ conforme + retouchée + rebutée",IF($Q196&gt;$P196,"Conforme &gt; produite",IF($V196&gt;$U196,"Présents &gt; prévus","OK"))))))))</f>
        <v/>
      </c>
      <c r="AS196" s="95">
        <f>IF($A196="",0,IF(AND(OR(COCKPIT!$H$4="Toutes",$C196=COCKPIT!$H$4),OR(COCKPIT!$K$4="Toutes",$B196=COCKPIT!$K$4)),1,0))</f>
        <v/>
      </c>
    </row>
    <row r="197" ht="15" customHeight="1">
      <c r="A197" s="87" t="n"/>
      <c r="B197" s="88" t="n"/>
      <c r="C197" s="88" t="n"/>
      <c r="D197" s="88" t="n"/>
      <c r="E197" s="88" t="n"/>
      <c r="F197" s="89" t="n"/>
      <c r="G197" s="89" t="n"/>
      <c r="H197" s="89" t="n"/>
      <c r="I197" s="89" t="n"/>
      <c r="J197" s="89" t="n"/>
      <c r="K197" s="89" t="n"/>
      <c r="L197" s="89" t="n"/>
      <c r="M197" s="89" t="n"/>
      <c r="N197" s="89" t="n"/>
      <c r="O197" s="90">
        <f>IF($E197="","",IFERROR(INDEX(PARAMETRES!$O$7:$O$36,MATCH($E197,PARAMETRES!$M$7:$M$36,0)),""))</f>
        <v/>
      </c>
      <c r="P197" s="89" t="n"/>
      <c r="Q197" s="89" t="n"/>
      <c r="R197" s="89" t="n"/>
      <c r="S197" s="89" t="n"/>
      <c r="T197" s="89" t="n"/>
      <c r="U197" s="91" t="n"/>
      <c r="V197" s="91" t="n"/>
      <c r="W197" s="91" t="n"/>
      <c r="X197" s="89" t="n"/>
      <c r="Y197" s="89" t="n"/>
      <c r="Z197" s="88" t="n"/>
      <c r="AA197" s="88" t="n"/>
      <c r="AB197" s="92">
        <f>IF($A197="","",MAX(0,$F197-$G197))</f>
        <v/>
      </c>
      <c r="AC197" s="92">
        <f>IF($A197="","",SUM($H197:$M197))</f>
        <v/>
      </c>
      <c r="AD197" s="92">
        <f>IF($A197="","",MAX(0,$AB197-$AC197))</f>
        <v/>
      </c>
      <c r="AE197" s="92">
        <f>IF($A197="","",IFERROR($Q197/$O197,""))</f>
        <v/>
      </c>
      <c r="AF197" s="93">
        <f>IF($A197="","",IFERROR($AD197/$AB197,""))</f>
        <v/>
      </c>
      <c r="AG197" s="93">
        <f>IF($A197="","",IFERROR(($P197/$O197)/$AD197,""))</f>
        <v/>
      </c>
      <c r="AH197" s="93">
        <f>IF($A197="","",IFERROR($Q197/$P197,""))</f>
        <v/>
      </c>
      <c r="AI197" s="93">
        <f>IF($A197="","",IFERROR($AF197*$AG197*$AH197,""))</f>
        <v/>
      </c>
      <c r="AJ197" s="93">
        <f>IF($A197="","",IFERROR($AE197/$F197,""))</f>
        <v/>
      </c>
      <c r="AK197" s="92">
        <f>IF($A197="","",IFERROR($AD197/$N197,""))</f>
        <v/>
      </c>
      <c r="AL197" s="92">
        <f>IF($A197="","",IFERROR($H197/$N197,""))</f>
        <v/>
      </c>
      <c r="AM197" s="92">
        <f>IF($A197="","",IFERROR(($P197-$Q197)/$P197*1000000,""))</f>
        <v/>
      </c>
      <c r="AN197" s="93">
        <f>IF($A197="","",IFERROR(($Q197+$R197)/$T197,""))</f>
        <v/>
      </c>
      <c r="AO197" s="93">
        <f>IF($A197="","",IFERROR($V197/$U197,""))</f>
        <v/>
      </c>
      <c r="AP197" s="92">
        <f>IF($A197="","",IFERROR(MAX(0,$AD197-$P197/$O197),""))</f>
        <v/>
      </c>
      <c r="AQ197" s="92">
        <f>IF($A197="","",IFERROR(($P197-$Q197)/$O197,""))</f>
        <v/>
      </c>
      <c r="AR197" s="94">
        <f>IF($A197="","",IF($F197="","Temps d'ouverture manquant",IF($O197="","Cadence produit inconnue",IF($G197&gt;$F197,"Arrêts planifiés &gt; temps d'ouverture",IF($AC197&gt;$AB197,"Arrêts subis &gt; temps requis",IF($P197&lt;&gt;$Q197+$R197+$S197,"Produite ≠ conforme + retouchée + rebutée",IF($Q197&gt;$P197,"Conforme &gt; produite",IF($V197&gt;$U197,"Présents &gt; prévus","OK"))))))))</f>
        <v/>
      </c>
      <c r="AS197" s="95">
        <f>IF($A197="",0,IF(AND(OR(COCKPIT!$H$4="Toutes",$C197=COCKPIT!$H$4),OR(COCKPIT!$K$4="Toutes",$B197=COCKPIT!$K$4)),1,0))</f>
        <v/>
      </c>
    </row>
    <row r="198" ht="15" customHeight="1">
      <c r="A198" s="87" t="n"/>
      <c r="B198" s="88" t="n"/>
      <c r="C198" s="88" t="n"/>
      <c r="D198" s="88" t="n"/>
      <c r="E198" s="88" t="n"/>
      <c r="F198" s="89" t="n"/>
      <c r="G198" s="89" t="n"/>
      <c r="H198" s="89" t="n"/>
      <c r="I198" s="89" t="n"/>
      <c r="J198" s="89" t="n"/>
      <c r="K198" s="89" t="n"/>
      <c r="L198" s="89" t="n"/>
      <c r="M198" s="89" t="n"/>
      <c r="N198" s="89" t="n"/>
      <c r="O198" s="90">
        <f>IF($E198="","",IFERROR(INDEX(PARAMETRES!$O$7:$O$36,MATCH($E198,PARAMETRES!$M$7:$M$36,0)),""))</f>
        <v/>
      </c>
      <c r="P198" s="89" t="n"/>
      <c r="Q198" s="89" t="n"/>
      <c r="R198" s="89" t="n"/>
      <c r="S198" s="89" t="n"/>
      <c r="T198" s="89" t="n"/>
      <c r="U198" s="91" t="n"/>
      <c r="V198" s="91" t="n"/>
      <c r="W198" s="91" t="n"/>
      <c r="X198" s="89" t="n"/>
      <c r="Y198" s="89" t="n"/>
      <c r="Z198" s="88" t="n"/>
      <c r="AA198" s="88" t="n"/>
      <c r="AB198" s="92">
        <f>IF($A198="","",MAX(0,$F198-$G198))</f>
        <v/>
      </c>
      <c r="AC198" s="92">
        <f>IF($A198="","",SUM($H198:$M198))</f>
        <v/>
      </c>
      <c r="AD198" s="92">
        <f>IF($A198="","",MAX(0,$AB198-$AC198))</f>
        <v/>
      </c>
      <c r="AE198" s="92">
        <f>IF($A198="","",IFERROR($Q198/$O198,""))</f>
        <v/>
      </c>
      <c r="AF198" s="93">
        <f>IF($A198="","",IFERROR($AD198/$AB198,""))</f>
        <v/>
      </c>
      <c r="AG198" s="93">
        <f>IF($A198="","",IFERROR(($P198/$O198)/$AD198,""))</f>
        <v/>
      </c>
      <c r="AH198" s="93">
        <f>IF($A198="","",IFERROR($Q198/$P198,""))</f>
        <v/>
      </c>
      <c r="AI198" s="93">
        <f>IF($A198="","",IFERROR($AF198*$AG198*$AH198,""))</f>
        <v/>
      </c>
      <c r="AJ198" s="93">
        <f>IF($A198="","",IFERROR($AE198/$F198,""))</f>
        <v/>
      </c>
      <c r="AK198" s="92">
        <f>IF($A198="","",IFERROR($AD198/$N198,""))</f>
        <v/>
      </c>
      <c r="AL198" s="92">
        <f>IF($A198="","",IFERROR($H198/$N198,""))</f>
        <v/>
      </c>
      <c r="AM198" s="92">
        <f>IF($A198="","",IFERROR(($P198-$Q198)/$P198*1000000,""))</f>
        <v/>
      </c>
      <c r="AN198" s="93">
        <f>IF($A198="","",IFERROR(($Q198+$R198)/$T198,""))</f>
        <v/>
      </c>
      <c r="AO198" s="93">
        <f>IF($A198="","",IFERROR($V198/$U198,""))</f>
        <v/>
      </c>
      <c r="AP198" s="92">
        <f>IF($A198="","",IFERROR(MAX(0,$AD198-$P198/$O198),""))</f>
        <v/>
      </c>
      <c r="AQ198" s="92">
        <f>IF($A198="","",IFERROR(($P198-$Q198)/$O198,""))</f>
        <v/>
      </c>
      <c r="AR198" s="94">
        <f>IF($A198="","",IF($F198="","Temps d'ouverture manquant",IF($O198="","Cadence produit inconnue",IF($G198&gt;$F198,"Arrêts planifiés &gt; temps d'ouverture",IF($AC198&gt;$AB198,"Arrêts subis &gt; temps requis",IF($P198&lt;&gt;$Q198+$R198+$S198,"Produite ≠ conforme + retouchée + rebutée",IF($Q198&gt;$P198,"Conforme &gt; produite",IF($V198&gt;$U198,"Présents &gt; prévus","OK"))))))))</f>
        <v/>
      </c>
      <c r="AS198" s="95">
        <f>IF($A198="",0,IF(AND(OR(COCKPIT!$H$4="Toutes",$C198=COCKPIT!$H$4),OR(COCKPIT!$K$4="Toutes",$B198=COCKPIT!$K$4)),1,0))</f>
        <v/>
      </c>
    </row>
    <row r="199" ht="15" customHeight="1">
      <c r="A199" s="87" t="n"/>
      <c r="B199" s="88" t="n"/>
      <c r="C199" s="88" t="n"/>
      <c r="D199" s="88" t="n"/>
      <c r="E199" s="88" t="n"/>
      <c r="F199" s="89" t="n"/>
      <c r="G199" s="89" t="n"/>
      <c r="H199" s="89" t="n"/>
      <c r="I199" s="89" t="n"/>
      <c r="J199" s="89" t="n"/>
      <c r="K199" s="89" t="n"/>
      <c r="L199" s="89" t="n"/>
      <c r="M199" s="89" t="n"/>
      <c r="N199" s="89" t="n"/>
      <c r="O199" s="90">
        <f>IF($E199="","",IFERROR(INDEX(PARAMETRES!$O$7:$O$36,MATCH($E199,PARAMETRES!$M$7:$M$36,0)),""))</f>
        <v/>
      </c>
      <c r="P199" s="89" t="n"/>
      <c r="Q199" s="89" t="n"/>
      <c r="R199" s="89" t="n"/>
      <c r="S199" s="89" t="n"/>
      <c r="T199" s="89" t="n"/>
      <c r="U199" s="91" t="n"/>
      <c r="V199" s="91" t="n"/>
      <c r="W199" s="91" t="n"/>
      <c r="X199" s="89" t="n"/>
      <c r="Y199" s="89" t="n"/>
      <c r="Z199" s="88" t="n"/>
      <c r="AA199" s="88" t="n"/>
      <c r="AB199" s="92">
        <f>IF($A199="","",MAX(0,$F199-$G199))</f>
        <v/>
      </c>
      <c r="AC199" s="92">
        <f>IF($A199="","",SUM($H199:$M199))</f>
        <v/>
      </c>
      <c r="AD199" s="92">
        <f>IF($A199="","",MAX(0,$AB199-$AC199))</f>
        <v/>
      </c>
      <c r="AE199" s="92">
        <f>IF($A199="","",IFERROR($Q199/$O199,""))</f>
        <v/>
      </c>
      <c r="AF199" s="93">
        <f>IF($A199="","",IFERROR($AD199/$AB199,""))</f>
        <v/>
      </c>
      <c r="AG199" s="93">
        <f>IF($A199="","",IFERROR(($P199/$O199)/$AD199,""))</f>
        <v/>
      </c>
      <c r="AH199" s="93">
        <f>IF($A199="","",IFERROR($Q199/$P199,""))</f>
        <v/>
      </c>
      <c r="AI199" s="93">
        <f>IF($A199="","",IFERROR($AF199*$AG199*$AH199,""))</f>
        <v/>
      </c>
      <c r="AJ199" s="93">
        <f>IF($A199="","",IFERROR($AE199/$F199,""))</f>
        <v/>
      </c>
      <c r="AK199" s="92">
        <f>IF($A199="","",IFERROR($AD199/$N199,""))</f>
        <v/>
      </c>
      <c r="AL199" s="92">
        <f>IF($A199="","",IFERROR($H199/$N199,""))</f>
        <v/>
      </c>
      <c r="AM199" s="92">
        <f>IF($A199="","",IFERROR(($P199-$Q199)/$P199*1000000,""))</f>
        <v/>
      </c>
      <c r="AN199" s="93">
        <f>IF($A199="","",IFERROR(($Q199+$R199)/$T199,""))</f>
        <v/>
      </c>
      <c r="AO199" s="93">
        <f>IF($A199="","",IFERROR($V199/$U199,""))</f>
        <v/>
      </c>
      <c r="AP199" s="92">
        <f>IF($A199="","",IFERROR(MAX(0,$AD199-$P199/$O199),""))</f>
        <v/>
      </c>
      <c r="AQ199" s="92">
        <f>IF($A199="","",IFERROR(($P199-$Q199)/$O199,""))</f>
        <v/>
      </c>
      <c r="AR199" s="94">
        <f>IF($A199="","",IF($F199="","Temps d'ouverture manquant",IF($O199="","Cadence produit inconnue",IF($G199&gt;$F199,"Arrêts planifiés &gt; temps d'ouverture",IF($AC199&gt;$AB199,"Arrêts subis &gt; temps requis",IF($P199&lt;&gt;$Q199+$R199+$S199,"Produite ≠ conforme + retouchée + rebutée",IF($Q199&gt;$P199,"Conforme &gt; produite",IF($V199&gt;$U199,"Présents &gt; prévus","OK"))))))))</f>
        <v/>
      </c>
      <c r="AS199" s="95">
        <f>IF($A199="",0,IF(AND(OR(COCKPIT!$H$4="Toutes",$C199=COCKPIT!$H$4),OR(COCKPIT!$K$4="Toutes",$B199=COCKPIT!$K$4)),1,0))</f>
        <v/>
      </c>
    </row>
    <row r="200" ht="15" customHeight="1">
      <c r="A200" s="87" t="n"/>
      <c r="B200" s="88" t="n"/>
      <c r="C200" s="88" t="n"/>
      <c r="D200" s="88" t="n"/>
      <c r="E200" s="88" t="n"/>
      <c r="F200" s="89" t="n"/>
      <c r="G200" s="89" t="n"/>
      <c r="H200" s="89" t="n"/>
      <c r="I200" s="89" t="n"/>
      <c r="J200" s="89" t="n"/>
      <c r="K200" s="89" t="n"/>
      <c r="L200" s="89" t="n"/>
      <c r="M200" s="89" t="n"/>
      <c r="N200" s="89" t="n"/>
      <c r="O200" s="90">
        <f>IF($E200="","",IFERROR(INDEX(PARAMETRES!$O$7:$O$36,MATCH($E200,PARAMETRES!$M$7:$M$36,0)),""))</f>
        <v/>
      </c>
      <c r="P200" s="89" t="n"/>
      <c r="Q200" s="89" t="n"/>
      <c r="R200" s="89" t="n"/>
      <c r="S200" s="89" t="n"/>
      <c r="T200" s="89" t="n"/>
      <c r="U200" s="91" t="n"/>
      <c r="V200" s="91" t="n"/>
      <c r="W200" s="91" t="n"/>
      <c r="X200" s="89" t="n"/>
      <c r="Y200" s="89" t="n"/>
      <c r="Z200" s="88" t="n"/>
      <c r="AA200" s="88" t="n"/>
      <c r="AB200" s="92">
        <f>IF($A200="","",MAX(0,$F200-$G200))</f>
        <v/>
      </c>
      <c r="AC200" s="92">
        <f>IF($A200="","",SUM($H200:$M200))</f>
        <v/>
      </c>
      <c r="AD200" s="92">
        <f>IF($A200="","",MAX(0,$AB200-$AC200))</f>
        <v/>
      </c>
      <c r="AE200" s="92">
        <f>IF($A200="","",IFERROR($Q200/$O200,""))</f>
        <v/>
      </c>
      <c r="AF200" s="93">
        <f>IF($A200="","",IFERROR($AD200/$AB200,""))</f>
        <v/>
      </c>
      <c r="AG200" s="93">
        <f>IF($A200="","",IFERROR(($P200/$O200)/$AD200,""))</f>
        <v/>
      </c>
      <c r="AH200" s="93">
        <f>IF($A200="","",IFERROR($Q200/$P200,""))</f>
        <v/>
      </c>
      <c r="AI200" s="93">
        <f>IF($A200="","",IFERROR($AF200*$AG200*$AH200,""))</f>
        <v/>
      </c>
      <c r="AJ200" s="93">
        <f>IF($A200="","",IFERROR($AE200/$F200,""))</f>
        <v/>
      </c>
      <c r="AK200" s="92">
        <f>IF($A200="","",IFERROR($AD200/$N200,""))</f>
        <v/>
      </c>
      <c r="AL200" s="92">
        <f>IF($A200="","",IFERROR($H200/$N200,""))</f>
        <v/>
      </c>
      <c r="AM200" s="92">
        <f>IF($A200="","",IFERROR(($P200-$Q200)/$P200*1000000,""))</f>
        <v/>
      </c>
      <c r="AN200" s="93">
        <f>IF($A200="","",IFERROR(($Q200+$R200)/$T200,""))</f>
        <v/>
      </c>
      <c r="AO200" s="93">
        <f>IF($A200="","",IFERROR($V200/$U200,""))</f>
        <v/>
      </c>
      <c r="AP200" s="92">
        <f>IF($A200="","",IFERROR(MAX(0,$AD200-$P200/$O200),""))</f>
        <v/>
      </c>
      <c r="AQ200" s="92">
        <f>IF($A200="","",IFERROR(($P200-$Q200)/$O200,""))</f>
        <v/>
      </c>
      <c r="AR200" s="94">
        <f>IF($A200="","",IF($F200="","Temps d'ouverture manquant",IF($O200="","Cadence produit inconnue",IF($G200&gt;$F200,"Arrêts planifiés &gt; temps d'ouverture",IF($AC200&gt;$AB200,"Arrêts subis &gt; temps requis",IF($P200&lt;&gt;$Q200+$R200+$S200,"Produite ≠ conforme + retouchée + rebutée",IF($Q200&gt;$P200,"Conforme &gt; produite",IF($V200&gt;$U200,"Présents &gt; prévus","OK"))))))))</f>
        <v/>
      </c>
      <c r="AS200" s="95">
        <f>IF($A200="",0,IF(AND(OR(COCKPIT!$H$4="Toutes",$C200=COCKPIT!$H$4),OR(COCKPIT!$K$4="Toutes",$B200=COCKPIT!$K$4)),1,0))</f>
        <v/>
      </c>
    </row>
    <row r="201" ht="15" customHeight="1">
      <c r="A201" s="87" t="n"/>
      <c r="B201" s="88" t="n"/>
      <c r="C201" s="88" t="n"/>
      <c r="D201" s="88" t="n"/>
      <c r="E201" s="88" t="n"/>
      <c r="F201" s="89" t="n"/>
      <c r="G201" s="89" t="n"/>
      <c r="H201" s="89" t="n"/>
      <c r="I201" s="89" t="n"/>
      <c r="J201" s="89" t="n"/>
      <c r="K201" s="89" t="n"/>
      <c r="L201" s="89" t="n"/>
      <c r="M201" s="89" t="n"/>
      <c r="N201" s="89" t="n"/>
      <c r="O201" s="90">
        <f>IF($E201="","",IFERROR(INDEX(PARAMETRES!$O$7:$O$36,MATCH($E201,PARAMETRES!$M$7:$M$36,0)),""))</f>
        <v/>
      </c>
      <c r="P201" s="89" t="n"/>
      <c r="Q201" s="89" t="n"/>
      <c r="R201" s="89" t="n"/>
      <c r="S201" s="89" t="n"/>
      <c r="T201" s="89" t="n"/>
      <c r="U201" s="91" t="n"/>
      <c r="V201" s="91" t="n"/>
      <c r="W201" s="91" t="n"/>
      <c r="X201" s="89" t="n"/>
      <c r="Y201" s="89" t="n"/>
      <c r="Z201" s="88" t="n"/>
      <c r="AA201" s="88" t="n"/>
      <c r="AB201" s="92">
        <f>IF($A201="","",MAX(0,$F201-$G201))</f>
        <v/>
      </c>
      <c r="AC201" s="92">
        <f>IF($A201="","",SUM($H201:$M201))</f>
        <v/>
      </c>
      <c r="AD201" s="92">
        <f>IF($A201="","",MAX(0,$AB201-$AC201))</f>
        <v/>
      </c>
      <c r="AE201" s="92">
        <f>IF($A201="","",IFERROR($Q201/$O201,""))</f>
        <v/>
      </c>
      <c r="AF201" s="93">
        <f>IF($A201="","",IFERROR($AD201/$AB201,""))</f>
        <v/>
      </c>
      <c r="AG201" s="93">
        <f>IF($A201="","",IFERROR(($P201/$O201)/$AD201,""))</f>
        <v/>
      </c>
      <c r="AH201" s="93">
        <f>IF($A201="","",IFERROR($Q201/$P201,""))</f>
        <v/>
      </c>
      <c r="AI201" s="93">
        <f>IF($A201="","",IFERROR($AF201*$AG201*$AH201,""))</f>
        <v/>
      </c>
      <c r="AJ201" s="93">
        <f>IF($A201="","",IFERROR($AE201/$F201,""))</f>
        <v/>
      </c>
      <c r="AK201" s="92">
        <f>IF($A201="","",IFERROR($AD201/$N201,""))</f>
        <v/>
      </c>
      <c r="AL201" s="92">
        <f>IF($A201="","",IFERROR($H201/$N201,""))</f>
        <v/>
      </c>
      <c r="AM201" s="92">
        <f>IF($A201="","",IFERROR(($P201-$Q201)/$P201*1000000,""))</f>
        <v/>
      </c>
      <c r="AN201" s="93">
        <f>IF($A201="","",IFERROR(($Q201+$R201)/$T201,""))</f>
        <v/>
      </c>
      <c r="AO201" s="93">
        <f>IF($A201="","",IFERROR($V201/$U201,""))</f>
        <v/>
      </c>
      <c r="AP201" s="92">
        <f>IF($A201="","",IFERROR(MAX(0,$AD201-$P201/$O201),""))</f>
        <v/>
      </c>
      <c r="AQ201" s="92">
        <f>IF($A201="","",IFERROR(($P201-$Q201)/$O201,""))</f>
        <v/>
      </c>
      <c r="AR201" s="94">
        <f>IF($A201="","",IF($F201="","Temps d'ouverture manquant",IF($O201="","Cadence produit inconnue",IF($G201&gt;$F201,"Arrêts planifiés &gt; temps d'ouverture",IF($AC201&gt;$AB201,"Arrêts subis &gt; temps requis",IF($P201&lt;&gt;$Q201+$R201+$S201,"Produite ≠ conforme + retouchée + rebutée",IF($Q201&gt;$P201,"Conforme &gt; produite",IF($V201&gt;$U201,"Présents &gt; prévus","OK"))))))))</f>
        <v/>
      </c>
      <c r="AS201" s="95">
        <f>IF($A201="",0,IF(AND(OR(COCKPIT!$H$4="Toutes",$C201=COCKPIT!$H$4),OR(COCKPIT!$K$4="Toutes",$B201=COCKPIT!$K$4)),1,0))</f>
        <v/>
      </c>
    </row>
    <row r="202" ht="15" customHeight="1">
      <c r="A202" s="87" t="n"/>
      <c r="B202" s="88" t="n"/>
      <c r="C202" s="88" t="n"/>
      <c r="D202" s="88" t="n"/>
      <c r="E202" s="88" t="n"/>
      <c r="F202" s="89" t="n"/>
      <c r="G202" s="89" t="n"/>
      <c r="H202" s="89" t="n"/>
      <c r="I202" s="89" t="n"/>
      <c r="J202" s="89" t="n"/>
      <c r="K202" s="89" t="n"/>
      <c r="L202" s="89" t="n"/>
      <c r="M202" s="89" t="n"/>
      <c r="N202" s="89" t="n"/>
      <c r="O202" s="90">
        <f>IF($E202="","",IFERROR(INDEX(PARAMETRES!$O$7:$O$36,MATCH($E202,PARAMETRES!$M$7:$M$36,0)),""))</f>
        <v/>
      </c>
      <c r="P202" s="89" t="n"/>
      <c r="Q202" s="89" t="n"/>
      <c r="R202" s="89" t="n"/>
      <c r="S202" s="89" t="n"/>
      <c r="T202" s="89" t="n"/>
      <c r="U202" s="91" t="n"/>
      <c r="V202" s="91" t="n"/>
      <c r="W202" s="91" t="n"/>
      <c r="X202" s="89" t="n"/>
      <c r="Y202" s="89" t="n"/>
      <c r="Z202" s="88" t="n"/>
      <c r="AA202" s="88" t="n"/>
      <c r="AB202" s="92">
        <f>IF($A202="","",MAX(0,$F202-$G202))</f>
        <v/>
      </c>
      <c r="AC202" s="92">
        <f>IF($A202="","",SUM($H202:$M202))</f>
        <v/>
      </c>
      <c r="AD202" s="92">
        <f>IF($A202="","",MAX(0,$AB202-$AC202))</f>
        <v/>
      </c>
      <c r="AE202" s="92">
        <f>IF($A202="","",IFERROR($Q202/$O202,""))</f>
        <v/>
      </c>
      <c r="AF202" s="93">
        <f>IF($A202="","",IFERROR($AD202/$AB202,""))</f>
        <v/>
      </c>
      <c r="AG202" s="93">
        <f>IF($A202="","",IFERROR(($P202/$O202)/$AD202,""))</f>
        <v/>
      </c>
      <c r="AH202" s="93">
        <f>IF($A202="","",IFERROR($Q202/$P202,""))</f>
        <v/>
      </c>
      <c r="AI202" s="93">
        <f>IF($A202="","",IFERROR($AF202*$AG202*$AH202,""))</f>
        <v/>
      </c>
      <c r="AJ202" s="93">
        <f>IF($A202="","",IFERROR($AE202/$F202,""))</f>
        <v/>
      </c>
      <c r="AK202" s="92">
        <f>IF($A202="","",IFERROR($AD202/$N202,""))</f>
        <v/>
      </c>
      <c r="AL202" s="92">
        <f>IF($A202="","",IFERROR($H202/$N202,""))</f>
        <v/>
      </c>
      <c r="AM202" s="92">
        <f>IF($A202="","",IFERROR(($P202-$Q202)/$P202*1000000,""))</f>
        <v/>
      </c>
      <c r="AN202" s="93">
        <f>IF($A202="","",IFERROR(($Q202+$R202)/$T202,""))</f>
        <v/>
      </c>
      <c r="AO202" s="93">
        <f>IF($A202="","",IFERROR($V202/$U202,""))</f>
        <v/>
      </c>
      <c r="AP202" s="92">
        <f>IF($A202="","",IFERROR(MAX(0,$AD202-$P202/$O202),""))</f>
        <v/>
      </c>
      <c r="AQ202" s="92">
        <f>IF($A202="","",IFERROR(($P202-$Q202)/$O202,""))</f>
        <v/>
      </c>
      <c r="AR202" s="94">
        <f>IF($A202="","",IF($F202="","Temps d'ouverture manquant",IF($O202="","Cadence produit inconnue",IF($G202&gt;$F202,"Arrêts planifiés &gt; temps d'ouverture",IF($AC202&gt;$AB202,"Arrêts subis &gt; temps requis",IF($P202&lt;&gt;$Q202+$R202+$S202,"Produite ≠ conforme + retouchée + rebutée",IF($Q202&gt;$P202,"Conforme &gt; produite",IF($V202&gt;$U202,"Présents &gt; prévus","OK"))))))))</f>
        <v/>
      </c>
      <c r="AS202" s="95">
        <f>IF($A202="",0,IF(AND(OR(COCKPIT!$H$4="Toutes",$C202=COCKPIT!$H$4),OR(COCKPIT!$K$4="Toutes",$B202=COCKPIT!$K$4)),1,0))</f>
        <v/>
      </c>
    </row>
    <row r="203" ht="15" customHeight="1">
      <c r="A203" s="87" t="n"/>
      <c r="B203" s="88" t="n"/>
      <c r="C203" s="88" t="n"/>
      <c r="D203" s="88" t="n"/>
      <c r="E203" s="88" t="n"/>
      <c r="F203" s="89" t="n"/>
      <c r="G203" s="89" t="n"/>
      <c r="H203" s="89" t="n"/>
      <c r="I203" s="89" t="n"/>
      <c r="J203" s="89" t="n"/>
      <c r="K203" s="89" t="n"/>
      <c r="L203" s="89" t="n"/>
      <c r="M203" s="89" t="n"/>
      <c r="N203" s="89" t="n"/>
      <c r="O203" s="90">
        <f>IF($E203="","",IFERROR(INDEX(PARAMETRES!$O$7:$O$36,MATCH($E203,PARAMETRES!$M$7:$M$36,0)),""))</f>
        <v/>
      </c>
      <c r="P203" s="89" t="n"/>
      <c r="Q203" s="89" t="n"/>
      <c r="R203" s="89" t="n"/>
      <c r="S203" s="89" t="n"/>
      <c r="T203" s="89" t="n"/>
      <c r="U203" s="91" t="n"/>
      <c r="V203" s="91" t="n"/>
      <c r="W203" s="91" t="n"/>
      <c r="X203" s="89" t="n"/>
      <c r="Y203" s="89" t="n"/>
      <c r="Z203" s="88" t="n"/>
      <c r="AA203" s="88" t="n"/>
      <c r="AB203" s="92">
        <f>IF($A203="","",MAX(0,$F203-$G203))</f>
        <v/>
      </c>
      <c r="AC203" s="92">
        <f>IF($A203="","",SUM($H203:$M203))</f>
        <v/>
      </c>
      <c r="AD203" s="92">
        <f>IF($A203="","",MAX(0,$AB203-$AC203))</f>
        <v/>
      </c>
      <c r="AE203" s="92">
        <f>IF($A203="","",IFERROR($Q203/$O203,""))</f>
        <v/>
      </c>
      <c r="AF203" s="93">
        <f>IF($A203="","",IFERROR($AD203/$AB203,""))</f>
        <v/>
      </c>
      <c r="AG203" s="93">
        <f>IF($A203="","",IFERROR(($P203/$O203)/$AD203,""))</f>
        <v/>
      </c>
      <c r="AH203" s="93">
        <f>IF($A203="","",IFERROR($Q203/$P203,""))</f>
        <v/>
      </c>
      <c r="AI203" s="93">
        <f>IF($A203="","",IFERROR($AF203*$AG203*$AH203,""))</f>
        <v/>
      </c>
      <c r="AJ203" s="93">
        <f>IF($A203="","",IFERROR($AE203/$F203,""))</f>
        <v/>
      </c>
      <c r="AK203" s="92">
        <f>IF($A203="","",IFERROR($AD203/$N203,""))</f>
        <v/>
      </c>
      <c r="AL203" s="92">
        <f>IF($A203="","",IFERROR($H203/$N203,""))</f>
        <v/>
      </c>
      <c r="AM203" s="92">
        <f>IF($A203="","",IFERROR(($P203-$Q203)/$P203*1000000,""))</f>
        <v/>
      </c>
      <c r="AN203" s="93">
        <f>IF($A203="","",IFERROR(($Q203+$R203)/$T203,""))</f>
        <v/>
      </c>
      <c r="AO203" s="93">
        <f>IF($A203="","",IFERROR($V203/$U203,""))</f>
        <v/>
      </c>
      <c r="AP203" s="92">
        <f>IF($A203="","",IFERROR(MAX(0,$AD203-$P203/$O203),""))</f>
        <v/>
      </c>
      <c r="AQ203" s="92">
        <f>IF($A203="","",IFERROR(($P203-$Q203)/$O203,""))</f>
        <v/>
      </c>
      <c r="AR203" s="94">
        <f>IF($A203="","",IF($F203="","Temps d'ouverture manquant",IF($O203="","Cadence produit inconnue",IF($G203&gt;$F203,"Arrêts planifiés &gt; temps d'ouverture",IF($AC203&gt;$AB203,"Arrêts subis &gt; temps requis",IF($P203&lt;&gt;$Q203+$R203+$S203,"Produite ≠ conforme + retouchée + rebutée",IF($Q203&gt;$P203,"Conforme &gt; produite",IF($V203&gt;$U203,"Présents &gt; prévus","OK"))))))))</f>
        <v/>
      </c>
      <c r="AS203" s="95">
        <f>IF($A203="",0,IF(AND(OR(COCKPIT!$H$4="Toutes",$C203=COCKPIT!$H$4),OR(COCKPIT!$K$4="Toutes",$B203=COCKPIT!$K$4)),1,0))</f>
        <v/>
      </c>
    </row>
    <row r="204" ht="15" customHeight="1">
      <c r="A204" s="87" t="n"/>
      <c r="B204" s="88" t="n"/>
      <c r="C204" s="88" t="n"/>
      <c r="D204" s="88" t="n"/>
      <c r="E204" s="88" t="n"/>
      <c r="F204" s="89" t="n"/>
      <c r="G204" s="89" t="n"/>
      <c r="H204" s="89" t="n"/>
      <c r="I204" s="89" t="n"/>
      <c r="J204" s="89" t="n"/>
      <c r="K204" s="89" t="n"/>
      <c r="L204" s="89" t="n"/>
      <c r="M204" s="89" t="n"/>
      <c r="N204" s="89" t="n"/>
      <c r="O204" s="90">
        <f>IF($E204="","",IFERROR(INDEX(PARAMETRES!$O$7:$O$36,MATCH($E204,PARAMETRES!$M$7:$M$36,0)),""))</f>
        <v/>
      </c>
      <c r="P204" s="89" t="n"/>
      <c r="Q204" s="89" t="n"/>
      <c r="R204" s="89" t="n"/>
      <c r="S204" s="89" t="n"/>
      <c r="T204" s="89" t="n"/>
      <c r="U204" s="91" t="n"/>
      <c r="V204" s="91" t="n"/>
      <c r="W204" s="91" t="n"/>
      <c r="X204" s="89" t="n"/>
      <c r="Y204" s="89" t="n"/>
      <c r="Z204" s="88" t="n"/>
      <c r="AA204" s="88" t="n"/>
      <c r="AB204" s="92">
        <f>IF($A204="","",MAX(0,$F204-$G204))</f>
        <v/>
      </c>
      <c r="AC204" s="92">
        <f>IF($A204="","",SUM($H204:$M204))</f>
        <v/>
      </c>
      <c r="AD204" s="92">
        <f>IF($A204="","",MAX(0,$AB204-$AC204))</f>
        <v/>
      </c>
      <c r="AE204" s="92">
        <f>IF($A204="","",IFERROR($Q204/$O204,""))</f>
        <v/>
      </c>
      <c r="AF204" s="93">
        <f>IF($A204="","",IFERROR($AD204/$AB204,""))</f>
        <v/>
      </c>
      <c r="AG204" s="93">
        <f>IF($A204="","",IFERROR(($P204/$O204)/$AD204,""))</f>
        <v/>
      </c>
      <c r="AH204" s="93">
        <f>IF($A204="","",IFERROR($Q204/$P204,""))</f>
        <v/>
      </c>
      <c r="AI204" s="93">
        <f>IF($A204="","",IFERROR($AF204*$AG204*$AH204,""))</f>
        <v/>
      </c>
      <c r="AJ204" s="93">
        <f>IF($A204="","",IFERROR($AE204/$F204,""))</f>
        <v/>
      </c>
      <c r="AK204" s="92">
        <f>IF($A204="","",IFERROR($AD204/$N204,""))</f>
        <v/>
      </c>
      <c r="AL204" s="92">
        <f>IF($A204="","",IFERROR($H204/$N204,""))</f>
        <v/>
      </c>
      <c r="AM204" s="92">
        <f>IF($A204="","",IFERROR(($P204-$Q204)/$P204*1000000,""))</f>
        <v/>
      </c>
      <c r="AN204" s="93">
        <f>IF($A204="","",IFERROR(($Q204+$R204)/$T204,""))</f>
        <v/>
      </c>
      <c r="AO204" s="93">
        <f>IF($A204="","",IFERROR($V204/$U204,""))</f>
        <v/>
      </c>
      <c r="AP204" s="92">
        <f>IF($A204="","",IFERROR(MAX(0,$AD204-$P204/$O204),""))</f>
        <v/>
      </c>
      <c r="AQ204" s="92">
        <f>IF($A204="","",IFERROR(($P204-$Q204)/$O204,""))</f>
        <v/>
      </c>
      <c r="AR204" s="94">
        <f>IF($A204="","",IF($F204="","Temps d'ouverture manquant",IF($O204="","Cadence produit inconnue",IF($G204&gt;$F204,"Arrêts planifiés &gt; temps d'ouverture",IF($AC204&gt;$AB204,"Arrêts subis &gt; temps requis",IF($P204&lt;&gt;$Q204+$R204+$S204,"Produite ≠ conforme + retouchée + rebutée",IF($Q204&gt;$P204,"Conforme &gt; produite",IF($V204&gt;$U204,"Présents &gt; prévus","OK"))))))))</f>
        <v/>
      </c>
      <c r="AS204" s="95">
        <f>IF($A204="",0,IF(AND(OR(COCKPIT!$H$4="Toutes",$C204=COCKPIT!$H$4),OR(COCKPIT!$K$4="Toutes",$B204=COCKPIT!$K$4)),1,0))</f>
        <v/>
      </c>
    </row>
  </sheetData>
  <autoFilter ref="A4:AS204"/>
  <mergeCells count="8">
    <mergeCell ref="Z3:AA3"/>
    <mergeCell ref="A1:AS1"/>
    <mergeCell ref="U3:Y3"/>
    <mergeCell ref="O3:T3"/>
    <mergeCell ref="A2:AS2"/>
    <mergeCell ref="F3:N3"/>
    <mergeCell ref="AB3:AS3"/>
    <mergeCell ref="A3:E3"/>
  </mergeCells>
  <conditionalFormatting sqref="AF5:AF204">
    <cfRule type="colorScale" priority="1">
      <colorScale>
        <cfvo type="num" val="0.5"/>
        <cfvo type="num" val="0.8"/>
        <cfvo type="num" val="1"/>
        <color rgb="00F8B4B4"/>
        <color rgb="00FDE9A9"/>
        <color rgb="00B7E4C0"/>
      </colorScale>
    </cfRule>
  </conditionalFormatting>
  <conditionalFormatting sqref="AG5:AG204">
    <cfRule type="colorScale" priority="2">
      <colorScale>
        <cfvo type="num" val="0.5"/>
        <cfvo type="num" val="0.8"/>
        <cfvo type="num" val="1"/>
        <color rgb="00F8B4B4"/>
        <color rgb="00FDE9A9"/>
        <color rgb="00B7E4C0"/>
      </colorScale>
    </cfRule>
  </conditionalFormatting>
  <conditionalFormatting sqref="AH5:AH204">
    <cfRule type="colorScale" priority="3">
      <colorScale>
        <cfvo type="num" val="0.5"/>
        <cfvo type="num" val="0.8"/>
        <cfvo type="num" val="1"/>
        <color rgb="00F8B4B4"/>
        <color rgb="00FDE9A9"/>
        <color rgb="00B7E4C0"/>
      </colorScale>
    </cfRule>
  </conditionalFormatting>
  <conditionalFormatting sqref="AI5:AI204">
    <cfRule type="colorScale" priority="4">
      <colorScale>
        <cfvo type="num" val="0.5"/>
        <cfvo type="num" val="0.8"/>
        <cfvo type="num" val="1"/>
        <color rgb="00F8B4B4"/>
        <color rgb="00FDE9A9"/>
        <color rgb="00B7E4C0"/>
      </colorScale>
    </cfRule>
  </conditionalFormatting>
  <conditionalFormatting sqref="AJ5:AJ204">
    <cfRule type="colorScale" priority="5">
      <colorScale>
        <cfvo type="num" val="0.5"/>
        <cfvo type="num" val="0.8"/>
        <cfvo type="num" val="1"/>
        <color rgb="00F8B4B4"/>
        <color rgb="00FDE9A9"/>
        <color rgb="00B7E4C0"/>
      </colorScale>
    </cfRule>
  </conditionalFormatting>
  <conditionalFormatting sqref="A5:AR204">
    <cfRule type="expression" priority="6" dxfId="4" stopIfTrue="0">
      <formula>AND($AR5&lt;&gt;"",$AR5&lt;&gt;"OK")</formula>
    </cfRule>
  </conditionalFormatting>
  <conditionalFormatting sqref="X5:X204">
    <cfRule type="expression" priority="7" dxfId="5">
      <formula>$X5&gt;0</formula>
    </cfRule>
  </conditionalFormatting>
  <dataValidations count="24">
    <dataValidation sqref="B5:B204" showDropDown="0" showInputMessage="0" showErrorMessage="1" allowBlank="1" errorTitle="Valeur hors référentiel" error="Choisir une valeur de la liste (onglet PARAMETRES)." type="list">
      <formula1>LST_EQUIPES</formula1>
    </dataValidation>
    <dataValidation sqref="C5:C204" showDropDown="0" showInputMessage="0" showErrorMessage="1" allowBlank="1" errorTitle="Valeur hors référentiel" error="Choisir une valeur de la liste (onglet PARAMETRES)." type="list">
      <formula1>LST_LIGNES</formula1>
    </dataValidation>
    <dataValidation sqref="E5:E204" showDropDown="0" showInputMessage="0" showErrorMessage="1" allowBlank="1" errorTitle="Valeur hors référentiel" error="Choisir une valeur de la liste (onglet PARAMETRES)." type="list">
      <formula1>LST_PRODUITS</formula1>
    </dataValidation>
    <dataValidation sqref="Z5:Z204" showDropDown="0" showInputMessage="0" showErrorMessage="1" allowBlank="1" errorTitle="Valeur hors référentiel" error="Choisir une valeur de la liste (onglet PARAMETRES)." type="list">
      <formula1>LST_CAUSES</formula1>
    </dataValidation>
    <dataValidation sqref="A5:A204" showDropDown="0" showInputMessage="0" showErrorMessage="1" allowBlank="1" errorTitle="Date invalide" error="Saisir une date comprise entre 2020 et 2099." type="date" operator="between">
      <formula1>DATE(2020,1,1)</formula1>
      <formula2>DATE(2099,12,31)</formula2>
    </dataValidation>
    <dataValidation sqref="F5:F204" showDropDown="0" showInputMessage="0" showErrorMessage="1" allowBlank="1" errorTitle="Valeur négative" error="Cette colonne n'accepte que des valeurs positives ou nulles." type="decimal" operator="greaterThanOrEqual">
      <formula1>0</formula1>
    </dataValidation>
    <dataValidation sqref="G5:G204" showDropDown="0" showInputMessage="0" showErrorMessage="1" allowBlank="1" errorTitle="Valeur négative" error="Cette colonne n'accepte que des valeurs positives ou nulles." type="decimal" operator="greaterThanOrEqual">
      <formula1>0</formula1>
    </dataValidation>
    <dataValidation sqref="H5:H204" showDropDown="0" showInputMessage="0" showErrorMessage="1" allowBlank="1" errorTitle="Valeur négative" error="Cette colonne n'accepte que des valeurs positives ou nulles." type="decimal" operator="greaterThanOrEqual">
      <formula1>0</formula1>
    </dataValidation>
    <dataValidation sqref="I5:I204" showDropDown="0" showInputMessage="0" showErrorMessage="1" allowBlank="1" errorTitle="Valeur négative" error="Cette colonne n'accepte que des valeurs positives ou nulles." type="decimal" operator="greaterThanOrEqual">
      <formula1>0</formula1>
    </dataValidation>
    <dataValidation sqref="J5:J204" showDropDown="0" showInputMessage="0" showErrorMessage="1" allowBlank="1" errorTitle="Valeur négative" error="Cette colonne n'accepte que des valeurs positives ou nulles." type="decimal" operator="greaterThanOrEqual">
      <formula1>0</formula1>
    </dataValidation>
    <dataValidation sqref="K5:K204" showDropDown="0" showInputMessage="0" showErrorMessage="1" allowBlank="1" errorTitle="Valeur négative" error="Cette colonne n'accepte que des valeurs positives ou nulles." type="decimal" operator="greaterThanOrEqual">
      <formula1>0</formula1>
    </dataValidation>
    <dataValidation sqref="L5:L204" showDropDown="0" showInputMessage="0" showErrorMessage="1" allowBlank="1" errorTitle="Valeur négative" error="Cette colonne n'accepte que des valeurs positives ou nulles." type="decimal" operator="greaterThanOrEqual">
      <formula1>0</formula1>
    </dataValidation>
    <dataValidation sqref="M5:M204" showDropDown="0" showInputMessage="0" showErrorMessage="1" allowBlank="1" errorTitle="Valeur négative" error="Cette colonne n'accepte que des valeurs positives ou nulles." type="decimal" operator="greaterThanOrEqual">
      <formula1>0</formula1>
    </dataValidation>
    <dataValidation sqref="N5:N204" showDropDown="0" showInputMessage="0" showErrorMessage="1" allowBlank="1" errorTitle="Valeur négative" error="Cette colonne n'accepte que des valeurs positives ou nulles." type="decimal" operator="greaterThanOrEqual">
      <formula1>0</formula1>
    </dataValidation>
    <dataValidation sqref="P5:P204" showDropDown="0" showInputMessage="0" showErrorMessage="1" allowBlank="1" errorTitle="Valeur négative" error="Cette colonne n'accepte que des valeurs positives ou nulles." type="decimal" operator="greaterThanOrEqual">
      <formula1>0</formula1>
    </dataValidation>
    <dataValidation sqref="Q5:Q204" showDropDown="0" showInputMessage="0" showErrorMessage="1" allowBlank="1" errorTitle="Valeur négative" error="Cette colonne n'accepte que des valeurs positives ou nulles." type="decimal" operator="greaterThanOrEqual">
      <formula1>0</formula1>
    </dataValidation>
    <dataValidation sqref="R5:R204" showDropDown="0" showInputMessage="0" showErrorMessage="1" allowBlank="1" errorTitle="Valeur négative" error="Cette colonne n'accepte que des valeurs positives ou nulles." type="decimal" operator="greaterThanOrEqual">
      <formula1>0</formula1>
    </dataValidation>
    <dataValidation sqref="S5:S204" showDropDown="0" showInputMessage="0" showErrorMessage="1" allowBlank="1" errorTitle="Valeur négative" error="Cette colonne n'accepte que des valeurs positives ou nulles." type="decimal" operator="greaterThanOrEqual">
      <formula1>0</formula1>
    </dataValidation>
    <dataValidation sqref="T5:T204" showDropDown="0" showInputMessage="0" showErrorMessage="1" allowBlank="1" errorTitle="Valeur négative" error="Cette colonne n'accepte que des valeurs positives ou nulles." type="decimal" operator="greaterThanOrEqual">
      <formula1>0</formula1>
    </dataValidation>
    <dataValidation sqref="U5:U204" showDropDown="0" showInputMessage="0" showErrorMessage="1" allowBlank="1" errorTitle="Valeur négative" error="Cette colonne n'accepte que des valeurs positives ou nulles." type="decimal" operator="greaterThanOrEqual">
      <formula1>0</formula1>
    </dataValidation>
    <dataValidation sqref="V5:V204" showDropDown="0" showInputMessage="0" showErrorMessage="1" allowBlank="1" errorTitle="Valeur négative" error="Cette colonne n'accepte que des valeurs positives ou nulles." type="decimal" operator="greaterThanOrEqual">
      <formula1>0</formula1>
    </dataValidation>
    <dataValidation sqref="W5:W204" showDropDown="0" showInputMessage="0" showErrorMessage="1" allowBlank="1" errorTitle="Valeur négative" error="Cette colonne n'accepte que des valeurs positives ou nulles." type="decimal" operator="greaterThanOrEqual">
      <formula1>0</formula1>
    </dataValidation>
    <dataValidation sqref="X5:X204" showDropDown="0" showInputMessage="0" showErrorMessage="1" allowBlank="1" errorTitle="Valeur négative" error="Cette colonne n'accepte que des valeurs positives ou nulles." type="decimal" operator="greaterThanOrEqual">
      <formula1>0</formula1>
    </dataValidation>
    <dataValidation sqref="Y5:Y204" showDropDown="0" showInputMessage="0" showErrorMessage="1" allowBlank="1" errorTitle="Valeur négative" error="Cette colonne n'accepte que des valeurs positives ou nulles." type="decimal" operator="greaterThanOrEqual">
      <formula1>0</formula1>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worksheet>
</file>

<file path=xl/worksheets/sheet4.xml><?xml version="1.0" encoding="utf-8"?>
<worksheet xmlns="http://schemas.openxmlformats.org/spreadsheetml/2006/main">
  <sheetPr>
    <tabColor rgb="002E86AB"/>
    <outlinePr summaryBelow="1" summaryRight="1"/>
    <pageSetUpPr fitToPage="1"/>
  </sheetPr>
  <dimension ref="A1:Q404"/>
  <sheetViews>
    <sheetView showGridLines="0" zoomScale="90"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22" customWidth="1" min="3" max="3"/>
    <col width="18" customWidth="1" min="4" max="4"/>
    <col width="12" customWidth="1" min="5" max="5"/>
    <col width="12" customWidth="1" min="6" max="6"/>
    <col width="9" customWidth="1" min="7" max="7"/>
    <col width="11" customWidth="1" min="8" max="8"/>
    <col width="34" customWidth="1" min="9" max="9"/>
    <col width="14" customWidth="1" min="10" max="10"/>
    <col width="11" customWidth="1" min="11" max="11"/>
    <col width="22" customWidth="1" min="12" max="12"/>
    <col width="34" customWidth="1" min="13" max="13"/>
    <col width="34" customWidth="1" min="14" max="14"/>
    <col width="13" customWidth="1" min="15" max="15"/>
    <col width="26" customWidth="1" min="16" max="16"/>
    <col width="10" customWidth="1" min="17" max="17"/>
  </cols>
  <sheetData>
    <row r="1" ht="30" customHeight="1">
      <c r="A1" s="1" t="inlineStr">
        <is>
          <t>JOURNAL DES ARRÊTS  —  niveau événementiel</t>
        </is>
      </c>
      <c r="B1" s="2" t="n"/>
      <c r="C1" s="2" t="n"/>
      <c r="D1" s="2" t="n"/>
      <c r="E1" s="2" t="n"/>
      <c r="F1" s="2" t="n"/>
      <c r="G1" s="2" t="n"/>
      <c r="H1" s="2" t="n"/>
      <c r="I1" s="2" t="n"/>
      <c r="J1" s="2" t="n"/>
      <c r="K1" s="2" t="n"/>
      <c r="L1" s="2" t="n"/>
      <c r="M1" s="2" t="n"/>
      <c r="N1" s="2" t="n"/>
      <c r="O1" s="2" t="n"/>
      <c r="P1" s="2" t="n"/>
      <c r="Q1" s="2" t="n"/>
    </row>
    <row r="2" ht="18" customHeight="1">
      <c r="A2" s="3" t="inlineStr">
        <is>
          <t>Un enregistrement par arrêt. Ce niveau de détail alimente l'analyse de Pareto par cause et par famille 5M. Les colonnes bleues sont renseignées automatiquement à partir du code cause.</t>
        </is>
      </c>
    </row>
    <row r="4" ht="38" customHeight="1">
      <c r="A4" s="6" t="inlineStr">
        <is>
          <t>Date</t>
        </is>
      </c>
      <c r="B4" s="6" t="inlineStr">
        <is>
          <t>Équipe</t>
        </is>
      </c>
      <c r="C4" s="6" t="inlineStr">
        <is>
          <t>Ligne / ressource</t>
        </is>
      </c>
      <c r="D4" s="6" t="inlineStr">
        <is>
          <t>Machine / poste</t>
        </is>
      </c>
      <c r="E4" s="6" t="inlineStr">
        <is>
          <t>Heure de début</t>
        </is>
      </c>
      <c r="F4" s="6" t="inlineStr">
        <is>
          <t>Heure de fin</t>
        </is>
      </c>
      <c r="G4" s="86" t="inlineStr">
        <is>
          <t>Durée
(min)</t>
        </is>
      </c>
      <c r="H4" s="6" t="inlineStr">
        <is>
          <t>Code cause</t>
        </is>
      </c>
      <c r="I4" s="86" t="inlineStr">
        <is>
          <t>Libellé de la cause</t>
        </is>
      </c>
      <c r="J4" s="86" t="inlineStr">
        <is>
          <t>Famille 5M</t>
        </is>
      </c>
      <c r="K4" s="86" t="inlineStr">
        <is>
          <t>Type</t>
        </is>
      </c>
      <c r="L4" s="86" t="inlineStr">
        <is>
          <t>Rubrique de perte</t>
        </is>
      </c>
      <c r="M4" s="6" t="inlineStr">
        <is>
          <t>Constat terrain</t>
        </is>
      </c>
      <c r="N4" s="6" t="inlineStr">
        <is>
          <t>Action immédiate appliquée</t>
        </is>
      </c>
      <c r="O4" s="6" t="inlineStr">
        <is>
          <t>N° d'action liée</t>
        </is>
      </c>
      <c r="P4" s="86" t="inlineStr">
        <is>
          <t>Niveau d'alerte</t>
        </is>
      </c>
      <c r="Q4" s="86" t="inlineStr">
        <is>
          <t>Filtre cockpit</t>
        </is>
      </c>
    </row>
    <row r="5" ht="15" customHeight="1">
      <c r="A5" s="87" t="n">
        <v>46024</v>
      </c>
      <c r="B5" s="88" t="inlineStr">
        <is>
          <t>Équipe A (matin)</t>
        </is>
      </c>
      <c r="C5" s="88" t="inlineStr">
        <is>
          <t>Ligne 1 - Assemblage</t>
        </is>
      </c>
      <c r="D5" s="88" t="inlineStr">
        <is>
          <t>Ligne 1</t>
        </is>
      </c>
      <c r="E5" s="96" t="n">
        <v>0.2909722222222222</v>
      </c>
      <c r="F5" s="96" t="n">
        <v>0.31875</v>
      </c>
      <c r="G5" s="92">
        <f>IF(OR($E5="",$F5=""),"",ROUND(($F5-$E5+IF($F5&lt;$E5,1,0))*1440,0))</f>
        <v/>
      </c>
      <c r="H5" s="88" t="inlineStr">
        <is>
          <t>PLA-01</t>
        </is>
      </c>
      <c r="I5" s="94">
        <f>IF($H5="","",IFERROR(INDEX(PARAMETRES!$S$7:$S$46,MATCH($H5,PARAMETRES!$R$7:$R$46,0)),"Code inconnu"))</f>
        <v/>
      </c>
      <c r="J5" s="94">
        <f>IF($H5="","",IFERROR(INDEX(PARAMETRES!$T$7:$T$46,MATCH($H5,PARAMETRES!$R$7:$R$46,0)),""))</f>
        <v/>
      </c>
      <c r="K5" s="94">
        <f>IF($H5="","",IFERROR(INDEX(PARAMETRES!$U$7:$U$46,MATCH($H5,PARAMETRES!$R$7:$R$46,0)),""))</f>
        <v/>
      </c>
      <c r="L5" s="94">
        <f>IF($H5="","",IFERROR(INDEX(PARAMETRES!$V$7:$V$46,MATCH($H5,PARAMETRES!$R$7:$R$46,0)),""))</f>
        <v/>
      </c>
      <c r="M5" s="88" t="n"/>
      <c r="N5" s="88" t="n"/>
      <c r="O5" s="88" t="n"/>
      <c r="P5" s="94">
        <f>IF($G5="","",IF($G5&gt;=60,"Arrêt majeur — analyse 5 pourquoi",IF($G5&gt;=30,"À analyser en revue quotidienne",IF($K5="Planifié","Arrêt planifié","Aléa courant"))))</f>
        <v/>
      </c>
      <c r="Q5" s="95">
        <f>IF($A5="",0,IF(AND(OR(COCKPIT!$H$4="Toutes",$C5=COCKPIT!$H$4),OR(COCKPIT!$K$4="Toutes",$B5=COCKPIT!$K$4)),1,0))</f>
        <v/>
      </c>
    </row>
    <row r="6" ht="15" customHeight="1">
      <c r="A6" s="87" t="n">
        <v>46024</v>
      </c>
      <c r="B6" s="88" t="inlineStr">
        <is>
          <t>Équipe A (matin)</t>
        </is>
      </c>
      <c r="C6" s="88" t="inlineStr">
        <is>
          <t>Ligne 1 - Assemblage</t>
        </is>
      </c>
      <c r="D6" s="88" t="inlineStr">
        <is>
          <t>Ligne 1</t>
        </is>
      </c>
      <c r="E6" s="96" t="n">
        <v>0.3340277777777778</v>
      </c>
      <c r="F6" s="96" t="n">
        <v>0.3680555555555556</v>
      </c>
      <c r="G6" s="92">
        <f>IF(OR($E6="",$F6=""),"",ROUND(($F6-$E6+IF($F6&lt;$E6,1,0))*1440,0))</f>
        <v/>
      </c>
      <c r="H6" s="88" t="inlineStr">
        <is>
          <t>PAN-01</t>
        </is>
      </c>
      <c r="I6" s="94">
        <f>IF($H6="","",IFERROR(INDEX(PARAMETRES!$S$7:$S$46,MATCH($H6,PARAMETRES!$R$7:$R$46,0)),"Code inconnu"))</f>
        <v/>
      </c>
      <c r="J6" s="94">
        <f>IF($H6="","",IFERROR(INDEX(PARAMETRES!$T$7:$T$46,MATCH($H6,PARAMETRES!$R$7:$R$46,0)),""))</f>
        <v/>
      </c>
      <c r="K6" s="94">
        <f>IF($H6="","",IFERROR(INDEX(PARAMETRES!$U$7:$U$46,MATCH($H6,PARAMETRES!$R$7:$R$46,0)),""))</f>
        <v/>
      </c>
      <c r="L6" s="94">
        <f>IF($H6="","",IFERROR(INDEX(PARAMETRES!$V$7:$V$46,MATCH($H6,PARAMETRES!$R$7:$R$46,0)),""))</f>
        <v/>
      </c>
      <c r="M6" s="88" t="n"/>
      <c r="N6" s="88" t="n"/>
      <c r="O6" s="88" t="n"/>
      <c r="P6" s="94">
        <f>IF($G6="","",IF($G6&gt;=60,"Arrêt majeur — analyse 5 pourquoi",IF($G6&gt;=30,"À analyser en revue quotidienne",IF($K6="Planifié","Arrêt planifié","Aléa courant"))))</f>
        <v/>
      </c>
      <c r="Q6" s="95">
        <f>IF($A6="",0,IF(AND(OR(COCKPIT!$H$4="Toutes",$C6=COCKPIT!$H$4),OR(COCKPIT!$K$4="Toutes",$B6=COCKPIT!$K$4)),1,0))</f>
        <v/>
      </c>
    </row>
    <row r="7" ht="15" customHeight="1">
      <c r="A7" s="87" t="n">
        <v>46024</v>
      </c>
      <c r="B7" s="88" t="inlineStr">
        <is>
          <t>Équipe A (matin)</t>
        </is>
      </c>
      <c r="C7" s="88" t="inlineStr">
        <is>
          <t>Ligne 1 - Assemblage</t>
        </is>
      </c>
      <c r="D7" s="88" t="inlineStr">
        <is>
          <t>Ligne 1</t>
        </is>
      </c>
      <c r="E7" s="96" t="n">
        <v>0.3951388888888889</v>
      </c>
      <c r="F7" s="96" t="n">
        <v>0.4173611111111111</v>
      </c>
      <c r="G7" s="92">
        <f>IF(OR($E7="",$F7=""),"",ROUND(($F7-$E7+IF($F7&lt;$E7,1,0))*1440,0))</f>
        <v/>
      </c>
      <c r="H7" s="88" t="inlineStr">
        <is>
          <t>CDS-01</t>
        </is>
      </c>
      <c r="I7" s="94">
        <f>IF($H7="","",IFERROR(INDEX(PARAMETRES!$S$7:$S$46,MATCH($H7,PARAMETRES!$R$7:$R$46,0)),"Code inconnu"))</f>
        <v/>
      </c>
      <c r="J7" s="94">
        <f>IF($H7="","",IFERROR(INDEX(PARAMETRES!$T$7:$T$46,MATCH($H7,PARAMETRES!$R$7:$R$46,0)),""))</f>
        <v/>
      </c>
      <c r="K7" s="94">
        <f>IF($H7="","",IFERROR(INDEX(PARAMETRES!$U$7:$U$46,MATCH($H7,PARAMETRES!$R$7:$R$46,0)),""))</f>
        <v/>
      </c>
      <c r="L7" s="94">
        <f>IF($H7="","",IFERROR(INDEX(PARAMETRES!$V$7:$V$46,MATCH($H7,PARAMETRES!$R$7:$R$46,0)),""))</f>
        <v/>
      </c>
      <c r="M7" s="88" t="n"/>
      <c r="N7" s="88" t="n"/>
      <c r="O7" s="88" t="n"/>
      <c r="P7" s="94">
        <f>IF($G7="","",IF($G7&gt;=60,"Arrêt majeur — analyse 5 pourquoi",IF($G7&gt;=30,"À analyser en revue quotidienne",IF($K7="Planifié","Arrêt planifié","Aléa courant"))))</f>
        <v/>
      </c>
      <c r="Q7" s="95">
        <f>IF($A7="",0,IF(AND(OR(COCKPIT!$H$4="Toutes",$C7=COCKPIT!$H$4),OR(COCKPIT!$K$4="Toutes",$B7=COCKPIT!$K$4)),1,0))</f>
        <v/>
      </c>
    </row>
    <row r="8" ht="15" customHeight="1">
      <c r="A8" s="87" t="n">
        <v>46024</v>
      </c>
      <c r="B8" s="88" t="inlineStr">
        <is>
          <t>Équipe B (après-midi)</t>
        </is>
      </c>
      <c r="C8" s="88" t="inlineStr">
        <is>
          <t>Ligne 2 - Usinage</t>
        </is>
      </c>
      <c r="D8" s="88" t="inlineStr">
        <is>
          <t>Ligne 2</t>
        </is>
      </c>
      <c r="E8" s="96" t="n">
        <v>0.2833333333333333</v>
      </c>
      <c r="F8" s="96" t="n">
        <v>0.3111111111111111</v>
      </c>
      <c r="G8" s="92">
        <f>IF(OR($E8="",$F8=""),"",ROUND(($F8-$E8+IF($F8&lt;$E8,1,0))*1440,0))</f>
        <v/>
      </c>
      <c r="H8" s="88" t="inlineStr">
        <is>
          <t>PLA-01</t>
        </is>
      </c>
      <c r="I8" s="94">
        <f>IF($H8="","",IFERROR(INDEX(PARAMETRES!$S$7:$S$46,MATCH($H8,PARAMETRES!$R$7:$R$46,0)),"Code inconnu"))</f>
        <v/>
      </c>
      <c r="J8" s="94">
        <f>IF($H8="","",IFERROR(INDEX(PARAMETRES!$T$7:$T$46,MATCH($H8,PARAMETRES!$R$7:$R$46,0)),""))</f>
        <v/>
      </c>
      <c r="K8" s="94">
        <f>IF($H8="","",IFERROR(INDEX(PARAMETRES!$U$7:$U$46,MATCH($H8,PARAMETRES!$R$7:$R$46,0)),""))</f>
        <v/>
      </c>
      <c r="L8" s="94">
        <f>IF($H8="","",IFERROR(INDEX(PARAMETRES!$V$7:$V$46,MATCH($H8,PARAMETRES!$R$7:$R$46,0)),""))</f>
        <v/>
      </c>
      <c r="M8" s="88" t="n"/>
      <c r="N8" s="88" t="n"/>
      <c r="O8" s="88" t="n"/>
      <c r="P8" s="94">
        <f>IF($G8="","",IF($G8&gt;=60,"Arrêt majeur — analyse 5 pourquoi",IF($G8&gt;=30,"À analyser en revue quotidienne",IF($K8="Planifié","Arrêt planifié","Aléa courant"))))</f>
        <v/>
      </c>
      <c r="Q8" s="95">
        <f>IF($A8="",0,IF(AND(OR(COCKPIT!$H$4="Toutes",$C8=COCKPIT!$H$4),OR(COCKPIT!$K$4="Toutes",$B8=COCKPIT!$K$4)),1,0))</f>
        <v/>
      </c>
    </row>
    <row r="9" ht="15" customHeight="1">
      <c r="A9" s="87" t="n">
        <v>46024</v>
      </c>
      <c r="B9" s="88" t="inlineStr">
        <is>
          <t>Équipe B (après-midi)</t>
        </is>
      </c>
      <c r="C9" s="88" t="inlineStr">
        <is>
          <t>Ligne 2 - Usinage</t>
        </is>
      </c>
      <c r="D9" s="88" t="inlineStr">
        <is>
          <t>Ligne 2</t>
        </is>
      </c>
      <c r="E9" s="96" t="n">
        <v>0.3416666666666667</v>
      </c>
      <c r="F9" s="96" t="n">
        <v>0.3513888888888889</v>
      </c>
      <c r="G9" s="92">
        <f>IF(OR($E9="",$F9=""),"",ROUND(($F9-$E9+IF($F9&lt;$E9,1,0))*1440,0))</f>
        <v/>
      </c>
      <c r="H9" s="88" t="inlineStr">
        <is>
          <t>REG-01</t>
        </is>
      </c>
      <c r="I9" s="94">
        <f>IF($H9="","",IFERROR(INDEX(PARAMETRES!$S$7:$S$46,MATCH($H9,PARAMETRES!$R$7:$R$46,0)),"Code inconnu"))</f>
        <v/>
      </c>
      <c r="J9" s="94">
        <f>IF($H9="","",IFERROR(INDEX(PARAMETRES!$T$7:$T$46,MATCH($H9,PARAMETRES!$R$7:$R$46,0)),""))</f>
        <v/>
      </c>
      <c r="K9" s="94">
        <f>IF($H9="","",IFERROR(INDEX(PARAMETRES!$U$7:$U$46,MATCH($H9,PARAMETRES!$R$7:$R$46,0)),""))</f>
        <v/>
      </c>
      <c r="L9" s="94">
        <f>IF($H9="","",IFERROR(INDEX(PARAMETRES!$V$7:$V$46,MATCH($H9,PARAMETRES!$R$7:$R$46,0)),""))</f>
        <v/>
      </c>
      <c r="M9" s="88" t="n"/>
      <c r="N9" s="88" t="n"/>
      <c r="O9" s="88" t="n"/>
      <c r="P9" s="94">
        <f>IF($G9="","",IF($G9&gt;=60,"Arrêt majeur — analyse 5 pourquoi",IF($G9&gt;=30,"À analyser en revue quotidienne",IF($K9="Planifié","Arrêt planifié","Aléa courant"))))</f>
        <v/>
      </c>
      <c r="Q9" s="95">
        <f>IF($A9="",0,IF(AND(OR(COCKPIT!$H$4="Toutes",$C9=COCKPIT!$H$4),OR(COCKPIT!$K$4="Toutes",$B9=COCKPIT!$K$4)),1,0))</f>
        <v/>
      </c>
    </row>
    <row r="10" ht="15" customHeight="1">
      <c r="A10" s="87" t="n">
        <v>46024</v>
      </c>
      <c r="B10" s="88" t="inlineStr">
        <is>
          <t>Équipe B (après-midi)</t>
        </is>
      </c>
      <c r="C10" s="88" t="inlineStr">
        <is>
          <t>Ligne 2 - Usinage</t>
        </is>
      </c>
      <c r="D10" s="88" t="inlineStr">
        <is>
          <t>Ligne 2</t>
        </is>
      </c>
      <c r="E10" s="96" t="n">
        <v>0.3659722222222222</v>
      </c>
      <c r="F10" s="96" t="n">
        <v>0.3729166666666667</v>
      </c>
      <c r="G10" s="92">
        <f>IF(OR($E10="",$F10=""),"",ROUND(($F10-$E10+IF($F10&lt;$E10,1,0))*1440,0))</f>
        <v/>
      </c>
      <c r="H10" s="88" t="inlineStr">
        <is>
          <t>MAT-02</t>
        </is>
      </c>
      <c r="I10" s="94">
        <f>IF($H10="","",IFERROR(INDEX(PARAMETRES!$S$7:$S$46,MATCH($H10,PARAMETRES!$R$7:$R$46,0)),"Code inconnu"))</f>
        <v/>
      </c>
      <c r="J10" s="94">
        <f>IF($H10="","",IFERROR(INDEX(PARAMETRES!$T$7:$T$46,MATCH($H10,PARAMETRES!$R$7:$R$46,0)),""))</f>
        <v/>
      </c>
      <c r="K10" s="94">
        <f>IF($H10="","",IFERROR(INDEX(PARAMETRES!$U$7:$U$46,MATCH($H10,PARAMETRES!$R$7:$R$46,0)),""))</f>
        <v/>
      </c>
      <c r="L10" s="94">
        <f>IF($H10="","",IFERROR(INDEX(PARAMETRES!$V$7:$V$46,MATCH($H10,PARAMETRES!$R$7:$R$46,0)),""))</f>
        <v/>
      </c>
      <c r="M10" s="88" t="n"/>
      <c r="N10" s="88" t="n"/>
      <c r="O10" s="88" t="n"/>
      <c r="P10" s="94">
        <f>IF($G10="","",IF($G10&gt;=60,"Arrêt majeur — analyse 5 pourquoi",IF($G10&gt;=30,"À analyser en revue quotidienne",IF($K10="Planifié","Arrêt planifié","Aléa courant"))))</f>
        <v/>
      </c>
      <c r="Q10" s="95">
        <f>IF($A10="",0,IF(AND(OR(COCKPIT!$H$4="Toutes",$C10=COCKPIT!$H$4),OR(COCKPIT!$K$4="Toutes",$B10=COCKPIT!$K$4)),1,0))</f>
        <v/>
      </c>
    </row>
    <row r="11" ht="15" customHeight="1">
      <c r="A11" s="87" t="n">
        <v>46024</v>
      </c>
      <c r="B11" s="88" t="inlineStr">
        <is>
          <t>Équipe B (après-midi)</t>
        </is>
      </c>
      <c r="C11" s="88" t="inlineStr">
        <is>
          <t>Ligne 2 - Usinage</t>
        </is>
      </c>
      <c r="D11" s="88" t="inlineStr">
        <is>
          <t>Ligne 2</t>
        </is>
      </c>
      <c r="E11" s="96" t="n">
        <v>0.3826388888888889</v>
      </c>
      <c r="F11" s="96" t="n">
        <v>0.3944444444444444</v>
      </c>
      <c r="G11" s="92">
        <f>IF(OR($E11="",$F11=""),"",ROUND(($F11-$E11+IF($F11&lt;$E11,1,0))*1440,0))</f>
        <v/>
      </c>
      <c r="H11" s="88" t="inlineStr">
        <is>
          <t>LOG-01</t>
        </is>
      </c>
      <c r="I11" s="94">
        <f>IF($H11="","",IFERROR(INDEX(PARAMETRES!$S$7:$S$46,MATCH($H11,PARAMETRES!$R$7:$R$46,0)),"Code inconnu"))</f>
        <v/>
      </c>
      <c r="J11" s="94">
        <f>IF($H11="","",IFERROR(INDEX(PARAMETRES!$T$7:$T$46,MATCH($H11,PARAMETRES!$R$7:$R$46,0)),""))</f>
        <v/>
      </c>
      <c r="K11" s="94">
        <f>IF($H11="","",IFERROR(INDEX(PARAMETRES!$U$7:$U$46,MATCH($H11,PARAMETRES!$R$7:$R$46,0)),""))</f>
        <v/>
      </c>
      <c r="L11" s="94">
        <f>IF($H11="","",IFERROR(INDEX(PARAMETRES!$V$7:$V$46,MATCH($H11,PARAMETRES!$R$7:$R$46,0)),""))</f>
        <v/>
      </c>
      <c r="M11" s="88" t="n"/>
      <c r="N11" s="88" t="n"/>
      <c r="O11" s="88" t="n"/>
      <c r="P11" s="94">
        <f>IF($G11="","",IF($G11&gt;=60,"Arrêt majeur — analyse 5 pourquoi",IF($G11&gt;=30,"À analyser en revue quotidienne",IF($K11="Planifié","Arrêt planifié","Aléa courant"))))</f>
        <v/>
      </c>
      <c r="Q11" s="95">
        <f>IF($A11="",0,IF(AND(OR(COCKPIT!$H$4="Toutes",$C11=COCKPIT!$H$4),OR(COCKPIT!$K$4="Toutes",$B11=COCKPIT!$K$4)),1,0))</f>
        <v/>
      </c>
    </row>
    <row r="12" ht="15" customHeight="1">
      <c r="A12" s="87" t="n">
        <v>46027</v>
      </c>
      <c r="B12" s="88" t="inlineStr">
        <is>
          <t>Équipe B (après-midi)</t>
        </is>
      </c>
      <c r="C12" s="88" t="inlineStr">
        <is>
          <t>Ligne 1 - Assemblage</t>
        </is>
      </c>
      <c r="D12" s="88" t="inlineStr">
        <is>
          <t>Ligne 1</t>
        </is>
      </c>
      <c r="E12" s="96" t="n">
        <v>0.2777777777777778</v>
      </c>
      <c r="F12" s="96" t="n">
        <v>0.3055555555555556</v>
      </c>
      <c r="G12" s="92">
        <f>IF(OR($E12="",$F12=""),"",ROUND(($F12-$E12+IF($F12&lt;$E12,1,0))*1440,0))</f>
        <v/>
      </c>
      <c r="H12" s="88" t="inlineStr">
        <is>
          <t>PLA-01</t>
        </is>
      </c>
      <c r="I12" s="94">
        <f>IF($H12="","",IFERROR(INDEX(PARAMETRES!$S$7:$S$46,MATCH($H12,PARAMETRES!$R$7:$R$46,0)),"Code inconnu"))</f>
        <v/>
      </c>
      <c r="J12" s="94">
        <f>IF($H12="","",IFERROR(INDEX(PARAMETRES!$T$7:$T$46,MATCH($H12,PARAMETRES!$R$7:$R$46,0)),""))</f>
        <v/>
      </c>
      <c r="K12" s="94">
        <f>IF($H12="","",IFERROR(INDEX(PARAMETRES!$U$7:$U$46,MATCH($H12,PARAMETRES!$R$7:$R$46,0)),""))</f>
        <v/>
      </c>
      <c r="L12" s="94">
        <f>IF($H12="","",IFERROR(INDEX(PARAMETRES!$V$7:$V$46,MATCH($H12,PARAMETRES!$R$7:$R$46,0)),""))</f>
        <v/>
      </c>
      <c r="M12" s="88" t="n"/>
      <c r="N12" s="88" t="n"/>
      <c r="O12" s="88" t="n"/>
      <c r="P12" s="94">
        <f>IF($G12="","",IF($G12&gt;=60,"Arrêt majeur — analyse 5 pourquoi",IF($G12&gt;=30,"À analyser en revue quotidienne",IF($K12="Planifié","Arrêt planifié","Aléa courant"))))</f>
        <v/>
      </c>
      <c r="Q12" s="95">
        <f>IF($A12="",0,IF(AND(OR(COCKPIT!$H$4="Toutes",$C12=COCKPIT!$H$4),OR(COCKPIT!$K$4="Toutes",$B12=COCKPIT!$K$4)),1,0))</f>
        <v/>
      </c>
    </row>
    <row r="13" ht="15" customHeight="1">
      <c r="A13" s="87" t="n">
        <v>46027</v>
      </c>
      <c r="B13" s="88" t="inlineStr">
        <is>
          <t>Équipe B (après-midi)</t>
        </is>
      </c>
      <c r="C13" s="88" t="inlineStr">
        <is>
          <t>Ligne 1 - Assemblage</t>
        </is>
      </c>
      <c r="D13" s="88" t="inlineStr">
        <is>
          <t>Ligne 1</t>
        </is>
      </c>
      <c r="E13" s="96" t="n">
        <v>0.3138888888888889</v>
      </c>
      <c r="F13" s="96" t="n">
        <v>0.3270833333333333</v>
      </c>
      <c r="G13" s="92">
        <f>IF(OR($E13="",$F13=""),"",ROUND(($F13-$E13+IF($F13&lt;$E13,1,0))*1440,0))</f>
        <v/>
      </c>
      <c r="H13" s="88" t="inlineStr">
        <is>
          <t>MAT-01</t>
        </is>
      </c>
      <c r="I13" s="94">
        <f>IF($H13="","",IFERROR(INDEX(PARAMETRES!$S$7:$S$46,MATCH($H13,PARAMETRES!$R$7:$R$46,0)),"Code inconnu"))</f>
        <v/>
      </c>
      <c r="J13" s="94">
        <f>IF($H13="","",IFERROR(INDEX(PARAMETRES!$T$7:$T$46,MATCH($H13,PARAMETRES!$R$7:$R$46,0)),""))</f>
        <v/>
      </c>
      <c r="K13" s="94">
        <f>IF($H13="","",IFERROR(INDEX(PARAMETRES!$U$7:$U$46,MATCH($H13,PARAMETRES!$R$7:$R$46,0)),""))</f>
        <v/>
      </c>
      <c r="L13" s="94">
        <f>IF($H13="","",IFERROR(INDEX(PARAMETRES!$V$7:$V$46,MATCH($H13,PARAMETRES!$R$7:$R$46,0)),""))</f>
        <v/>
      </c>
      <c r="M13" s="88" t="n"/>
      <c r="N13" s="88" t="n"/>
      <c r="O13" s="88" t="n"/>
      <c r="P13" s="94">
        <f>IF($G13="","",IF($G13&gt;=60,"Arrêt majeur — analyse 5 pourquoi",IF($G13&gt;=30,"À analyser en revue quotidienne",IF($K13="Planifié","Arrêt planifié","Aléa courant"))))</f>
        <v/>
      </c>
      <c r="Q13" s="95">
        <f>IF($A13="",0,IF(AND(OR(COCKPIT!$H$4="Toutes",$C13=COCKPIT!$H$4),OR(COCKPIT!$K$4="Toutes",$B13=COCKPIT!$K$4)),1,0))</f>
        <v/>
      </c>
    </row>
    <row r="14" ht="15" customHeight="1">
      <c r="A14" s="87" t="n">
        <v>46027</v>
      </c>
      <c r="B14" s="88" t="inlineStr">
        <is>
          <t>Équipe B (après-midi)</t>
        </is>
      </c>
      <c r="C14" s="88" t="inlineStr">
        <is>
          <t>Ligne 1 - Assemblage</t>
        </is>
      </c>
      <c r="D14" s="88" t="inlineStr">
        <is>
          <t>Ligne 1</t>
        </is>
      </c>
      <c r="E14" s="96" t="n">
        <v>0.3541666666666667</v>
      </c>
      <c r="F14" s="96" t="n">
        <v>0.3743055555555556</v>
      </c>
      <c r="G14" s="92">
        <f>IF(OR($E14="",$F14=""),"",ROUND(($F14-$E14+IF($F14&lt;$E14,1,0))*1440,0))</f>
        <v/>
      </c>
      <c r="H14" s="88" t="inlineStr">
        <is>
          <t>PER-02</t>
        </is>
      </c>
      <c r="I14" s="94">
        <f>IF($H14="","",IFERROR(INDEX(PARAMETRES!$S$7:$S$46,MATCH($H14,PARAMETRES!$R$7:$R$46,0)),"Code inconnu"))</f>
        <v/>
      </c>
      <c r="J14" s="94">
        <f>IF($H14="","",IFERROR(INDEX(PARAMETRES!$T$7:$T$46,MATCH($H14,PARAMETRES!$R$7:$R$46,0)),""))</f>
        <v/>
      </c>
      <c r="K14" s="94">
        <f>IF($H14="","",IFERROR(INDEX(PARAMETRES!$U$7:$U$46,MATCH($H14,PARAMETRES!$R$7:$R$46,0)),""))</f>
        <v/>
      </c>
      <c r="L14" s="94">
        <f>IF($H14="","",IFERROR(INDEX(PARAMETRES!$V$7:$V$46,MATCH($H14,PARAMETRES!$R$7:$R$46,0)),""))</f>
        <v/>
      </c>
      <c r="M14" s="88" t="n"/>
      <c r="N14" s="88" t="n"/>
      <c r="O14" s="88" t="n"/>
      <c r="P14" s="94">
        <f>IF($G14="","",IF($G14&gt;=60,"Arrêt majeur — analyse 5 pourquoi",IF($G14&gt;=30,"À analyser en revue quotidienne",IF($K14="Planifié","Arrêt planifié","Aléa courant"))))</f>
        <v/>
      </c>
      <c r="Q14" s="95">
        <f>IF($A14="",0,IF(AND(OR(COCKPIT!$H$4="Toutes",$C14=COCKPIT!$H$4),OR(COCKPIT!$K$4="Toutes",$B14=COCKPIT!$K$4)),1,0))</f>
        <v/>
      </c>
    </row>
    <row r="15" ht="15" customHeight="1">
      <c r="A15" s="87" t="n">
        <v>46027</v>
      </c>
      <c r="B15" s="88" t="inlineStr">
        <is>
          <t>Équipe B (après-midi)</t>
        </is>
      </c>
      <c r="C15" s="88" t="inlineStr">
        <is>
          <t>Ligne 1 - Assemblage</t>
        </is>
      </c>
      <c r="D15" s="88" t="inlineStr">
        <is>
          <t>Ligne 1</t>
        </is>
      </c>
      <c r="E15" s="96" t="n">
        <v>0.3902777777777778</v>
      </c>
      <c r="F15" s="96" t="n">
        <v>0.4006944444444445</v>
      </c>
      <c r="G15" s="92">
        <f>IF(OR($E15="",$F15=""),"",ROUND(($F15-$E15+IF($F15&lt;$E15,1,0))*1440,0))</f>
        <v/>
      </c>
      <c r="H15" s="88" t="inlineStr">
        <is>
          <t>ESS-01</t>
        </is>
      </c>
      <c r="I15" s="94">
        <f>IF($H15="","",IFERROR(INDEX(PARAMETRES!$S$7:$S$46,MATCH($H15,PARAMETRES!$R$7:$R$46,0)),"Code inconnu"))</f>
        <v/>
      </c>
      <c r="J15" s="94">
        <f>IF($H15="","",IFERROR(INDEX(PARAMETRES!$T$7:$T$46,MATCH($H15,PARAMETRES!$R$7:$R$46,0)),""))</f>
        <v/>
      </c>
      <c r="K15" s="94">
        <f>IF($H15="","",IFERROR(INDEX(PARAMETRES!$U$7:$U$46,MATCH($H15,PARAMETRES!$R$7:$R$46,0)),""))</f>
        <v/>
      </c>
      <c r="L15" s="94">
        <f>IF($H15="","",IFERROR(INDEX(PARAMETRES!$V$7:$V$46,MATCH($H15,PARAMETRES!$R$7:$R$46,0)),""))</f>
        <v/>
      </c>
      <c r="M15" s="88" t="n"/>
      <c r="N15" s="88" t="n"/>
      <c r="O15" s="88" t="n"/>
      <c r="P15" s="94">
        <f>IF($G15="","",IF($G15&gt;=60,"Arrêt majeur — analyse 5 pourquoi",IF($G15&gt;=30,"À analyser en revue quotidienne",IF($K15="Planifié","Arrêt planifié","Aléa courant"))))</f>
        <v/>
      </c>
      <c r="Q15" s="95">
        <f>IF($A15="",0,IF(AND(OR(COCKPIT!$H$4="Toutes",$C15=COCKPIT!$H$4),OR(COCKPIT!$K$4="Toutes",$B15=COCKPIT!$K$4)),1,0))</f>
        <v/>
      </c>
    </row>
    <row r="16" ht="15" customHeight="1">
      <c r="A16" s="87" t="n">
        <v>46027</v>
      </c>
      <c r="B16" s="88" t="inlineStr">
        <is>
          <t>Équipe B (après-midi)</t>
        </is>
      </c>
      <c r="C16" s="88" t="inlineStr">
        <is>
          <t>Ligne 1 - Assemblage</t>
        </is>
      </c>
      <c r="D16" s="88" t="inlineStr">
        <is>
          <t>Ligne 1</t>
        </is>
      </c>
      <c r="E16" s="96" t="n">
        <v>0.4270833333333333</v>
      </c>
      <c r="F16" s="96" t="n">
        <v>0.4638888888888889</v>
      </c>
      <c r="G16" s="92">
        <f>IF(OR($E16="",$F16=""),"",ROUND(($F16-$E16+IF($F16&lt;$E16,1,0))*1440,0))</f>
        <v/>
      </c>
      <c r="H16" s="88" t="inlineStr">
        <is>
          <t>PAN-03</t>
        </is>
      </c>
      <c r="I16" s="94">
        <f>IF($H16="","",IFERROR(INDEX(PARAMETRES!$S$7:$S$46,MATCH($H16,PARAMETRES!$R$7:$R$46,0)),"Code inconnu"))</f>
        <v/>
      </c>
      <c r="J16" s="94">
        <f>IF($H16="","",IFERROR(INDEX(PARAMETRES!$T$7:$T$46,MATCH($H16,PARAMETRES!$R$7:$R$46,0)),""))</f>
        <v/>
      </c>
      <c r="K16" s="94">
        <f>IF($H16="","",IFERROR(INDEX(PARAMETRES!$U$7:$U$46,MATCH($H16,PARAMETRES!$R$7:$R$46,0)),""))</f>
        <v/>
      </c>
      <c r="L16" s="94">
        <f>IF($H16="","",IFERROR(INDEX(PARAMETRES!$V$7:$V$46,MATCH($H16,PARAMETRES!$R$7:$R$46,0)),""))</f>
        <v/>
      </c>
      <c r="M16" s="88" t="n"/>
      <c r="N16" s="88" t="n"/>
      <c r="O16" s="88" t="n"/>
      <c r="P16" s="94">
        <f>IF($G16="","",IF($G16&gt;=60,"Arrêt majeur — analyse 5 pourquoi",IF($G16&gt;=30,"À analyser en revue quotidienne",IF($K16="Planifié","Arrêt planifié","Aléa courant"))))</f>
        <v/>
      </c>
      <c r="Q16" s="95">
        <f>IF($A16="",0,IF(AND(OR(COCKPIT!$H$4="Toutes",$C16=COCKPIT!$H$4),OR(COCKPIT!$K$4="Toutes",$B16=COCKPIT!$K$4)),1,0))</f>
        <v/>
      </c>
    </row>
    <row r="17" ht="15" customHeight="1">
      <c r="A17" s="87" t="n">
        <v>46027</v>
      </c>
      <c r="B17" s="88" t="inlineStr">
        <is>
          <t>Équipe B (après-midi)</t>
        </is>
      </c>
      <c r="C17" s="88" t="inlineStr">
        <is>
          <t>Ligne 1 - Assemblage</t>
        </is>
      </c>
      <c r="D17" s="88" t="inlineStr">
        <is>
          <t>Ligne 1</t>
        </is>
      </c>
      <c r="E17" s="96" t="n">
        <v>0.4881944444444444</v>
      </c>
      <c r="F17" s="96" t="n">
        <v>0.4972222222222222</v>
      </c>
      <c r="G17" s="92">
        <f>IF(OR($E17="",$F17=""),"",ROUND(($F17-$E17+IF($F17&lt;$E17,1,0))*1440,0))</f>
        <v/>
      </c>
      <c r="H17" s="88" t="inlineStr">
        <is>
          <t>REG-01</t>
        </is>
      </c>
      <c r="I17" s="94">
        <f>IF($H17="","",IFERROR(INDEX(PARAMETRES!$S$7:$S$46,MATCH($H17,PARAMETRES!$R$7:$R$46,0)),"Code inconnu"))</f>
        <v/>
      </c>
      <c r="J17" s="94">
        <f>IF($H17="","",IFERROR(INDEX(PARAMETRES!$T$7:$T$46,MATCH($H17,PARAMETRES!$R$7:$R$46,0)),""))</f>
        <v/>
      </c>
      <c r="K17" s="94">
        <f>IF($H17="","",IFERROR(INDEX(PARAMETRES!$U$7:$U$46,MATCH($H17,PARAMETRES!$R$7:$R$46,0)),""))</f>
        <v/>
      </c>
      <c r="L17" s="94">
        <f>IF($H17="","",IFERROR(INDEX(PARAMETRES!$V$7:$V$46,MATCH($H17,PARAMETRES!$R$7:$R$46,0)),""))</f>
        <v/>
      </c>
      <c r="M17" s="88" t="n"/>
      <c r="N17" s="88" t="n"/>
      <c r="O17" s="88" t="n"/>
      <c r="P17" s="94">
        <f>IF($G17="","",IF($G17&gt;=60,"Arrêt majeur — analyse 5 pourquoi",IF($G17&gt;=30,"À analyser en revue quotidienne",IF($K17="Planifié","Arrêt planifié","Aléa courant"))))</f>
        <v/>
      </c>
      <c r="Q17" s="95">
        <f>IF($A17="",0,IF(AND(OR(COCKPIT!$H$4="Toutes",$C17=COCKPIT!$H$4),OR(COCKPIT!$K$4="Toutes",$B17=COCKPIT!$K$4)),1,0))</f>
        <v/>
      </c>
    </row>
    <row r="18" ht="15" customHeight="1">
      <c r="A18" s="87" t="n">
        <v>46027</v>
      </c>
      <c r="B18" s="88" t="inlineStr">
        <is>
          <t>Équipe A (matin)</t>
        </is>
      </c>
      <c r="C18" s="88" t="inlineStr">
        <is>
          <t>Ligne 2 - Usinage</t>
        </is>
      </c>
      <c r="D18" s="88" t="inlineStr">
        <is>
          <t>Ligne 2</t>
        </is>
      </c>
      <c r="E18" s="96" t="n">
        <v>0.2826388888888889</v>
      </c>
      <c r="F18" s="96" t="n">
        <v>0.3104166666666667</v>
      </c>
      <c r="G18" s="92">
        <f>IF(OR($E18="",$F18=""),"",ROUND(($F18-$E18+IF($F18&lt;$E18,1,0))*1440,0))</f>
        <v/>
      </c>
      <c r="H18" s="88" t="inlineStr">
        <is>
          <t>PLA-01</t>
        </is>
      </c>
      <c r="I18" s="94">
        <f>IF($H18="","",IFERROR(INDEX(PARAMETRES!$S$7:$S$46,MATCH($H18,PARAMETRES!$R$7:$R$46,0)),"Code inconnu"))</f>
        <v/>
      </c>
      <c r="J18" s="94">
        <f>IF($H18="","",IFERROR(INDEX(PARAMETRES!$T$7:$T$46,MATCH($H18,PARAMETRES!$R$7:$R$46,0)),""))</f>
        <v/>
      </c>
      <c r="K18" s="94">
        <f>IF($H18="","",IFERROR(INDEX(PARAMETRES!$U$7:$U$46,MATCH($H18,PARAMETRES!$R$7:$R$46,0)),""))</f>
        <v/>
      </c>
      <c r="L18" s="94">
        <f>IF($H18="","",IFERROR(INDEX(PARAMETRES!$V$7:$V$46,MATCH($H18,PARAMETRES!$R$7:$R$46,0)),""))</f>
        <v/>
      </c>
      <c r="M18" s="88" t="n"/>
      <c r="N18" s="88" t="n"/>
      <c r="O18" s="88" t="n"/>
      <c r="P18" s="94">
        <f>IF($G18="","",IF($G18&gt;=60,"Arrêt majeur — analyse 5 pourquoi",IF($G18&gt;=30,"À analyser en revue quotidienne",IF($K18="Planifié","Arrêt planifié","Aléa courant"))))</f>
        <v/>
      </c>
      <c r="Q18" s="95">
        <f>IF($A18="",0,IF(AND(OR(COCKPIT!$H$4="Toutes",$C18=COCKPIT!$H$4),OR(COCKPIT!$K$4="Toutes",$B18=COCKPIT!$K$4)),1,0))</f>
        <v/>
      </c>
    </row>
    <row r="19" ht="15" customHeight="1">
      <c r="A19" s="87" t="n">
        <v>46027</v>
      </c>
      <c r="B19" s="88" t="inlineStr">
        <is>
          <t>Équipe A (matin)</t>
        </is>
      </c>
      <c r="C19" s="88" t="inlineStr">
        <is>
          <t>Ligne 2 - Usinage</t>
        </is>
      </c>
      <c r="D19" s="88" t="inlineStr">
        <is>
          <t>Ligne 2</t>
        </is>
      </c>
      <c r="E19" s="96" t="n">
        <v>0.3263888888888889</v>
      </c>
      <c r="F19" s="96" t="n">
        <v>0.3326388888888889</v>
      </c>
      <c r="G19" s="92">
        <f>IF(OR($E19="",$F19=""),"",ROUND(($F19-$E19+IF($F19&lt;$E19,1,0))*1440,0))</f>
        <v/>
      </c>
      <c r="H19" s="88" t="inlineStr">
        <is>
          <t>LOG-02</t>
        </is>
      </c>
      <c r="I19" s="94">
        <f>IF($H19="","",IFERROR(INDEX(PARAMETRES!$S$7:$S$46,MATCH($H19,PARAMETRES!$R$7:$R$46,0)),"Code inconnu"))</f>
        <v/>
      </c>
      <c r="J19" s="94">
        <f>IF($H19="","",IFERROR(INDEX(PARAMETRES!$T$7:$T$46,MATCH($H19,PARAMETRES!$R$7:$R$46,0)),""))</f>
        <v/>
      </c>
      <c r="K19" s="94">
        <f>IF($H19="","",IFERROR(INDEX(PARAMETRES!$U$7:$U$46,MATCH($H19,PARAMETRES!$R$7:$R$46,0)),""))</f>
        <v/>
      </c>
      <c r="L19" s="94">
        <f>IF($H19="","",IFERROR(INDEX(PARAMETRES!$V$7:$V$46,MATCH($H19,PARAMETRES!$R$7:$R$46,0)),""))</f>
        <v/>
      </c>
      <c r="M19" s="88" t="n"/>
      <c r="N19" s="88" t="n"/>
      <c r="O19" s="88" t="n"/>
      <c r="P19" s="94">
        <f>IF($G19="","",IF($G19&gt;=60,"Arrêt majeur — analyse 5 pourquoi",IF($G19&gt;=30,"À analyser en revue quotidienne",IF($K19="Planifié","Arrêt planifié","Aléa courant"))))</f>
        <v/>
      </c>
      <c r="Q19" s="95">
        <f>IF($A19="",0,IF(AND(OR(COCKPIT!$H$4="Toutes",$C19=COCKPIT!$H$4),OR(COCKPIT!$K$4="Toutes",$B19=COCKPIT!$K$4)),1,0))</f>
        <v/>
      </c>
    </row>
    <row r="20" ht="15" customHeight="1">
      <c r="A20" s="87" t="n">
        <v>46027</v>
      </c>
      <c r="B20" s="88" t="inlineStr">
        <is>
          <t>Équipe A (matin)</t>
        </is>
      </c>
      <c r="C20" s="88" t="inlineStr">
        <is>
          <t>Ligne 2 - Usinage</t>
        </is>
      </c>
      <c r="D20" s="88" t="inlineStr">
        <is>
          <t>Ligne 2</t>
        </is>
      </c>
      <c r="E20" s="96" t="n">
        <v>0.3430555555555556</v>
      </c>
      <c r="F20" s="96" t="n">
        <v>0.3631944444444444</v>
      </c>
      <c r="G20" s="92">
        <f>IF(OR($E20="",$F20=""),"",ROUND(($F20-$E20+IF($F20&lt;$E20,1,0))*1440,0))</f>
        <v/>
      </c>
      <c r="H20" s="88" t="inlineStr">
        <is>
          <t>PAN-02</t>
        </is>
      </c>
      <c r="I20" s="94">
        <f>IF($H20="","",IFERROR(INDEX(PARAMETRES!$S$7:$S$46,MATCH($H20,PARAMETRES!$R$7:$R$46,0)),"Code inconnu"))</f>
        <v/>
      </c>
      <c r="J20" s="94">
        <f>IF($H20="","",IFERROR(INDEX(PARAMETRES!$T$7:$T$46,MATCH($H20,PARAMETRES!$R$7:$R$46,0)),""))</f>
        <v/>
      </c>
      <c r="K20" s="94">
        <f>IF($H20="","",IFERROR(INDEX(PARAMETRES!$U$7:$U$46,MATCH($H20,PARAMETRES!$R$7:$R$46,0)),""))</f>
        <v/>
      </c>
      <c r="L20" s="94">
        <f>IF($H20="","",IFERROR(INDEX(PARAMETRES!$V$7:$V$46,MATCH($H20,PARAMETRES!$R$7:$R$46,0)),""))</f>
        <v/>
      </c>
      <c r="M20" s="88" t="n"/>
      <c r="N20" s="88" t="n"/>
      <c r="O20" s="88" t="n"/>
      <c r="P20" s="94">
        <f>IF($G20="","",IF($G20&gt;=60,"Arrêt majeur — analyse 5 pourquoi",IF($G20&gt;=30,"À analyser en revue quotidienne",IF($K20="Planifié","Arrêt planifié","Aléa courant"))))</f>
        <v/>
      </c>
      <c r="Q20" s="95">
        <f>IF($A20="",0,IF(AND(OR(COCKPIT!$H$4="Toutes",$C20=COCKPIT!$H$4),OR(COCKPIT!$K$4="Toutes",$B20=COCKPIT!$K$4)),1,0))</f>
        <v/>
      </c>
    </row>
    <row r="21" ht="15" customHeight="1">
      <c r="A21" s="87" t="n">
        <v>46028</v>
      </c>
      <c r="B21" s="88" t="inlineStr">
        <is>
          <t>Équipe A (matin)</t>
        </is>
      </c>
      <c r="C21" s="88" t="inlineStr">
        <is>
          <t>Ligne 1 - Assemblage</t>
        </is>
      </c>
      <c r="D21" s="88" t="inlineStr">
        <is>
          <t>Ligne 1</t>
        </is>
      </c>
      <c r="E21" s="96" t="n">
        <v>0.2833333333333333</v>
      </c>
      <c r="F21" s="96" t="n">
        <v>0.3111111111111111</v>
      </c>
      <c r="G21" s="92">
        <f>IF(OR($E21="",$F21=""),"",ROUND(($F21-$E21+IF($F21&lt;$E21,1,0))*1440,0))</f>
        <v/>
      </c>
      <c r="H21" s="88" t="inlineStr">
        <is>
          <t>PLA-01</t>
        </is>
      </c>
      <c r="I21" s="94">
        <f>IF($H21="","",IFERROR(INDEX(PARAMETRES!$S$7:$S$46,MATCH($H21,PARAMETRES!$R$7:$R$46,0)),"Code inconnu"))</f>
        <v/>
      </c>
      <c r="J21" s="94">
        <f>IF($H21="","",IFERROR(INDEX(PARAMETRES!$T$7:$T$46,MATCH($H21,PARAMETRES!$R$7:$R$46,0)),""))</f>
        <v/>
      </c>
      <c r="K21" s="94">
        <f>IF($H21="","",IFERROR(INDEX(PARAMETRES!$U$7:$U$46,MATCH($H21,PARAMETRES!$R$7:$R$46,0)),""))</f>
        <v/>
      </c>
      <c r="L21" s="94">
        <f>IF($H21="","",IFERROR(INDEX(PARAMETRES!$V$7:$V$46,MATCH($H21,PARAMETRES!$R$7:$R$46,0)),""))</f>
        <v/>
      </c>
      <c r="M21" s="88" t="n"/>
      <c r="N21" s="88" t="n"/>
      <c r="O21" s="88" t="n"/>
      <c r="P21" s="94">
        <f>IF($G21="","",IF($G21&gt;=60,"Arrêt majeur — analyse 5 pourquoi",IF($G21&gt;=30,"À analyser en revue quotidienne",IF($K21="Planifié","Arrêt planifié","Aléa courant"))))</f>
        <v/>
      </c>
      <c r="Q21" s="95">
        <f>IF($A21="",0,IF(AND(OR(COCKPIT!$H$4="Toutes",$C21=COCKPIT!$H$4),OR(COCKPIT!$K$4="Toutes",$B21=COCKPIT!$K$4)),1,0))</f>
        <v/>
      </c>
    </row>
    <row r="22" ht="15" customHeight="1">
      <c r="A22" s="87" t="n">
        <v>46028</v>
      </c>
      <c r="B22" s="88" t="inlineStr">
        <is>
          <t>Équipe A (matin)</t>
        </is>
      </c>
      <c r="C22" s="88" t="inlineStr">
        <is>
          <t>Ligne 1 - Assemblage</t>
        </is>
      </c>
      <c r="D22" s="88" t="inlineStr">
        <is>
          <t>Ligne 1</t>
        </is>
      </c>
      <c r="E22" s="96" t="n">
        <v>0.3215277777777778</v>
      </c>
      <c r="F22" s="96" t="n">
        <v>0.3631944444444444</v>
      </c>
      <c r="G22" s="92">
        <f>IF(OR($E22="",$F22=""),"",ROUND(($F22-$E22+IF($F22&lt;$E22,1,0))*1440,0))</f>
        <v/>
      </c>
      <c r="H22" s="88" t="inlineStr">
        <is>
          <t>PLA-02</t>
        </is>
      </c>
      <c r="I22" s="94">
        <f>IF($H22="","",IFERROR(INDEX(PARAMETRES!$S$7:$S$46,MATCH($H22,PARAMETRES!$R$7:$R$46,0)),"Code inconnu"))</f>
        <v/>
      </c>
      <c r="J22" s="94">
        <f>IF($H22="","",IFERROR(INDEX(PARAMETRES!$T$7:$T$46,MATCH($H22,PARAMETRES!$R$7:$R$46,0)),""))</f>
        <v/>
      </c>
      <c r="K22" s="94">
        <f>IF($H22="","",IFERROR(INDEX(PARAMETRES!$U$7:$U$46,MATCH($H22,PARAMETRES!$R$7:$R$46,0)),""))</f>
        <v/>
      </c>
      <c r="L22" s="94">
        <f>IF($H22="","",IFERROR(INDEX(PARAMETRES!$V$7:$V$46,MATCH($H22,PARAMETRES!$R$7:$R$46,0)),""))</f>
        <v/>
      </c>
      <c r="M22" s="88" t="n"/>
      <c r="N22" s="88" t="n"/>
      <c r="O22" s="88" t="n"/>
      <c r="P22" s="94">
        <f>IF($G22="","",IF($G22&gt;=60,"Arrêt majeur — analyse 5 pourquoi",IF($G22&gt;=30,"À analyser en revue quotidienne",IF($K22="Planifié","Arrêt planifié","Aléa courant"))))</f>
        <v/>
      </c>
      <c r="Q22" s="95">
        <f>IF($A22="",0,IF(AND(OR(COCKPIT!$H$4="Toutes",$C22=COCKPIT!$H$4),OR(COCKPIT!$K$4="Toutes",$B22=COCKPIT!$K$4)),1,0))</f>
        <v/>
      </c>
    </row>
    <row r="23" ht="15" customHeight="1">
      <c r="A23" s="87" t="n">
        <v>46028</v>
      </c>
      <c r="B23" s="88" t="inlineStr">
        <is>
          <t>Équipe A (matin)</t>
        </is>
      </c>
      <c r="C23" s="88" t="inlineStr">
        <is>
          <t>Ligne 1 - Assemblage</t>
        </is>
      </c>
      <c r="D23" s="88" t="inlineStr">
        <is>
          <t>Ligne 1</t>
        </is>
      </c>
      <c r="E23" s="96" t="n">
        <v>0.3833333333333334</v>
      </c>
      <c r="F23" s="96" t="n">
        <v>0.4013888888888889</v>
      </c>
      <c r="G23" s="92">
        <f>IF(OR($E23="",$F23=""),"",ROUND(($F23-$E23+IF($F23&lt;$E23,1,0))*1440,0))</f>
        <v/>
      </c>
      <c r="H23" s="88" t="inlineStr">
        <is>
          <t>PAN-01</t>
        </is>
      </c>
      <c r="I23" s="94">
        <f>IF($H23="","",IFERROR(INDEX(PARAMETRES!$S$7:$S$46,MATCH($H23,PARAMETRES!$R$7:$R$46,0)),"Code inconnu"))</f>
        <v/>
      </c>
      <c r="J23" s="94">
        <f>IF($H23="","",IFERROR(INDEX(PARAMETRES!$T$7:$T$46,MATCH($H23,PARAMETRES!$R$7:$R$46,0)),""))</f>
        <v/>
      </c>
      <c r="K23" s="94">
        <f>IF($H23="","",IFERROR(INDEX(PARAMETRES!$U$7:$U$46,MATCH($H23,PARAMETRES!$R$7:$R$46,0)),""))</f>
        <v/>
      </c>
      <c r="L23" s="94">
        <f>IF($H23="","",IFERROR(INDEX(PARAMETRES!$V$7:$V$46,MATCH($H23,PARAMETRES!$R$7:$R$46,0)),""))</f>
        <v/>
      </c>
      <c r="M23" s="88" t="n"/>
      <c r="N23" s="88" t="n"/>
      <c r="O23" s="88" t="n"/>
      <c r="P23" s="94">
        <f>IF($G23="","",IF($G23&gt;=60,"Arrêt majeur — analyse 5 pourquoi",IF($G23&gt;=30,"À analyser en revue quotidienne",IF($K23="Planifié","Arrêt planifié","Aléa courant"))))</f>
        <v/>
      </c>
      <c r="Q23" s="95">
        <f>IF($A23="",0,IF(AND(OR(COCKPIT!$H$4="Toutes",$C23=COCKPIT!$H$4),OR(COCKPIT!$K$4="Toutes",$B23=COCKPIT!$K$4)),1,0))</f>
        <v/>
      </c>
    </row>
    <row r="24" ht="15" customHeight="1">
      <c r="A24" s="87" t="n">
        <v>46028</v>
      </c>
      <c r="B24" s="88" t="inlineStr">
        <is>
          <t>Équipe A (matin)</t>
        </is>
      </c>
      <c r="C24" s="88" t="inlineStr">
        <is>
          <t>Ligne 1 - Assemblage</t>
        </is>
      </c>
      <c r="D24" s="88" t="inlineStr">
        <is>
          <t>Ligne 1</t>
        </is>
      </c>
      <c r="E24" s="96" t="n">
        <v>0.4291666666666666</v>
      </c>
      <c r="F24" s="96" t="n">
        <v>0.4416666666666667</v>
      </c>
      <c r="G24" s="92">
        <f>IF(OR($E24="",$F24=""),"",ROUND(($F24-$E24+IF($F24&lt;$E24,1,0))*1440,0))</f>
        <v/>
      </c>
      <c r="H24" s="88" t="inlineStr">
        <is>
          <t>CDS-01</t>
        </is>
      </c>
      <c r="I24" s="94">
        <f>IF($H24="","",IFERROR(INDEX(PARAMETRES!$S$7:$S$46,MATCH($H24,PARAMETRES!$R$7:$R$46,0)),"Code inconnu"))</f>
        <v/>
      </c>
      <c r="J24" s="94">
        <f>IF($H24="","",IFERROR(INDEX(PARAMETRES!$T$7:$T$46,MATCH($H24,PARAMETRES!$R$7:$R$46,0)),""))</f>
        <v/>
      </c>
      <c r="K24" s="94">
        <f>IF($H24="","",IFERROR(INDEX(PARAMETRES!$U$7:$U$46,MATCH($H24,PARAMETRES!$R$7:$R$46,0)),""))</f>
        <v/>
      </c>
      <c r="L24" s="94">
        <f>IF($H24="","",IFERROR(INDEX(PARAMETRES!$V$7:$V$46,MATCH($H24,PARAMETRES!$R$7:$R$46,0)),""))</f>
        <v/>
      </c>
      <c r="M24" s="88" t="n"/>
      <c r="N24" s="88" t="n"/>
      <c r="O24" s="88" t="n"/>
      <c r="P24" s="94">
        <f>IF($G24="","",IF($G24&gt;=60,"Arrêt majeur — analyse 5 pourquoi",IF($G24&gt;=30,"À analyser en revue quotidienne",IF($K24="Planifié","Arrêt planifié","Aléa courant"))))</f>
        <v/>
      </c>
      <c r="Q24" s="95">
        <f>IF($A24="",0,IF(AND(OR(COCKPIT!$H$4="Toutes",$C24=COCKPIT!$H$4),OR(COCKPIT!$K$4="Toutes",$B24=COCKPIT!$K$4)),1,0))</f>
        <v/>
      </c>
    </row>
    <row r="25" ht="15" customHeight="1">
      <c r="A25" s="87" t="n">
        <v>46028</v>
      </c>
      <c r="B25" s="88" t="inlineStr">
        <is>
          <t>Équipe A (matin)</t>
        </is>
      </c>
      <c r="C25" s="88" t="inlineStr">
        <is>
          <t>Ligne 1 - Assemblage</t>
        </is>
      </c>
      <c r="D25" s="88" t="inlineStr">
        <is>
          <t>Ligne 1</t>
        </is>
      </c>
      <c r="E25" s="96" t="n">
        <v>0.4548611111111111</v>
      </c>
      <c r="F25" s="96" t="n">
        <v>0.4645833333333333</v>
      </c>
      <c r="G25" s="92">
        <f>IF(OR($E25="",$F25=""),"",ROUND(($F25-$E25+IF($F25&lt;$E25,1,0))*1440,0))</f>
        <v/>
      </c>
      <c r="H25" s="88" t="inlineStr">
        <is>
          <t>REG-02</t>
        </is>
      </c>
      <c r="I25" s="94">
        <f>IF($H25="","",IFERROR(INDEX(PARAMETRES!$S$7:$S$46,MATCH($H25,PARAMETRES!$R$7:$R$46,0)),"Code inconnu"))</f>
        <v/>
      </c>
      <c r="J25" s="94">
        <f>IF($H25="","",IFERROR(INDEX(PARAMETRES!$T$7:$T$46,MATCH($H25,PARAMETRES!$R$7:$R$46,0)),""))</f>
        <v/>
      </c>
      <c r="K25" s="94">
        <f>IF($H25="","",IFERROR(INDEX(PARAMETRES!$U$7:$U$46,MATCH($H25,PARAMETRES!$R$7:$R$46,0)),""))</f>
        <v/>
      </c>
      <c r="L25" s="94">
        <f>IF($H25="","",IFERROR(INDEX(PARAMETRES!$V$7:$V$46,MATCH($H25,PARAMETRES!$R$7:$R$46,0)),""))</f>
        <v/>
      </c>
      <c r="M25" s="88" t="n"/>
      <c r="N25" s="88" t="n"/>
      <c r="O25" s="88" t="n"/>
      <c r="P25" s="94">
        <f>IF($G25="","",IF($G25&gt;=60,"Arrêt majeur — analyse 5 pourquoi",IF($G25&gt;=30,"À analyser en revue quotidienne",IF($K25="Planifié","Arrêt planifié","Aléa courant"))))</f>
        <v/>
      </c>
      <c r="Q25" s="95">
        <f>IF($A25="",0,IF(AND(OR(COCKPIT!$H$4="Toutes",$C25=COCKPIT!$H$4),OR(COCKPIT!$K$4="Toutes",$B25=COCKPIT!$K$4)),1,0))</f>
        <v/>
      </c>
    </row>
    <row r="26" ht="15" customHeight="1">
      <c r="A26" s="87" t="n">
        <v>46028</v>
      </c>
      <c r="B26" s="88" t="inlineStr">
        <is>
          <t>Équipe A (matin)</t>
        </is>
      </c>
      <c r="C26" s="88" t="inlineStr">
        <is>
          <t>Ligne 1 - Assemblage</t>
        </is>
      </c>
      <c r="D26" s="88" t="inlineStr">
        <is>
          <t>Ligne 1</t>
        </is>
      </c>
      <c r="E26" s="96" t="n">
        <v>0.4736111111111111</v>
      </c>
      <c r="F26" s="96" t="n">
        <v>0.4840277777777778</v>
      </c>
      <c r="G26" s="92">
        <f>IF(OR($E26="",$F26=""),"",ROUND(($F26-$E26+IF($F26&lt;$E26,1,0))*1440,0))</f>
        <v/>
      </c>
      <c r="H26" s="88" t="inlineStr">
        <is>
          <t>PER-01</t>
        </is>
      </c>
      <c r="I26" s="94">
        <f>IF($H26="","",IFERROR(INDEX(PARAMETRES!$S$7:$S$46,MATCH($H26,PARAMETRES!$R$7:$R$46,0)),"Code inconnu"))</f>
        <v/>
      </c>
      <c r="J26" s="94">
        <f>IF($H26="","",IFERROR(INDEX(PARAMETRES!$T$7:$T$46,MATCH($H26,PARAMETRES!$R$7:$R$46,0)),""))</f>
        <v/>
      </c>
      <c r="K26" s="94">
        <f>IF($H26="","",IFERROR(INDEX(PARAMETRES!$U$7:$U$46,MATCH($H26,PARAMETRES!$R$7:$R$46,0)),""))</f>
        <v/>
      </c>
      <c r="L26" s="94">
        <f>IF($H26="","",IFERROR(INDEX(PARAMETRES!$V$7:$V$46,MATCH($H26,PARAMETRES!$R$7:$R$46,0)),""))</f>
        <v/>
      </c>
      <c r="M26" s="88" t="n"/>
      <c r="N26" s="88" t="n"/>
      <c r="O26" s="88" t="n"/>
      <c r="P26" s="94">
        <f>IF($G26="","",IF($G26&gt;=60,"Arrêt majeur — analyse 5 pourquoi",IF($G26&gt;=30,"À analyser en revue quotidienne",IF($K26="Planifié","Arrêt planifié","Aléa courant"))))</f>
        <v/>
      </c>
      <c r="Q26" s="95">
        <f>IF($A26="",0,IF(AND(OR(COCKPIT!$H$4="Toutes",$C26=COCKPIT!$H$4),OR(COCKPIT!$K$4="Toutes",$B26=COCKPIT!$K$4)),1,0))</f>
        <v/>
      </c>
    </row>
    <row r="27" ht="15" customHeight="1">
      <c r="A27" s="87" t="n">
        <v>46028</v>
      </c>
      <c r="B27" s="88" t="inlineStr">
        <is>
          <t>Équipe B (après-midi)</t>
        </is>
      </c>
      <c r="C27" s="88" t="inlineStr">
        <is>
          <t>Ligne 2 - Usinage</t>
        </is>
      </c>
      <c r="D27" s="88" t="inlineStr">
        <is>
          <t>Ligne 2</t>
        </is>
      </c>
      <c r="E27" s="96" t="n">
        <v>0.2798611111111111</v>
      </c>
      <c r="F27" s="96" t="n">
        <v>0.3076388888888889</v>
      </c>
      <c r="G27" s="92">
        <f>IF(OR($E27="",$F27=""),"",ROUND(($F27-$E27+IF($F27&lt;$E27,1,0))*1440,0))</f>
        <v/>
      </c>
      <c r="H27" s="88" t="inlineStr">
        <is>
          <t>PLA-01</t>
        </is>
      </c>
      <c r="I27" s="94">
        <f>IF($H27="","",IFERROR(INDEX(PARAMETRES!$S$7:$S$46,MATCH($H27,PARAMETRES!$R$7:$R$46,0)),"Code inconnu"))</f>
        <v/>
      </c>
      <c r="J27" s="94">
        <f>IF($H27="","",IFERROR(INDEX(PARAMETRES!$T$7:$T$46,MATCH($H27,PARAMETRES!$R$7:$R$46,0)),""))</f>
        <v/>
      </c>
      <c r="K27" s="94">
        <f>IF($H27="","",IFERROR(INDEX(PARAMETRES!$U$7:$U$46,MATCH($H27,PARAMETRES!$R$7:$R$46,0)),""))</f>
        <v/>
      </c>
      <c r="L27" s="94">
        <f>IF($H27="","",IFERROR(INDEX(PARAMETRES!$V$7:$V$46,MATCH($H27,PARAMETRES!$R$7:$R$46,0)),""))</f>
        <v/>
      </c>
      <c r="M27" s="88" t="n"/>
      <c r="N27" s="88" t="n"/>
      <c r="O27" s="88" t="n"/>
      <c r="P27" s="94">
        <f>IF($G27="","",IF($G27&gt;=60,"Arrêt majeur — analyse 5 pourquoi",IF($G27&gt;=30,"À analyser en revue quotidienne",IF($K27="Planifié","Arrêt planifié","Aléa courant"))))</f>
        <v/>
      </c>
      <c r="Q27" s="95">
        <f>IF($A27="",0,IF(AND(OR(COCKPIT!$H$4="Toutes",$C27=COCKPIT!$H$4),OR(COCKPIT!$K$4="Toutes",$B27=COCKPIT!$K$4)),1,0))</f>
        <v/>
      </c>
    </row>
    <row r="28" ht="15" customHeight="1">
      <c r="A28" s="87" t="n">
        <v>46028</v>
      </c>
      <c r="B28" s="88" t="inlineStr">
        <is>
          <t>Équipe B (après-midi)</t>
        </is>
      </c>
      <c r="C28" s="88" t="inlineStr">
        <is>
          <t>Ligne 2 - Usinage</t>
        </is>
      </c>
      <c r="D28" s="88" t="inlineStr">
        <is>
          <t>Ligne 2</t>
        </is>
      </c>
      <c r="E28" s="96" t="n">
        <v>0.31875</v>
      </c>
      <c r="F28" s="96" t="n">
        <v>0.3604166666666667</v>
      </c>
      <c r="G28" s="92">
        <f>IF(OR($E28="",$F28=""),"",ROUND(($F28-$E28+IF($F28&lt;$E28,1,0))*1440,0))</f>
        <v/>
      </c>
      <c r="H28" s="88" t="inlineStr">
        <is>
          <t>PLA-02</t>
        </is>
      </c>
      <c r="I28" s="94">
        <f>IF($H28="","",IFERROR(INDEX(PARAMETRES!$S$7:$S$46,MATCH($H28,PARAMETRES!$R$7:$R$46,0)),"Code inconnu"))</f>
        <v/>
      </c>
      <c r="J28" s="94">
        <f>IF($H28="","",IFERROR(INDEX(PARAMETRES!$T$7:$T$46,MATCH($H28,PARAMETRES!$R$7:$R$46,0)),""))</f>
        <v/>
      </c>
      <c r="K28" s="94">
        <f>IF($H28="","",IFERROR(INDEX(PARAMETRES!$U$7:$U$46,MATCH($H28,PARAMETRES!$R$7:$R$46,0)),""))</f>
        <v/>
      </c>
      <c r="L28" s="94">
        <f>IF($H28="","",IFERROR(INDEX(PARAMETRES!$V$7:$V$46,MATCH($H28,PARAMETRES!$R$7:$R$46,0)),""))</f>
        <v/>
      </c>
      <c r="M28" s="88" t="n"/>
      <c r="N28" s="88" t="n"/>
      <c r="O28" s="88" t="n"/>
      <c r="P28" s="94">
        <f>IF($G28="","",IF($G28&gt;=60,"Arrêt majeur — analyse 5 pourquoi",IF($G28&gt;=30,"À analyser en revue quotidienne",IF($K28="Planifié","Arrêt planifié","Aléa courant"))))</f>
        <v/>
      </c>
      <c r="Q28" s="95">
        <f>IF($A28="",0,IF(AND(OR(COCKPIT!$H$4="Toutes",$C28=COCKPIT!$H$4),OR(COCKPIT!$K$4="Toutes",$B28=COCKPIT!$K$4)),1,0))</f>
        <v/>
      </c>
    </row>
    <row r="29" ht="15" customHeight="1">
      <c r="A29" s="87" t="n">
        <v>46028</v>
      </c>
      <c r="B29" s="88" t="inlineStr">
        <is>
          <t>Équipe B (après-midi)</t>
        </is>
      </c>
      <c r="C29" s="88" t="inlineStr">
        <is>
          <t>Ligne 2 - Usinage</t>
        </is>
      </c>
      <c r="D29" s="88" t="inlineStr">
        <is>
          <t>Ligne 2</t>
        </is>
      </c>
      <c r="E29" s="96" t="n">
        <v>0.3840277777777778</v>
      </c>
      <c r="F29" s="96" t="n">
        <v>0.3895833333333333</v>
      </c>
      <c r="G29" s="92">
        <f>IF(OR($E29="",$F29=""),"",ROUND(($F29-$E29+IF($F29&lt;$E29,1,0))*1440,0))</f>
        <v/>
      </c>
      <c r="H29" s="88" t="inlineStr">
        <is>
          <t>REG-01</t>
        </is>
      </c>
      <c r="I29" s="94">
        <f>IF($H29="","",IFERROR(INDEX(PARAMETRES!$S$7:$S$46,MATCH($H29,PARAMETRES!$R$7:$R$46,0)),"Code inconnu"))</f>
        <v/>
      </c>
      <c r="J29" s="94">
        <f>IF($H29="","",IFERROR(INDEX(PARAMETRES!$T$7:$T$46,MATCH($H29,PARAMETRES!$R$7:$R$46,0)),""))</f>
        <v/>
      </c>
      <c r="K29" s="94">
        <f>IF($H29="","",IFERROR(INDEX(PARAMETRES!$U$7:$U$46,MATCH($H29,PARAMETRES!$R$7:$R$46,0)),""))</f>
        <v/>
      </c>
      <c r="L29" s="94">
        <f>IF($H29="","",IFERROR(INDEX(PARAMETRES!$V$7:$V$46,MATCH($H29,PARAMETRES!$R$7:$R$46,0)),""))</f>
        <v/>
      </c>
      <c r="M29" s="88" t="n"/>
      <c r="N29" s="88" t="n"/>
      <c r="O29" s="88" t="n"/>
      <c r="P29" s="94">
        <f>IF($G29="","",IF($G29&gt;=60,"Arrêt majeur — analyse 5 pourquoi",IF($G29&gt;=30,"À analyser en revue quotidienne",IF($K29="Planifié","Arrêt planifié","Aléa courant"))))</f>
        <v/>
      </c>
      <c r="Q29" s="95">
        <f>IF($A29="",0,IF(AND(OR(COCKPIT!$H$4="Toutes",$C29=COCKPIT!$H$4),OR(COCKPIT!$K$4="Toutes",$B29=COCKPIT!$K$4)),1,0))</f>
        <v/>
      </c>
    </row>
    <row r="30" ht="15" customHeight="1">
      <c r="A30" s="87" t="n">
        <v>46028</v>
      </c>
      <c r="B30" s="88" t="inlineStr">
        <is>
          <t>Équipe B (après-midi)</t>
        </is>
      </c>
      <c r="C30" s="88" t="inlineStr">
        <is>
          <t>Ligne 2 - Usinage</t>
        </is>
      </c>
      <c r="D30" s="88" t="inlineStr">
        <is>
          <t>Ligne 2</t>
        </is>
      </c>
      <c r="E30" s="96" t="n">
        <v>0.4180555555555556</v>
      </c>
      <c r="F30" s="96" t="n">
        <v>0.4298611111111111</v>
      </c>
      <c r="G30" s="92">
        <f>IF(OR($E30="",$F30=""),"",ROUND(($F30-$E30+IF($F30&lt;$E30,1,0))*1440,0))</f>
        <v/>
      </c>
      <c r="H30" s="88" t="inlineStr">
        <is>
          <t>MAT-02</t>
        </is>
      </c>
      <c r="I30" s="94">
        <f>IF($H30="","",IFERROR(INDEX(PARAMETRES!$S$7:$S$46,MATCH($H30,PARAMETRES!$R$7:$R$46,0)),"Code inconnu"))</f>
        <v/>
      </c>
      <c r="J30" s="94">
        <f>IF($H30="","",IFERROR(INDEX(PARAMETRES!$T$7:$T$46,MATCH($H30,PARAMETRES!$R$7:$R$46,0)),""))</f>
        <v/>
      </c>
      <c r="K30" s="94">
        <f>IF($H30="","",IFERROR(INDEX(PARAMETRES!$U$7:$U$46,MATCH($H30,PARAMETRES!$R$7:$R$46,0)),""))</f>
        <v/>
      </c>
      <c r="L30" s="94">
        <f>IF($H30="","",IFERROR(INDEX(PARAMETRES!$V$7:$V$46,MATCH($H30,PARAMETRES!$R$7:$R$46,0)),""))</f>
        <v/>
      </c>
      <c r="M30" s="88" t="n"/>
      <c r="N30" s="88" t="n"/>
      <c r="O30" s="88" t="n"/>
      <c r="P30" s="94">
        <f>IF($G30="","",IF($G30&gt;=60,"Arrêt majeur — analyse 5 pourquoi",IF($G30&gt;=30,"À analyser en revue quotidienne",IF($K30="Planifié","Arrêt planifié","Aléa courant"))))</f>
        <v/>
      </c>
      <c r="Q30" s="95">
        <f>IF($A30="",0,IF(AND(OR(COCKPIT!$H$4="Toutes",$C30=COCKPIT!$H$4),OR(COCKPIT!$K$4="Toutes",$B30=COCKPIT!$K$4)),1,0))</f>
        <v/>
      </c>
    </row>
    <row r="31" ht="15" customHeight="1">
      <c r="A31" s="87" t="n">
        <v>46028</v>
      </c>
      <c r="B31" s="88" t="inlineStr">
        <is>
          <t>Équipe B (après-midi)</t>
        </is>
      </c>
      <c r="C31" s="88" t="inlineStr">
        <is>
          <t>Ligne 2 - Usinage</t>
        </is>
      </c>
      <c r="D31" s="88" t="inlineStr">
        <is>
          <t>Ligne 2</t>
        </is>
      </c>
      <c r="E31" s="96" t="n">
        <v>0.4444444444444444</v>
      </c>
      <c r="F31" s="96" t="n">
        <v>0.4506944444444445</v>
      </c>
      <c r="G31" s="92">
        <f>IF(OR($E31="",$F31=""),"",ROUND(($F31-$E31+IF($F31&lt;$E31,1,0))*1440,0))</f>
        <v/>
      </c>
      <c r="H31" s="88" t="inlineStr">
        <is>
          <t>LOG-01</t>
        </is>
      </c>
      <c r="I31" s="94">
        <f>IF($H31="","",IFERROR(INDEX(PARAMETRES!$S$7:$S$46,MATCH($H31,PARAMETRES!$R$7:$R$46,0)),"Code inconnu"))</f>
        <v/>
      </c>
      <c r="J31" s="94">
        <f>IF($H31="","",IFERROR(INDEX(PARAMETRES!$T$7:$T$46,MATCH($H31,PARAMETRES!$R$7:$R$46,0)),""))</f>
        <v/>
      </c>
      <c r="K31" s="94">
        <f>IF($H31="","",IFERROR(INDEX(PARAMETRES!$U$7:$U$46,MATCH($H31,PARAMETRES!$R$7:$R$46,0)),""))</f>
        <v/>
      </c>
      <c r="L31" s="94">
        <f>IF($H31="","",IFERROR(INDEX(PARAMETRES!$V$7:$V$46,MATCH($H31,PARAMETRES!$R$7:$R$46,0)),""))</f>
        <v/>
      </c>
      <c r="M31" s="88" t="n"/>
      <c r="N31" s="88" t="n"/>
      <c r="O31" s="88" t="n"/>
      <c r="P31" s="94">
        <f>IF($G31="","",IF($G31&gt;=60,"Arrêt majeur — analyse 5 pourquoi",IF($G31&gt;=30,"À analyser en revue quotidienne",IF($K31="Planifié","Arrêt planifié","Aléa courant"))))</f>
        <v/>
      </c>
      <c r="Q31" s="95">
        <f>IF($A31="",0,IF(AND(OR(COCKPIT!$H$4="Toutes",$C31=COCKPIT!$H$4),OR(COCKPIT!$K$4="Toutes",$B31=COCKPIT!$K$4)),1,0))</f>
        <v/>
      </c>
    </row>
    <row r="32" ht="15" customHeight="1">
      <c r="A32" s="87" t="n">
        <v>46028</v>
      </c>
      <c r="B32" s="88" t="inlineStr">
        <is>
          <t>Équipe B (après-midi)</t>
        </is>
      </c>
      <c r="C32" s="88" t="inlineStr">
        <is>
          <t>Ligne 2 - Usinage</t>
        </is>
      </c>
      <c r="D32" s="88" t="inlineStr">
        <is>
          <t>Ligne 2</t>
        </is>
      </c>
      <c r="E32" s="96" t="n">
        <v>0.4777777777777778</v>
      </c>
      <c r="F32" s="96" t="n">
        <v>0.49375</v>
      </c>
      <c r="G32" s="92">
        <f>IF(OR($E32="",$F32=""),"",ROUND(($F32-$E32+IF($F32&lt;$E32,1,0))*1440,0))</f>
        <v/>
      </c>
      <c r="H32" s="88" t="inlineStr">
        <is>
          <t>PAN-01</t>
        </is>
      </c>
      <c r="I32" s="94">
        <f>IF($H32="","",IFERROR(INDEX(PARAMETRES!$S$7:$S$46,MATCH($H32,PARAMETRES!$R$7:$R$46,0)),"Code inconnu"))</f>
        <v/>
      </c>
      <c r="J32" s="94">
        <f>IF($H32="","",IFERROR(INDEX(PARAMETRES!$T$7:$T$46,MATCH($H32,PARAMETRES!$R$7:$R$46,0)),""))</f>
        <v/>
      </c>
      <c r="K32" s="94">
        <f>IF($H32="","",IFERROR(INDEX(PARAMETRES!$U$7:$U$46,MATCH($H32,PARAMETRES!$R$7:$R$46,0)),""))</f>
        <v/>
      </c>
      <c r="L32" s="94">
        <f>IF($H32="","",IFERROR(INDEX(PARAMETRES!$V$7:$V$46,MATCH($H32,PARAMETRES!$R$7:$R$46,0)),""))</f>
        <v/>
      </c>
      <c r="M32" s="88" t="n"/>
      <c r="N32" s="88" t="n"/>
      <c r="O32" s="88" t="n"/>
      <c r="P32" s="94">
        <f>IF($G32="","",IF($G32&gt;=60,"Arrêt majeur — analyse 5 pourquoi",IF($G32&gt;=30,"À analyser en revue quotidienne",IF($K32="Planifié","Arrêt planifié","Aléa courant"))))</f>
        <v/>
      </c>
      <c r="Q32" s="95">
        <f>IF($A32="",0,IF(AND(OR(COCKPIT!$H$4="Toutes",$C32=COCKPIT!$H$4),OR(COCKPIT!$K$4="Toutes",$B32=COCKPIT!$K$4)),1,0))</f>
        <v/>
      </c>
    </row>
    <row r="33" ht="15" customHeight="1">
      <c r="A33" s="87" t="n">
        <v>46028</v>
      </c>
      <c r="B33" s="88" t="inlineStr">
        <is>
          <t>Équipe B (après-midi)</t>
        </is>
      </c>
      <c r="C33" s="88" t="inlineStr">
        <is>
          <t>Ligne 2 - Usinage</t>
        </is>
      </c>
      <c r="D33" s="88" t="inlineStr">
        <is>
          <t>Ligne 2</t>
        </is>
      </c>
      <c r="E33" s="96" t="n">
        <v>0.5020833333333333</v>
      </c>
      <c r="F33" s="96" t="n">
        <v>0.5263888888888889</v>
      </c>
      <c r="G33" s="92">
        <f>IF(OR($E33="",$F33=""),"",ROUND(($F33-$E33+IF($F33&lt;$E33,1,0))*1440,0))</f>
        <v/>
      </c>
      <c r="H33" s="88" t="inlineStr">
        <is>
          <t>CDS-01</t>
        </is>
      </c>
      <c r="I33" s="94">
        <f>IF($H33="","",IFERROR(INDEX(PARAMETRES!$S$7:$S$46,MATCH($H33,PARAMETRES!$R$7:$R$46,0)),"Code inconnu"))</f>
        <v/>
      </c>
      <c r="J33" s="94">
        <f>IF($H33="","",IFERROR(INDEX(PARAMETRES!$T$7:$T$46,MATCH($H33,PARAMETRES!$R$7:$R$46,0)),""))</f>
        <v/>
      </c>
      <c r="K33" s="94">
        <f>IF($H33="","",IFERROR(INDEX(PARAMETRES!$U$7:$U$46,MATCH($H33,PARAMETRES!$R$7:$R$46,0)),""))</f>
        <v/>
      </c>
      <c r="L33" s="94">
        <f>IF($H33="","",IFERROR(INDEX(PARAMETRES!$V$7:$V$46,MATCH($H33,PARAMETRES!$R$7:$R$46,0)),""))</f>
        <v/>
      </c>
      <c r="M33" s="88" t="n"/>
      <c r="N33" s="88" t="n"/>
      <c r="O33" s="88" t="n"/>
      <c r="P33" s="94">
        <f>IF($G33="","",IF($G33&gt;=60,"Arrêt majeur — analyse 5 pourquoi",IF($G33&gt;=30,"À analyser en revue quotidienne",IF($K33="Planifié","Arrêt planifié","Aléa courant"))))</f>
        <v/>
      </c>
      <c r="Q33" s="95">
        <f>IF($A33="",0,IF(AND(OR(COCKPIT!$H$4="Toutes",$C33=COCKPIT!$H$4),OR(COCKPIT!$K$4="Toutes",$B33=COCKPIT!$K$4)),1,0))</f>
        <v/>
      </c>
    </row>
    <row r="34" ht="15" customHeight="1">
      <c r="A34" s="87" t="n">
        <v>46029</v>
      </c>
      <c r="B34" s="88" t="inlineStr">
        <is>
          <t>Équipe B (après-midi)</t>
        </is>
      </c>
      <c r="C34" s="88" t="inlineStr">
        <is>
          <t>Ligne 1 - Assemblage</t>
        </is>
      </c>
      <c r="D34" s="88" t="inlineStr">
        <is>
          <t>Ligne 1</t>
        </is>
      </c>
      <c r="E34" s="96" t="n">
        <v>0.2972222222222222</v>
      </c>
      <c r="F34" s="96" t="n">
        <v>0.325</v>
      </c>
      <c r="G34" s="92">
        <f>IF(OR($E34="",$F34=""),"",ROUND(($F34-$E34+IF($F34&lt;$E34,1,0))*1440,0))</f>
        <v/>
      </c>
      <c r="H34" s="88" t="inlineStr">
        <is>
          <t>PLA-01</t>
        </is>
      </c>
      <c r="I34" s="94">
        <f>IF($H34="","",IFERROR(INDEX(PARAMETRES!$S$7:$S$46,MATCH($H34,PARAMETRES!$R$7:$R$46,0)),"Code inconnu"))</f>
        <v/>
      </c>
      <c r="J34" s="94">
        <f>IF($H34="","",IFERROR(INDEX(PARAMETRES!$T$7:$T$46,MATCH($H34,PARAMETRES!$R$7:$R$46,0)),""))</f>
        <v/>
      </c>
      <c r="K34" s="94">
        <f>IF($H34="","",IFERROR(INDEX(PARAMETRES!$U$7:$U$46,MATCH($H34,PARAMETRES!$R$7:$R$46,0)),""))</f>
        <v/>
      </c>
      <c r="L34" s="94">
        <f>IF($H34="","",IFERROR(INDEX(PARAMETRES!$V$7:$V$46,MATCH($H34,PARAMETRES!$R$7:$R$46,0)),""))</f>
        <v/>
      </c>
      <c r="M34" s="88" t="n"/>
      <c r="N34" s="88" t="n"/>
      <c r="O34" s="88" t="n"/>
      <c r="P34" s="94">
        <f>IF($G34="","",IF($G34&gt;=60,"Arrêt majeur — analyse 5 pourquoi",IF($G34&gt;=30,"À analyser en revue quotidienne",IF($K34="Planifié","Arrêt planifié","Aléa courant"))))</f>
        <v/>
      </c>
      <c r="Q34" s="95">
        <f>IF($A34="",0,IF(AND(OR(COCKPIT!$H$4="Toutes",$C34=COCKPIT!$H$4),OR(COCKPIT!$K$4="Toutes",$B34=COCKPIT!$K$4)),1,0))</f>
        <v/>
      </c>
    </row>
    <row r="35" ht="15" customHeight="1">
      <c r="A35" s="87" t="n">
        <v>46029</v>
      </c>
      <c r="B35" s="88" t="inlineStr">
        <is>
          <t>Équipe B (après-midi)</t>
        </is>
      </c>
      <c r="C35" s="88" t="inlineStr">
        <is>
          <t>Ligne 1 - Assemblage</t>
        </is>
      </c>
      <c r="D35" s="88" t="inlineStr">
        <is>
          <t>Ligne 1</t>
        </is>
      </c>
      <c r="E35" s="96" t="n">
        <v>0.3555555555555556</v>
      </c>
      <c r="F35" s="96" t="n">
        <v>0.3666666666666666</v>
      </c>
      <c r="G35" s="92">
        <f>IF(OR($E35="",$F35=""),"",ROUND(($F35-$E35+IF($F35&lt;$E35,1,0))*1440,0))</f>
        <v/>
      </c>
      <c r="H35" s="88" t="inlineStr">
        <is>
          <t>MAT-01</t>
        </is>
      </c>
      <c r="I35" s="94">
        <f>IF($H35="","",IFERROR(INDEX(PARAMETRES!$S$7:$S$46,MATCH($H35,PARAMETRES!$R$7:$R$46,0)),"Code inconnu"))</f>
        <v/>
      </c>
      <c r="J35" s="94">
        <f>IF($H35="","",IFERROR(INDEX(PARAMETRES!$T$7:$T$46,MATCH($H35,PARAMETRES!$R$7:$R$46,0)),""))</f>
        <v/>
      </c>
      <c r="K35" s="94">
        <f>IF($H35="","",IFERROR(INDEX(PARAMETRES!$U$7:$U$46,MATCH($H35,PARAMETRES!$R$7:$R$46,0)),""))</f>
        <v/>
      </c>
      <c r="L35" s="94">
        <f>IF($H35="","",IFERROR(INDEX(PARAMETRES!$V$7:$V$46,MATCH($H35,PARAMETRES!$R$7:$R$46,0)),""))</f>
        <v/>
      </c>
      <c r="M35" s="88" t="n"/>
      <c r="N35" s="88" t="n"/>
      <c r="O35" s="88" t="n"/>
      <c r="P35" s="94">
        <f>IF($G35="","",IF($G35&gt;=60,"Arrêt majeur — analyse 5 pourquoi",IF($G35&gt;=30,"À analyser en revue quotidienne",IF($K35="Planifié","Arrêt planifié","Aléa courant"))))</f>
        <v/>
      </c>
      <c r="Q35" s="95">
        <f>IF($A35="",0,IF(AND(OR(COCKPIT!$H$4="Toutes",$C35=COCKPIT!$H$4),OR(COCKPIT!$K$4="Toutes",$B35=COCKPIT!$K$4)),1,0))</f>
        <v/>
      </c>
    </row>
    <row r="36" ht="15" customHeight="1">
      <c r="A36" s="87" t="n">
        <v>46029</v>
      </c>
      <c r="B36" s="88" t="inlineStr">
        <is>
          <t>Équipe B (après-midi)</t>
        </is>
      </c>
      <c r="C36" s="88" t="inlineStr">
        <is>
          <t>Ligne 1 - Assemblage</t>
        </is>
      </c>
      <c r="D36" s="88" t="inlineStr">
        <is>
          <t>Ligne 1</t>
        </is>
      </c>
      <c r="E36" s="96" t="n">
        <v>0.3965277777777778</v>
      </c>
      <c r="F36" s="96" t="n">
        <v>0.4083333333333333</v>
      </c>
      <c r="G36" s="92">
        <f>IF(OR($E36="",$F36=""),"",ROUND(($F36-$E36+IF($F36&lt;$E36,1,0))*1440,0))</f>
        <v/>
      </c>
      <c r="H36" s="88" t="inlineStr">
        <is>
          <t>PER-02</t>
        </is>
      </c>
      <c r="I36" s="94">
        <f>IF($H36="","",IFERROR(INDEX(PARAMETRES!$S$7:$S$46,MATCH($H36,PARAMETRES!$R$7:$R$46,0)),"Code inconnu"))</f>
        <v/>
      </c>
      <c r="J36" s="94">
        <f>IF($H36="","",IFERROR(INDEX(PARAMETRES!$T$7:$T$46,MATCH($H36,PARAMETRES!$R$7:$R$46,0)),""))</f>
        <v/>
      </c>
      <c r="K36" s="94">
        <f>IF($H36="","",IFERROR(INDEX(PARAMETRES!$U$7:$U$46,MATCH($H36,PARAMETRES!$R$7:$R$46,0)),""))</f>
        <v/>
      </c>
      <c r="L36" s="94">
        <f>IF($H36="","",IFERROR(INDEX(PARAMETRES!$V$7:$V$46,MATCH($H36,PARAMETRES!$R$7:$R$46,0)),""))</f>
        <v/>
      </c>
      <c r="M36" s="88" t="n"/>
      <c r="N36" s="88" t="n"/>
      <c r="O36" s="88" t="n"/>
      <c r="P36" s="94">
        <f>IF($G36="","",IF($G36&gt;=60,"Arrêt majeur — analyse 5 pourquoi",IF($G36&gt;=30,"À analyser en revue quotidienne",IF($K36="Planifié","Arrêt planifié","Aléa courant"))))</f>
        <v/>
      </c>
      <c r="Q36" s="95">
        <f>IF($A36="",0,IF(AND(OR(COCKPIT!$H$4="Toutes",$C36=COCKPIT!$H$4),OR(COCKPIT!$K$4="Toutes",$B36=COCKPIT!$K$4)),1,0))</f>
        <v/>
      </c>
    </row>
    <row r="37" ht="15" customHeight="1">
      <c r="A37" s="87" t="n">
        <v>46029</v>
      </c>
      <c r="B37" s="88" t="inlineStr">
        <is>
          <t>Équipe B (après-midi)</t>
        </is>
      </c>
      <c r="C37" s="88" t="inlineStr">
        <is>
          <t>Ligne 1 - Assemblage</t>
        </is>
      </c>
      <c r="D37" s="88" t="inlineStr">
        <is>
          <t>Ligne 1</t>
        </is>
      </c>
      <c r="E37" s="96" t="n">
        <v>0.4201388888888889</v>
      </c>
      <c r="F37" s="96" t="n">
        <v>0.4263888888888889</v>
      </c>
      <c r="G37" s="92">
        <f>IF(OR($E37="",$F37=""),"",ROUND(($F37-$E37+IF($F37&lt;$E37,1,0))*1440,0))</f>
        <v/>
      </c>
      <c r="H37" s="88" t="inlineStr">
        <is>
          <t>ESS-01</t>
        </is>
      </c>
      <c r="I37" s="94">
        <f>IF($H37="","",IFERROR(INDEX(PARAMETRES!$S$7:$S$46,MATCH($H37,PARAMETRES!$R$7:$R$46,0)),"Code inconnu"))</f>
        <v/>
      </c>
      <c r="J37" s="94">
        <f>IF($H37="","",IFERROR(INDEX(PARAMETRES!$T$7:$T$46,MATCH($H37,PARAMETRES!$R$7:$R$46,0)),""))</f>
        <v/>
      </c>
      <c r="K37" s="94">
        <f>IF($H37="","",IFERROR(INDEX(PARAMETRES!$U$7:$U$46,MATCH($H37,PARAMETRES!$R$7:$R$46,0)),""))</f>
        <v/>
      </c>
      <c r="L37" s="94">
        <f>IF($H37="","",IFERROR(INDEX(PARAMETRES!$V$7:$V$46,MATCH($H37,PARAMETRES!$R$7:$R$46,0)),""))</f>
        <v/>
      </c>
      <c r="M37" s="88" t="n"/>
      <c r="N37" s="88" t="n"/>
      <c r="O37" s="88" t="n"/>
      <c r="P37" s="94">
        <f>IF($G37="","",IF($G37&gt;=60,"Arrêt majeur — analyse 5 pourquoi",IF($G37&gt;=30,"À analyser en revue quotidienne",IF($K37="Planifié","Arrêt planifié","Aléa courant"))))</f>
        <v/>
      </c>
      <c r="Q37" s="95">
        <f>IF($A37="",0,IF(AND(OR(COCKPIT!$H$4="Toutes",$C37=COCKPIT!$H$4),OR(COCKPIT!$K$4="Toutes",$B37=COCKPIT!$K$4)),1,0))</f>
        <v/>
      </c>
    </row>
    <row r="38" ht="15" customHeight="1">
      <c r="A38" s="87" t="n">
        <v>46029</v>
      </c>
      <c r="B38" s="88" t="inlineStr">
        <is>
          <t>Équipe A (matin)</t>
        </is>
      </c>
      <c r="C38" s="88" t="inlineStr">
        <is>
          <t>Ligne 2 - Usinage</t>
        </is>
      </c>
      <c r="D38" s="88" t="inlineStr">
        <is>
          <t>Ligne 2</t>
        </is>
      </c>
      <c r="E38" s="96" t="n">
        <v>0.2770833333333333</v>
      </c>
      <c r="F38" s="96" t="n">
        <v>0.3048611111111111</v>
      </c>
      <c r="G38" s="92">
        <f>IF(OR($E38="",$F38=""),"",ROUND(($F38-$E38+IF($F38&lt;$E38,1,0))*1440,0))</f>
        <v/>
      </c>
      <c r="H38" s="88" t="inlineStr">
        <is>
          <t>PLA-01</t>
        </is>
      </c>
      <c r="I38" s="94">
        <f>IF($H38="","",IFERROR(INDEX(PARAMETRES!$S$7:$S$46,MATCH($H38,PARAMETRES!$R$7:$R$46,0)),"Code inconnu"))</f>
        <v/>
      </c>
      <c r="J38" s="94">
        <f>IF($H38="","",IFERROR(INDEX(PARAMETRES!$T$7:$T$46,MATCH($H38,PARAMETRES!$R$7:$R$46,0)),""))</f>
        <v/>
      </c>
      <c r="K38" s="94">
        <f>IF($H38="","",IFERROR(INDEX(PARAMETRES!$U$7:$U$46,MATCH($H38,PARAMETRES!$R$7:$R$46,0)),""))</f>
        <v/>
      </c>
      <c r="L38" s="94">
        <f>IF($H38="","",IFERROR(INDEX(PARAMETRES!$V$7:$V$46,MATCH($H38,PARAMETRES!$R$7:$R$46,0)),""))</f>
        <v/>
      </c>
      <c r="M38" s="88" t="n"/>
      <c r="N38" s="88" t="n"/>
      <c r="O38" s="88" t="n"/>
      <c r="P38" s="94">
        <f>IF($G38="","",IF($G38&gt;=60,"Arrêt majeur — analyse 5 pourquoi",IF($G38&gt;=30,"À analyser en revue quotidienne",IF($K38="Planifié","Arrêt planifié","Aléa courant"))))</f>
        <v/>
      </c>
      <c r="Q38" s="95">
        <f>IF($A38="",0,IF(AND(OR(COCKPIT!$H$4="Toutes",$C38=COCKPIT!$H$4),OR(COCKPIT!$K$4="Toutes",$B38=COCKPIT!$K$4)),1,0))</f>
        <v/>
      </c>
    </row>
    <row r="39" ht="15" customHeight="1">
      <c r="A39" s="87" t="n">
        <v>46029</v>
      </c>
      <c r="B39" s="88" t="inlineStr">
        <is>
          <t>Équipe A (matin)</t>
        </is>
      </c>
      <c r="C39" s="88" t="inlineStr">
        <is>
          <t>Ligne 2 - Usinage</t>
        </is>
      </c>
      <c r="D39" s="88" t="inlineStr">
        <is>
          <t>Ligne 2</t>
        </is>
      </c>
      <c r="E39" s="96" t="n">
        <v>0.325</v>
      </c>
      <c r="F39" s="96" t="n">
        <v>0.33125</v>
      </c>
      <c r="G39" s="92">
        <f>IF(OR($E39="",$F39=""),"",ROUND(($F39-$E39+IF($F39&lt;$E39,1,0))*1440,0))</f>
        <v/>
      </c>
      <c r="H39" s="88" t="inlineStr">
        <is>
          <t>LOG-02</t>
        </is>
      </c>
      <c r="I39" s="94">
        <f>IF($H39="","",IFERROR(INDEX(PARAMETRES!$S$7:$S$46,MATCH($H39,PARAMETRES!$R$7:$R$46,0)),"Code inconnu"))</f>
        <v/>
      </c>
      <c r="J39" s="94">
        <f>IF($H39="","",IFERROR(INDEX(PARAMETRES!$T$7:$T$46,MATCH($H39,PARAMETRES!$R$7:$R$46,0)),""))</f>
        <v/>
      </c>
      <c r="K39" s="94">
        <f>IF($H39="","",IFERROR(INDEX(PARAMETRES!$U$7:$U$46,MATCH($H39,PARAMETRES!$R$7:$R$46,0)),""))</f>
        <v/>
      </c>
      <c r="L39" s="94">
        <f>IF($H39="","",IFERROR(INDEX(PARAMETRES!$V$7:$V$46,MATCH($H39,PARAMETRES!$R$7:$R$46,0)),""))</f>
        <v/>
      </c>
      <c r="M39" s="88" t="n"/>
      <c r="N39" s="88" t="n"/>
      <c r="O39" s="88" t="n"/>
      <c r="P39" s="94">
        <f>IF($G39="","",IF($G39&gt;=60,"Arrêt majeur — analyse 5 pourquoi",IF($G39&gt;=30,"À analyser en revue quotidienne",IF($K39="Planifié","Arrêt planifié","Aléa courant"))))</f>
        <v/>
      </c>
      <c r="Q39" s="95">
        <f>IF($A39="",0,IF(AND(OR(COCKPIT!$H$4="Toutes",$C39=COCKPIT!$H$4),OR(COCKPIT!$K$4="Toutes",$B39=COCKPIT!$K$4)),1,0))</f>
        <v/>
      </c>
    </row>
    <row r="40" ht="15" customHeight="1">
      <c r="A40" s="87" t="n">
        <v>46029</v>
      </c>
      <c r="B40" s="88" t="inlineStr">
        <is>
          <t>Équipe A (matin)</t>
        </is>
      </c>
      <c r="C40" s="88" t="inlineStr">
        <is>
          <t>Ligne 2 - Usinage</t>
        </is>
      </c>
      <c r="D40" s="88" t="inlineStr">
        <is>
          <t>Ligne 2</t>
        </is>
      </c>
      <c r="E40" s="96" t="n">
        <v>0.3569444444444445</v>
      </c>
      <c r="F40" s="96" t="n">
        <v>0.3861111111111111</v>
      </c>
      <c r="G40" s="92">
        <f>IF(OR($E40="",$F40=""),"",ROUND(($F40-$E40+IF($F40&lt;$E40,1,0))*1440,0))</f>
        <v/>
      </c>
      <c r="H40" s="88" t="inlineStr">
        <is>
          <t>PAN-02</t>
        </is>
      </c>
      <c r="I40" s="94">
        <f>IF($H40="","",IFERROR(INDEX(PARAMETRES!$S$7:$S$46,MATCH($H40,PARAMETRES!$R$7:$R$46,0)),"Code inconnu"))</f>
        <v/>
      </c>
      <c r="J40" s="94">
        <f>IF($H40="","",IFERROR(INDEX(PARAMETRES!$T$7:$T$46,MATCH($H40,PARAMETRES!$R$7:$R$46,0)),""))</f>
        <v/>
      </c>
      <c r="K40" s="94">
        <f>IF($H40="","",IFERROR(INDEX(PARAMETRES!$U$7:$U$46,MATCH($H40,PARAMETRES!$R$7:$R$46,0)),""))</f>
        <v/>
      </c>
      <c r="L40" s="94">
        <f>IF($H40="","",IFERROR(INDEX(PARAMETRES!$V$7:$V$46,MATCH($H40,PARAMETRES!$R$7:$R$46,0)),""))</f>
        <v/>
      </c>
      <c r="M40" s="88" t="n"/>
      <c r="N40" s="88" t="n"/>
      <c r="O40" s="88" t="n"/>
      <c r="P40" s="94">
        <f>IF($G40="","",IF($G40&gt;=60,"Arrêt majeur — analyse 5 pourquoi",IF($G40&gt;=30,"À analyser en revue quotidienne",IF($K40="Planifié","Arrêt planifié","Aléa courant"))))</f>
        <v/>
      </c>
      <c r="Q40" s="95">
        <f>IF($A40="",0,IF(AND(OR(COCKPIT!$H$4="Toutes",$C40=COCKPIT!$H$4),OR(COCKPIT!$K$4="Toutes",$B40=COCKPIT!$K$4)),1,0))</f>
        <v/>
      </c>
    </row>
    <row r="41" ht="15" customHeight="1">
      <c r="A41" s="87" t="n">
        <v>46029</v>
      </c>
      <c r="B41" s="88" t="inlineStr">
        <is>
          <t>Équipe A (matin)</t>
        </is>
      </c>
      <c r="C41" s="88" t="inlineStr">
        <is>
          <t>Ligne 2 - Usinage</t>
        </is>
      </c>
      <c r="D41" s="88" t="inlineStr">
        <is>
          <t>Ligne 2</t>
        </is>
      </c>
      <c r="E41" s="96" t="n">
        <v>0.3930555555555555</v>
      </c>
      <c r="F41" s="96" t="n">
        <v>0.4048611111111111</v>
      </c>
      <c r="G41" s="92">
        <f>IF(OR($E41="",$F41=""),"",ROUND(($F41-$E41+IF($F41&lt;$E41,1,0))*1440,0))</f>
        <v/>
      </c>
      <c r="H41" s="88" t="inlineStr">
        <is>
          <t>CDS-02</t>
        </is>
      </c>
      <c r="I41" s="94">
        <f>IF($H41="","",IFERROR(INDEX(PARAMETRES!$S$7:$S$46,MATCH($H41,PARAMETRES!$R$7:$R$46,0)),"Code inconnu"))</f>
        <v/>
      </c>
      <c r="J41" s="94">
        <f>IF($H41="","",IFERROR(INDEX(PARAMETRES!$T$7:$T$46,MATCH($H41,PARAMETRES!$R$7:$R$46,0)),""))</f>
        <v/>
      </c>
      <c r="K41" s="94">
        <f>IF($H41="","",IFERROR(INDEX(PARAMETRES!$U$7:$U$46,MATCH($H41,PARAMETRES!$R$7:$R$46,0)),""))</f>
        <v/>
      </c>
      <c r="L41" s="94">
        <f>IF($H41="","",IFERROR(INDEX(PARAMETRES!$V$7:$V$46,MATCH($H41,PARAMETRES!$R$7:$R$46,0)),""))</f>
        <v/>
      </c>
      <c r="M41" s="88" t="n"/>
      <c r="N41" s="88" t="n"/>
      <c r="O41" s="88" t="n"/>
      <c r="P41" s="94">
        <f>IF($G41="","",IF($G41&gt;=60,"Arrêt majeur — analyse 5 pourquoi",IF($G41&gt;=30,"À analyser en revue quotidienne",IF($K41="Planifié","Arrêt planifié","Aléa courant"))))</f>
        <v/>
      </c>
      <c r="Q41" s="95">
        <f>IF($A41="",0,IF(AND(OR(COCKPIT!$H$4="Toutes",$C41=COCKPIT!$H$4),OR(COCKPIT!$K$4="Toutes",$B41=COCKPIT!$K$4)),1,0))</f>
        <v/>
      </c>
    </row>
    <row r="42" ht="15" customHeight="1">
      <c r="A42" s="87" t="n">
        <v>46029</v>
      </c>
      <c r="B42" s="88" t="inlineStr">
        <is>
          <t>Équipe A (matin)</t>
        </is>
      </c>
      <c r="C42" s="88" t="inlineStr">
        <is>
          <t>Ligne 2 - Usinage</t>
        </is>
      </c>
      <c r="D42" s="88" t="inlineStr">
        <is>
          <t>Ligne 2</t>
        </is>
      </c>
      <c r="E42" s="96" t="n">
        <v>0.4229166666666667</v>
      </c>
      <c r="F42" s="96" t="n">
        <v>0.43125</v>
      </c>
      <c r="G42" s="92">
        <f>IF(OR($E42="",$F42=""),"",ROUND(($F42-$E42+IF($F42&lt;$E42,1,0))*1440,0))</f>
        <v/>
      </c>
      <c r="H42" s="88" t="inlineStr">
        <is>
          <t>MAT-01</t>
        </is>
      </c>
      <c r="I42" s="94">
        <f>IF($H42="","",IFERROR(INDEX(PARAMETRES!$S$7:$S$46,MATCH($H42,PARAMETRES!$R$7:$R$46,0)),"Code inconnu"))</f>
        <v/>
      </c>
      <c r="J42" s="94">
        <f>IF($H42="","",IFERROR(INDEX(PARAMETRES!$T$7:$T$46,MATCH($H42,PARAMETRES!$R$7:$R$46,0)),""))</f>
        <v/>
      </c>
      <c r="K42" s="94">
        <f>IF($H42="","",IFERROR(INDEX(PARAMETRES!$U$7:$U$46,MATCH($H42,PARAMETRES!$R$7:$R$46,0)),""))</f>
        <v/>
      </c>
      <c r="L42" s="94">
        <f>IF($H42="","",IFERROR(INDEX(PARAMETRES!$V$7:$V$46,MATCH($H42,PARAMETRES!$R$7:$R$46,0)),""))</f>
        <v/>
      </c>
      <c r="M42" s="88" t="n"/>
      <c r="N42" s="88" t="n"/>
      <c r="O42" s="88" t="n"/>
      <c r="P42" s="94">
        <f>IF($G42="","",IF($G42&gt;=60,"Arrêt majeur — analyse 5 pourquoi",IF($G42&gt;=30,"À analyser en revue quotidienne",IF($K42="Planifié","Arrêt planifié","Aléa courant"))))</f>
        <v/>
      </c>
      <c r="Q42" s="95">
        <f>IF($A42="",0,IF(AND(OR(COCKPIT!$H$4="Toutes",$C42=COCKPIT!$H$4),OR(COCKPIT!$K$4="Toutes",$B42=COCKPIT!$K$4)),1,0))</f>
        <v/>
      </c>
    </row>
    <row r="43" ht="15" customHeight="1">
      <c r="A43" s="87" t="n">
        <v>46030</v>
      </c>
      <c r="B43" s="88" t="inlineStr">
        <is>
          <t>Équipe A (matin)</t>
        </is>
      </c>
      <c r="C43" s="88" t="inlineStr">
        <is>
          <t>Ligne 1 - Assemblage</t>
        </is>
      </c>
      <c r="D43" s="88" t="inlineStr">
        <is>
          <t>Ligne 1</t>
        </is>
      </c>
      <c r="E43" s="96" t="n">
        <v>0.2909722222222222</v>
      </c>
      <c r="F43" s="96" t="n">
        <v>0.31875</v>
      </c>
      <c r="G43" s="92">
        <f>IF(OR($E43="",$F43=""),"",ROUND(($F43-$E43+IF($F43&lt;$E43,1,0))*1440,0))</f>
        <v/>
      </c>
      <c r="H43" s="88" t="inlineStr">
        <is>
          <t>PLA-01</t>
        </is>
      </c>
      <c r="I43" s="94">
        <f>IF($H43="","",IFERROR(INDEX(PARAMETRES!$S$7:$S$46,MATCH($H43,PARAMETRES!$R$7:$R$46,0)),"Code inconnu"))</f>
        <v/>
      </c>
      <c r="J43" s="94">
        <f>IF($H43="","",IFERROR(INDEX(PARAMETRES!$T$7:$T$46,MATCH($H43,PARAMETRES!$R$7:$R$46,0)),""))</f>
        <v/>
      </c>
      <c r="K43" s="94">
        <f>IF($H43="","",IFERROR(INDEX(PARAMETRES!$U$7:$U$46,MATCH($H43,PARAMETRES!$R$7:$R$46,0)),""))</f>
        <v/>
      </c>
      <c r="L43" s="94">
        <f>IF($H43="","",IFERROR(INDEX(PARAMETRES!$V$7:$V$46,MATCH($H43,PARAMETRES!$R$7:$R$46,0)),""))</f>
        <v/>
      </c>
      <c r="M43" s="88" t="n"/>
      <c r="N43" s="88" t="n"/>
      <c r="O43" s="88" t="n"/>
      <c r="P43" s="94">
        <f>IF($G43="","",IF($G43&gt;=60,"Arrêt majeur — analyse 5 pourquoi",IF($G43&gt;=30,"À analyser en revue quotidienne",IF($K43="Planifié","Arrêt planifié","Aléa courant"))))</f>
        <v/>
      </c>
      <c r="Q43" s="95">
        <f>IF($A43="",0,IF(AND(OR(COCKPIT!$H$4="Toutes",$C43=COCKPIT!$H$4),OR(COCKPIT!$K$4="Toutes",$B43=COCKPIT!$K$4)),1,0))</f>
        <v/>
      </c>
    </row>
    <row r="44" ht="15" customHeight="1">
      <c r="A44" s="87" t="n">
        <v>46030</v>
      </c>
      <c r="B44" s="88" t="inlineStr">
        <is>
          <t>Équipe A (matin)</t>
        </is>
      </c>
      <c r="C44" s="88" t="inlineStr">
        <is>
          <t>Ligne 1 - Assemblage</t>
        </is>
      </c>
      <c r="D44" s="88" t="inlineStr">
        <is>
          <t>Ligne 1</t>
        </is>
      </c>
      <c r="E44" s="96" t="n">
        <v>0.3368055555555556</v>
      </c>
      <c r="F44" s="96" t="n">
        <v>0.3534722222222222</v>
      </c>
      <c r="G44" s="92">
        <f>IF(OR($E44="",$F44=""),"",ROUND(($F44-$E44+IF($F44&lt;$E44,1,0))*1440,0))</f>
        <v/>
      </c>
      <c r="H44" s="88" t="inlineStr">
        <is>
          <t>PAN-01</t>
        </is>
      </c>
      <c r="I44" s="94">
        <f>IF($H44="","",IFERROR(INDEX(PARAMETRES!$S$7:$S$46,MATCH($H44,PARAMETRES!$R$7:$R$46,0)),"Code inconnu"))</f>
        <v/>
      </c>
      <c r="J44" s="94">
        <f>IF($H44="","",IFERROR(INDEX(PARAMETRES!$T$7:$T$46,MATCH($H44,PARAMETRES!$R$7:$R$46,0)),""))</f>
        <v/>
      </c>
      <c r="K44" s="94">
        <f>IF($H44="","",IFERROR(INDEX(PARAMETRES!$U$7:$U$46,MATCH($H44,PARAMETRES!$R$7:$R$46,0)),""))</f>
        <v/>
      </c>
      <c r="L44" s="94">
        <f>IF($H44="","",IFERROR(INDEX(PARAMETRES!$V$7:$V$46,MATCH($H44,PARAMETRES!$R$7:$R$46,0)),""))</f>
        <v/>
      </c>
      <c r="M44" s="88" t="n"/>
      <c r="N44" s="88" t="n"/>
      <c r="O44" s="88" t="n"/>
      <c r="P44" s="94">
        <f>IF($G44="","",IF($G44&gt;=60,"Arrêt majeur — analyse 5 pourquoi",IF($G44&gt;=30,"À analyser en revue quotidienne",IF($K44="Planifié","Arrêt planifié","Aléa courant"))))</f>
        <v/>
      </c>
      <c r="Q44" s="95">
        <f>IF($A44="",0,IF(AND(OR(COCKPIT!$H$4="Toutes",$C44=COCKPIT!$H$4),OR(COCKPIT!$K$4="Toutes",$B44=COCKPIT!$K$4)),1,0))</f>
        <v/>
      </c>
    </row>
    <row r="45" ht="15" customHeight="1">
      <c r="A45" s="87" t="n">
        <v>46030</v>
      </c>
      <c r="B45" s="88" t="inlineStr">
        <is>
          <t>Équipe A (matin)</t>
        </is>
      </c>
      <c r="C45" s="88" t="inlineStr">
        <is>
          <t>Ligne 1 - Assemblage</t>
        </is>
      </c>
      <c r="D45" s="88" t="inlineStr">
        <is>
          <t>Ligne 1</t>
        </is>
      </c>
      <c r="E45" s="96" t="n">
        <v>0.3645833333333333</v>
      </c>
      <c r="F45" s="96" t="n">
        <v>0.3770833333333333</v>
      </c>
      <c r="G45" s="92">
        <f>IF(OR($E45="",$F45=""),"",ROUND(($F45-$E45+IF($F45&lt;$E45,1,0))*1440,0))</f>
        <v/>
      </c>
      <c r="H45" s="88" t="inlineStr">
        <is>
          <t>CDS-01</t>
        </is>
      </c>
      <c r="I45" s="94">
        <f>IF($H45="","",IFERROR(INDEX(PARAMETRES!$S$7:$S$46,MATCH($H45,PARAMETRES!$R$7:$R$46,0)),"Code inconnu"))</f>
        <v/>
      </c>
      <c r="J45" s="94">
        <f>IF($H45="","",IFERROR(INDEX(PARAMETRES!$T$7:$T$46,MATCH($H45,PARAMETRES!$R$7:$R$46,0)),""))</f>
        <v/>
      </c>
      <c r="K45" s="94">
        <f>IF($H45="","",IFERROR(INDEX(PARAMETRES!$U$7:$U$46,MATCH($H45,PARAMETRES!$R$7:$R$46,0)),""))</f>
        <v/>
      </c>
      <c r="L45" s="94">
        <f>IF($H45="","",IFERROR(INDEX(PARAMETRES!$V$7:$V$46,MATCH($H45,PARAMETRES!$R$7:$R$46,0)),""))</f>
        <v/>
      </c>
      <c r="M45" s="88" t="n"/>
      <c r="N45" s="88" t="n"/>
      <c r="O45" s="88" t="n"/>
      <c r="P45" s="94">
        <f>IF($G45="","",IF($G45&gt;=60,"Arrêt majeur — analyse 5 pourquoi",IF($G45&gt;=30,"À analyser en revue quotidienne",IF($K45="Planifié","Arrêt planifié","Aléa courant"))))</f>
        <v/>
      </c>
      <c r="Q45" s="95">
        <f>IF($A45="",0,IF(AND(OR(COCKPIT!$H$4="Toutes",$C45=COCKPIT!$H$4),OR(COCKPIT!$K$4="Toutes",$B45=COCKPIT!$K$4)),1,0))</f>
        <v/>
      </c>
    </row>
    <row r="46" ht="15" customHeight="1">
      <c r="A46" s="87" t="n">
        <v>46030</v>
      </c>
      <c r="B46" s="88" t="inlineStr">
        <is>
          <t>Équipe B (après-midi)</t>
        </is>
      </c>
      <c r="C46" s="88" t="inlineStr">
        <is>
          <t>Ligne 2 - Usinage</t>
        </is>
      </c>
      <c r="D46" s="88" t="inlineStr">
        <is>
          <t>Ligne 2</t>
        </is>
      </c>
      <c r="E46" s="96" t="n">
        <v>0.2916666666666667</v>
      </c>
      <c r="F46" s="96" t="n">
        <v>0.3194444444444444</v>
      </c>
      <c r="G46" s="92">
        <f>IF(OR($E46="",$F46=""),"",ROUND(($F46-$E46+IF($F46&lt;$E46,1,0))*1440,0))</f>
        <v/>
      </c>
      <c r="H46" s="88" t="inlineStr">
        <is>
          <t>PLA-01</t>
        </is>
      </c>
      <c r="I46" s="94">
        <f>IF($H46="","",IFERROR(INDEX(PARAMETRES!$S$7:$S$46,MATCH($H46,PARAMETRES!$R$7:$R$46,0)),"Code inconnu"))</f>
        <v/>
      </c>
      <c r="J46" s="94">
        <f>IF($H46="","",IFERROR(INDEX(PARAMETRES!$T$7:$T$46,MATCH($H46,PARAMETRES!$R$7:$R$46,0)),""))</f>
        <v/>
      </c>
      <c r="K46" s="94">
        <f>IF($H46="","",IFERROR(INDEX(PARAMETRES!$U$7:$U$46,MATCH($H46,PARAMETRES!$R$7:$R$46,0)),""))</f>
        <v/>
      </c>
      <c r="L46" s="94">
        <f>IF($H46="","",IFERROR(INDEX(PARAMETRES!$V$7:$V$46,MATCH($H46,PARAMETRES!$R$7:$R$46,0)),""))</f>
        <v/>
      </c>
      <c r="M46" s="88" t="n"/>
      <c r="N46" s="88" t="n"/>
      <c r="O46" s="88" t="n"/>
      <c r="P46" s="94">
        <f>IF($G46="","",IF($G46&gt;=60,"Arrêt majeur — analyse 5 pourquoi",IF($G46&gt;=30,"À analyser en revue quotidienne",IF($K46="Planifié","Arrêt planifié","Aléa courant"))))</f>
        <v/>
      </c>
      <c r="Q46" s="95">
        <f>IF($A46="",0,IF(AND(OR(COCKPIT!$H$4="Toutes",$C46=COCKPIT!$H$4),OR(COCKPIT!$K$4="Toutes",$B46=COCKPIT!$K$4)),1,0))</f>
        <v/>
      </c>
    </row>
    <row r="47" ht="15" customHeight="1">
      <c r="A47" s="87" t="n">
        <v>46030</v>
      </c>
      <c r="B47" s="88" t="inlineStr">
        <is>
          <t>Équipe B (après-midi)</t>
        </is>
      </c>
      <c r="C47" s="88" t="inlineStr">
        <is>
          <t>Ligne 2 - Usinage</t>
        </is>
      </c>
      <c r="D47" s="88" t="inlineStr">
        <is>
          <t>Ligne 2</t>
        </is>
      </c>
      <c r="E47" s="96" t="n">
        <v>0.3368055555555556</v>
      </c>
      <c r="F47" s="96" t="n">
        <v>0.3416666666666667</v>
      </c>
      <c r="G47" s="92">
        <f>IF(OR($E47="",$F47=""),"",ROUND(($F47-$E47+IF($F47&lt;$E47,1,0))*1440,0))</f>
        <v/>
      </c>
      <c r="H47" s="88" t="inlineStr">
        <is>
          <t>REG-01</t>
        </is>
      </c>
      <c r="I47" s="94">
        <f>IF($H47="","",IFERROR(INDEX(PARAMETRES!$S$7:$S$46,MATCH($H47,PARAMETRES!$R$7:$R$46,0)),"Code inconnu"))</f>
        <v/>
      </c>
      <c r="J47" s="94">
        <f>IF($H47="","",IFERROR(INDEX(PARAMETRES!$T$7:$T$46,MATCH($H47,PARAMETRES!$R$7:$R$46,0)),""))</f>
        <v/>
      </c>
      <c r="K47" s="94">
        <f>IF($H47="","",IFERROR(INDEX(PARAMETRES!$U$7:$U$46,MATCH($H47,PARAMETRES!$R$7:$R$46,0)),""))</f>
        <v/>
      </c>
      <c r="L47" s="94">
        <f>IF($H47="","",IFERROR(INDEX(PARAMETRES!$V$7:$V$46,MATCH($H47,PARAMETRES!$R$7:$R$46,0)),""))</f>
        <v/>
      </c>
      <c r="M47" s="88" t="n"/>
      <c r="N47" s="88" t="n"/>
      <c r="O47" s="88" t="n"/>
      <c r="P47" s="94">
        <f>IF($G47="","",IF($G47&gt;=60,"Arrêt majeur — analyse 5 pourquoi",IF($G47&gt;=30,"À analyser en revue quotidienne",IF($K47="Planifié","Arrêt planifié","Aléa courant"))))</f>
        <v/>
      </c>
      <c r="Q47" s="95">
        <f>IF($A47="",0,IF(AND(OR(COCKPIT!$H$4="Toutes",$C47=COCKPIT!$H$4),OR(COCKPIT!$K$4="Toutes",$B47=COCKPIT!$K$4)),1,0))</f>
        <v/>
      </c>
    </row>
    <row r="48" ht="15" customHeight="1">
      <c r="A48" s="87" t="n">
        <v>46030</v>
      </c>
      <c r="B48" s="88" t="inlineStr">
        <is>
          <t>Équipe B (après-midi)</t>
        </is>
      </c>
      <c r="C48" s="88" t="inlineStr">
        <is>
          <t>Ligne 2 - Usinage</t>
        </is>
      </c>
      <c r="D48" s="88" t="inlineStr">
        <is>
          <t>Ligne 2</t>
        </is>
      </c>
      <c r="E48" s="96" t="n">
        <v>0.3597222222222222</v>
      </c>
      <c r="F48" s="96" t="n">
        <v>0.3756944444444444</v>
      </c>
      <c r="G48" s="92">
        <f>IF(OR($E48="",$F48=""),"",ROUND(($F48-$E48+IF($F48&lt;$E48,1,0))*1440,0))</f>
        <v/>
      </c>
      <c r="H48" s="88" t="inlineStr">
        <is>
          <t>MAT-02</t>
        </is>
      </c>
      <c r="I48" s="94">
        <f>IF($H48="","",IFERROR(INDEX(PARAMETRES!$S$7:$S$46,MATCH($H48,PARAMETRES!$R$7:$R$46,0)),"Code inconnu"))</f>
        <v/>
      </c>
      <c r="J48" s="94">
        <f>IF($H48="","",IFERROR(INDEX(PARAMETRES!$T$7:$T$46,MATCH($H48,PARAMETRES!$R$7:$R$46,0)),""))</f>
        <v/>
      </c>
      <c r="K48" s="94">
        <f>IF($H48="","",IFERROR(INDEX(PARAMETRES!$U$7:$U$46,MATCH($H48,PARAMETRES!$R$7:$R$46,0)),""))</f>
        <v/>
      </c>
      <c r="L48" s="94">
        <f>IF($H48="","",IFERROR(INDEX(PARAMETRES!$V$7:$V$46,MATCH($H48,PARAMETRES!$R$7:$R$46,0)),""))</f>
        <v/>
      </c>
      <c r="M48" s="88" t="n"/>
      <c r="N48" s="88" t="n"/>
      <c r="O48" s="88" t="n"/>
      <c r="P48" s="94">
        <f>IF($G48="","",IF($G48&gt;=60,"Arrêt majeur — analyse 5 pourquoi",IF($G48&gt;=30,"À analyser en revue quotidienne",IF($K48="Planifié","Arrêt planifié","Aléa courant"))))</f>
        <v/>
      </c>
      <c r="Q48" s="95">
        <f>IF($A48="",0,IF(AND(OR(COCKPIT!$H$4="Toutes",$C48=COCKPIT!$H$4),OR(COCKPIT!$K$4="Toutes",$B48=COCKPIT!$K$4)),1,0))</f>
        <v/>
      </c>
    </row>
    <row r="49" ht="15" customHeight="1">
      <c r="A49" s="87" t="n">
        <v>46030</v>
      </c>
      <c r="B49" s="88" t="inlineStr">
        <is>
          <t>Équipe B (après-midi)</t>
        </is>
      </c>
      <c r="C49" s="88" t="inlineStr">
        <is>
          <t>Ligne 2 - Usinage</t>
        </is>
      </c>
      <c r="D49" s="88" t="inlineStr">
        <is>
          <t>Ligne 2</t>
        </is>
      </c>
      <c r="E49" s="96" t="n">
        <v>0.4</v>
      </c>
      <c r="F49" s="96" t="n">
        <v>0.4097222222222222</v>
      </c>
      <c r="G49" s="92">
        <f>IF(OR($E49="",$F49=""),"",ROUND(($F49-$E49+IF($F49&lt;$E49,1,0))*1440,0))</f>
        <v/>
      </c>
      <c r="H49" s="88" t="inlineStr">
        <is>
          <t>LOG-01</t>
        </is>
      </c>
      <c r="I49" s="94">
        <f>IF($H49="","",IFERROR(INDEX(PARAMETRES!$S$7:$S$46,MATCH($H49,PARAMETRES!$R$7:$R$46,0)),"Code inconnu"))</f>
        <v/>
      </c>
      <c r="J49" s="94">
        <f>IF($H49="","",IFERROR(INDEX(PARAMETRES!$T$7:$T$46,MATCH($H49,PARAMETRES!$R$7:$R$46,0)),""))</f>
        <v/>
      </c>
      <c r="K49" s="94">
        <f>IF($H49="","",IFERROR(INDEX(PARAMETRES!$U$7:$U$46,MATCH($H49,PARAMETRES!$R$7:$R$46,0)),""))</f>
        <v/>
      </c>
      <c r="L49" s="94">
        <f>IF($H49="","",IFERROR(INDEX(PARAMETRES!$V$7:$V$46,MATCH($H49,PARAMETRES!$R$7:$R$46,0)),""))</f>
        <v/>
      </c>
      <c r="M49" s="88" t="n"/>
      <c r="N49" s="88" t="n"/>
      <c r="O49" s="88" t="n"/>
      <c r="P49" s="94">
        <f>IF($G49="","",IF($G49&gt;=60,"Arrêt majeur — analyse 5 pourquoi",IF($G49&gt;=30,"À analyser en revue quotidienne",IF($K49="Planifié","Arrêt planifié","Aléa courant"))))</f>
        <v/>
      </c>
      <c r="Q49" s="95">
        <f>IF($A49="",0,IF(AND(OR(COCKPIT!$H$4="Toutes",$C49=COCKPIT!$H$4),OR(COCKPIT!$K$4="Toutes",$B49=COCKPIT!$K$4)),1,0))</f>
        <v/>
      </c>
    </row>
    <row r="50" ht="15" customHeight="1">
      <c r="A50" s="87" t="n">
        <v>46031</v>
      </c>
      <c r="B50" s="88" t="inlineStr">
        <is>
          <t>Équipe B (après-midi)</t>
        </is>
      </c>
      <c r="C50" s="88" t="inlineStr">
        <is>
          <t>Ligne 1 - Assemblage</t>
        </is>
      </c>
      <c r="D50" s="88" t="inlineStr">
        <is>
          <t>Ligne 1</t>
        </is>
      </c>
      <c r="E50" s="96" t="n">
        <v>0.2791666666666667</v>
      </c>
      <c r="F50" s="96" t="n">
        <v>0.3069444444444445</v>
      </c>
      <c r="G50" s="92">
        <f>IF(OR($E50="",$F50=""),"",ROUND(($F50-$E50+IF($F50&lt;$E50,1,0))*1440,0))</f>
        <v/>
      </c>
      <c r="H50" s="88" t="inlineStr">
        <is>
          <t>PLA-01</t>
        </is>
      </c>
      <c r="I50" s="94">
        <f>IF($H50="","",IFERROR(INDEX(PARAMETRES!$S$7:$S$46,MATCH($H50,PARAMETRES!$R$7:$R$46,0)),"Code inconnu"))</f>
        <v/>
      </c>
      <c r="J50" s="94">
        <f>IF($H50="","",IFERROR(INDEX(PARAMETRES!$T$7:$T$46,MATCH($H50,PARAMETRES!$R$7:$R$46,0)),""))</f>
        <v/>
      </c>
      <c r="K50" s="94">
        <f>IF($H50="","",IFERROR(INDEX(PARAMETRES!$U$7:$U$46,MATCH($H50,PARAMETRES!$R$7:$R$46,0)),""))</f>
        <v/>
      </c>
      <c r="L50" s="94">
        <f>IF($H50="","",IFERROR(INDEX(PARAMETRES!$V$7:$V$46,MATCH($H50,PARAMETRES!$R$7:$R$46,0)),""))</f>
        <v/>
      </c>
      <c r="M50" s="88" t="n"/>
      <c r="N50" s="88" t="n"/>
      <c r="O50" s="88" t="n"/>
      <c r="P50" s="94">
        <f>IF($G50="","",IF($G50&gt;=60,"Arrêt majeur — analyse 5 pourquoi",IF($G50&gt;=30,"À analyser en revue quotidienne",IF($K50="Planifié","Arrêt planifié","Aléa courant"))))</f>
        <v/>
      </c>
      <c r="Q50" s="95">
        <f>IF($A50="",0,IF(AND(OR(COCKPIT!$H$4="Toutes",$C50=COCKPIT!$H$4),OR(COCKPIT!$K$4="Toutes",$B50=COCKPIT!$K$4)),1,0))</f>
        <v/>
      </c>
    </row>
    <row r="51" ht="15" customHeight="1">
      <c r="A51" s="87" t="n">
        <v>46031</v>
      </c>
      <c r="B51" s="88" t="inlineStr">
        <is>
          <t>Équipe B (après-midi)</t>
        </is>
      </c>
      <c r="C51" s="88" t="inlineStr">
        <is>
          <t>Ligne 1 - Assemblage</t>
        </is>
      </c>
      <c r="D51" s="88" t="inlineStr">
        <is>
          <t>Ligne 1</t>
        </is>
      </c>
      <c r="E51" s="96" t="n">
        <v>0.3347222222222222</v>
      </c>
      <c r="F51" s="96" t="n">
        <v>0.3479166666666667</v>
      </c>
      <c r="G51" s="92">
        <f>IF(OR($E51="",$F51=""),"",ROUND(($F51-$E51+IF($F51&lt;$E51,1,0))*1440,0))</f>
        <v/>
      </c>
      <c r="H51" s="88" t="inlineStr">
        <is>
          <t>MAT-01</t>
        </is>
      </c>
      <c r="I51" s="94">
        <f>IF($H51="","",IFERROR(INDEX(PARAMETRES!$S$7:$S$46,MATCH($H51,PARAMETRES!$R$7:$R$46,0)),"Code inconnu"))</f>
        <v/>
      </c>
      <c r="J51" s="94">
        <f>IF($H51="","",IFERROR(INDEX(PARAMETRES!$T$7:$T$46,MATCH($H51,PARAMETRES!$R$7:$R$46,0)),""))</f>
        <v/>
      </c>
      <c r="K51" s="94">
        <f>IF($H51="","",IFERROR(INDEX(PARAMETRES!$U$7:$U$46,MATCH($H51,PARAMETRES!$R$7:$R$46,0)),""))</f>
        <v/>
      </c>
      <c r="L51" s="94">
        <f>IF($H51="","",IFERROR(INDEX(PARAMETRES!$V$7:$V$46,MATCH($H51,PARAMETRES!$R$7:$R$46,0)),""))</f>
        <v/>
      </c>
      <c r="M51" s="88" t="n"/>
      <c r="N51" s="88" t="n"/>
      <c r="O51" s="88" t="n"/>
      <c r="P51" s="94">
        <f>IF($G51="","",IF($G51&gt;=60,"Arrêt majeur — analyse 5 pourquoi",IF($G51&gt;=30,"À analyser en revue quotidienne",IF($K51="Planifié","Arrêt planifié","Aléa courant"))))</f>
        <v/>
      </c>
      <c r="Q51" s="95">
        <f>IF($A51="",0,IF(AND(OR(COCKPIT!$H$4="Toutes",$C51=COCKPIT!$H$4),OR(COCKPIT!$K$4="Toutes",$B51=COCKPIT!$K$4)),1,0))</f>
        <v/>
      </c>
    </row>
    <row r="52" ht="15" customHeight="1">
      <c r="A52" s="87" t="n">
        <v>46031</v>
      </c>
      <c r="B52" s="88" t="inlineStr">
        <is>
          <t>Équipe B (après-midi)</t>
        </is>
      </c>
      <c r="C52" s="88" t="inlineStr">
        <is>
          <t>Ligne 1 - Assemblage</t>
        </is>
      </c>
      <c r="D52" s="88" t="inlineStr">
        <is>
          <t>Ligne 1</t>
        </is>
      </c>
      <c r="E52" s="96" t="n">
        <v>0.3659722222222222</v>
      </c>
      <c r="F52" s="96" t="n">
        <v>0.3826388888888889</v>
      </c>
      <c r="G52" s="92">
        <f>IF(OR($E52="",$F52=""),"",ROUND(($F52-$E52+IF($F52&lt;$E52,1,0))*1440,0))</f>
        <v/>
      </c>
      <c r="H52" s="88" t="inlineStr">
        <is>
          <t>PER-02</t>
        </is>
      </c>
      <c r="I52" s="94">
        <f>IF($H52="","",IFERROR(INDEX(PARAMETRES!$S$7:$S$46,MATCH($H52,PARAMETRES!$R$7:$R$46,0)),"Code inconnu"))</f>
        <v/>
      </c>
      <c r="J52" s="94">
        <f>IF($H52="","",IFERROR(INDEX(PARAMETRES!$T$7:$T$46,MATCH($H52,PARAMETRES!$R$7:$R$46,0)),""))</f>
        <v/>
      </c>
      <c r="K52" s="94">
        <f>IF($H52="","",IFERROR(INDEX(PARAMETRES!$U$7:$U$46,MATCH($H52,PARAMETRES!$R$7:$R$46,0)),""))</f>
        <v/>
      </c>
      <c r="L52" s="94">
        <f>IF($H52="","",IFERROR(INDEX(PARAMETRES!$V$7:$V$46,MATCH($H52,PARAMETRES!$R$7:$R$46,0)),""))</f>
        <v/>
      </c>
      <c r="M52" s="88" t="n"/>
      <c r="N52" s="88" t="n"/>
      <c r="O52" s="88" t="n"/>
      <c r="P52" s="94">
        <f>IF($G52="","",IF($G52&gt;=60,"Arrêt majeur — analyse 5 pourquoi",IF($G52&gt;=30,"À analyser en revue quotidienne",IF($K52="Planifié","Arrêt planifié","Aléa courant"))))</f>
        <v/>
      </c>
      <c r="Q52" s="95">
        <f>IF($A52="",0,IF(AND(OR(COCKPIT!$H$4="Toutes",$C52=COCKPIT!$H$4),OR(COCKPIT!$K$4="Toutes",$B52=COCKPIT!$K$4)),1,0))</f>
        <v/>
      </c>
    </row>
    <row r="53" ht="15" customHeight="1">
      <c r="A53" s="87" t="n">
        <v>46031</v>
      </c>
      <c r="B53" s="88" t="inlineStr">
        <is>
          <t>Équipe B (après-midi)</t>
        </is>
      </c>
      <c r="C53" s="88" t="inlineStr">
        <is>
          <t>Ligne 1 - Assemblage</t>
        </is>
      </c>
      <c r="D53" s="88" t="inlineStr">
        <is>
          <t>Ligne 1</t>
        </is>
      </c>
      <c r="E53" s="96" t="n">
        <v>0.4104166666666667</v>
      </c>
      <c r="F53" s="96" t="n">
        <v>0.4173611111111111</v>
      </c>
      <c r="G53" s="92">
        <f>IF(OR($E53="",$F53=""),"",ROUND(($F53-$E53+IF($F53&lt;$E53,1,0))*1440,0))</f>
        <v/>
      </c>
      <c r="H53" s="88" t="inlineStr">
        <is>
          <t>ESS-01</t>
        </is>
      </c>
      <c r="I53" s="94">
        <f>IF($H53="","",IFERROR(INDEX(PARAMETRES!$S$7:$S$46,MATCH($H53,PARAMETRES!$R$7:$R$46,0)),"Code inconnu"))</f>
        <v/>
      </c>
      <c r="J53" s="94">
        <f>IF($H53="","",IFERROR(INDEX(PARAMETRES!$T$7:$T$46,MATCH($H53,PARAMETRES!$R$7:$R$46,0)),""))</f>
        <v/>
      </c>
      <c r="K53" s="94">
        <f>IF($H53="","",IFERROR(INDEX(PARAMETRES!$U$7:$U$46,MATCH($H53,PARAMETRES!$R$7:$R$46,0)),""))</f>
        <v/>
      </c>
      <c r="L53" s="94">
        <f>IF($H53="","",IFERROR(INDEX(PARAMETRES!$V$7:$V$46,MATCH($H53,PARAMETRES!$R$7:$R$46,0)),""))</f>
        <v/>
      </c>
      <c r="M53" s="88" t="n"/>
      <c r="N53" s="88" t="n"/>
      <c r="O53" s="88" t="n"/>
      <c r="P53" s="94">
        <f>IF($G53="","",IF($G53&gt;=60,"Arrêt majeur — analyse 5 pourquoi",IF($G53&gt;=30,"À analyser en revue quotidienne",IF($K53="Planifié","Arrêt planifié","Aléa courant"))))</f>
        <v/>
      </c>
      <c r="Q53" s="95">
        <f>IF($A53="",0,IF(AND(OR(COCKPIT!$H$4="Toutes",$C53=COCKPIT!$H$4),OR(COCKPIT!$K$4="Toutes",$B53=COCKPIT!$K$4)),1,0))</f>
        <v/>
      </c>
    </row>
    <row r="54" ht="15" customHeight="1">
      <c r="A54" s="87" t="n">
        <v>46031</v>
      </c>
      <c r="B54" s="88" t="inlineStr">
        <is>
          <t>Équipe B (après-midi)</t>
        </is>
      </c>
      <c r="C54" s="88" t="inlineStr">
        <is>
          <t>Ligne 1 - Assemblage</t>
        </is>
      </c>
      <c r="D54" s="88" t="inlineStr">
        <is>
          <t>Ligne 1</t>
        </is>
      </c>
      <c r="E54" s="96" t="n">
        <v>0.4458333333333334</v>
      </c>
      <c r="F54" s="96" t="n">
        <v>0.4715277777777778</v>
      </c>
      <c r="G54" s="92">
        <f>IF(OR($E54="",$F54=""),"",ROUND(($F54-$E54+IF($F54&lt;$E54,1,0))*1440,0))</f>
        <v/>
      </c>
      <c r="H54" s="88" t="inlineStr">
        <is>
          <t>PAN-03</t>
        </is>
      </c>
      <c r="I54" s="94">
        <f>IF($H54="","",IFERROR(INDEX(PARAMETRES!$S$7:$S$46,MATCH($H54,PARAMETRES!$R$7:$R$46,0)),"Code inconnu"))</f>
        <v/>
      </c>
      <c r="J54" s="94">
        <f>IF($H54="","",IFERROR(INDEX(PARAMETRES!$T$7:$T$46,MATCH($H54,PARAMETRES!$R$7:$R$46,0)),""))</f>
        <v/>
      </c>
      <c r="K54" s="94">
        <f>IF($H54="","",IFERROR(INDEX(PARAMETRES!$U$7:$U$46,MATCH($H54,PARAMETRES!$R$7:$R$46,0)),""))</f>
        <v/>
      </c>
      <c r="L54" s="94">
        <f>IF($H54="","",IFERROR(INDEX(PARAMETRES!$V$7:$V$46,MATCH($H54,PARAMETRES!$R$7:$R$46,0)),""))</f>
        <v/>
      </c>
      <c r="M54" s="88" t="n"/>
      <c r="N54" s="88" t="n"/>
      <c r="O54" s="88" t="n"/>
      <c r="P54" s="94">
        <f>IF($G54="","",IF($G54&gt;=60,"Arrêt majeur — analyse 5 pourquoi",IF($G54&gt;=30,"À analyser en revue quotidienne",IF($K54="Planifié","Arrêt planifié","Aléa courant"))))</f>
        <v/>
      </c>
      <c r="Q54" s="95">
        <f>IF($A54="",0,IF(AND(OR(COCKPIT!$H$4="Toutes",$C54=COCKPIT!$H$4),OR(COCKPIT!$K$4="Toutes",$B54=COCKPIT!$K$4)),1,0))</f>
        <v/>
      </c>
    </row>
    <row r="55" ht="15" customHeight="1">
      <c r="A55" s="87" t="n">
        <v>46031</v>
      </c>
      <c r="B55" s="88" t="inlineStr">
        <is>
          <t>Équipe B (après-midi)</t>
        </is>
      </c>
      <c r="C55" s="88" t="inlineStr">
        <is>
          <t>Ligne 1 - Assemblage</t>
        </is>
      </c>
      <c r="D55" s="88" t="inlineStr">
        <is>
          <t>Ligne 1</t>
        </is>
      </c>
      <c r="E55" s="96" t="n">
        <v>0.4930555555555556</v>
      </c>
      <c r="F55" s="96" t="n">
        <v>0.5013888888888889</v>
      </c>
      <c r="G55" s="92">
        <f>IF(OR($E55="",$F55=""),"",ROUND(($F55-$E55+IF($F55&lt;$E55,1,0))*1440,0))</f>
        <v/>
      </c>
      <c r="H55" s="88" t="inlineStr">
        <is>
          <t>REG-01</t>
        </is>
      </c>
      <c r="I55" s="94">
        <f>IF($H55="","",IFERROR(INDEX(PARAMETRES!$S$7:$S$46,MATCH($H55,PARAMETRES!$R$7:$R$46,0)),"Code inconnu"))</f>
        <v/>
      </c>
      <c r="J55" s="94">
        <f>IF($H55="","",IFERROR(INDEX(PARAMETRES!$T$7:$T$46,MATCH($H55,PARAMETRES!$R$7:$R$46,0)),""))</f>
        <v/>
      </c>
      <c r="K55" s="94">
        <f>IF($H55="","",IFERROR(INDEX(PARAMETRES!$U$7:$U$46,MATCH($H55,PARAMETRES!$R$7:$R$46,0)),""))</f>
        <v/>
      </c>
      <c r="L55" s="94">
        <f>IF($H55="","",IFERROR(INDEX(PARAMETRES!$V$7:$V$46,MATCH($H55,PARAMETRES!$R$7:$R$46,0)),""))</f>
        <v/>
      </c>
      <c r="M55" s="88" t="n"/>
      <c r="N55" s="88" t="n"/>
      <c r="O55" s="88" t="n"/>
      <c r="P55" s="94">
        <f>IF($G55="","",IF($G55&gt;=60,"Arrêt majeur — analyse 5 pourquoi",IF($G55&gt;=30,"À analyser en revue quotidienne",IF($K55="Planifié","Arrêt planifié","Aléa courant"))))</f>
        <v/>
      </c>
      <c r="Q55" s="95">
        <f>IF($A55="",0,IF(AND(OR(COCKPIT!$H$4="Toutes",$C55=COCKPIT!$H$4),OR(COCKPIT!$K$4="Toutes",$B55=COCKPIT!$K$4)),1,0))</f>
        <v/>
      </c>
    </row>
    <row r="56" ht="15" customHeight="1">
      <c r="A56" s="87" t="n">
        <v>46031</v>
      </c>
      <c r="B56" s="88" t="inlineStr">
        <is>
          <t>Équipe A (matin)</t>
        </is>
      </c>
      <c r="C56" s="88" t="inlineStr">
        <is>
          <t>Ligne 2 - Usinage</t>
        </is>
      </c>
      <c r="D56" s="88" t="inlineStr">
        <is>
          <t>Ligne 2</t>
        </is>
      </c>
      <c r="E56" s="96" t="n">
        <v>0.2826388888888889</v>
      </c>
      <c r="F56" s="96" t="n">
        <v>0.3104166666666667</v>
      </c>
      <c r="G56" s="92">
        <f>IF(OR($E56="",$F56=""),"",ROUND(($F56-$E56+IF($F56&lt;$E56,1,0))*1440,0))</f>
        <v/>
      </c>
      <c r="H56" s="88" t="inlineStr">
        <is>
          <t>PLA-01</t>
        </is>
      </c>
      <c r="I56" s="94">
        <f>IF($H56="","",IFERROR(INDEX(PARAMETRES!$S$7:$S$46,MATCH($H56,PARAMETRES!$R$7:$R$46,0)),"Code inconnu"))</f>
        <v/>
      </c>
      <c r="J56" s="94">
        <f>IF($H56="","",IFERROR(INDEX(PARAMETRES!$T$7:$T$46,MATCH($H56,PARAMETRES!$R$7:$R$46,0)),""))</f>
        <v/>
      </c>
      <c r="K56" s="94">
        <f>IF($H56="","",IFERROR(INDEX(PARAMETRES!$U$7:$U$46,MATCH($H56,PARAMETRES!$R$7:$R$46,0)),""))</f>
        <v/>
      </c>
      <c r="L56" s="94">
        <f>IF($H56="","",IFERROR(INDEX(PARAMETRES!$V$7:$V$46,MATCH($H56,PARAMETRES!$R$7:$R$46,0)),""))</f>
        <v/>
      </c>
      <c r="M56" s="88" t="n"/>
      <c r="N56" s="88" t="n"/>
      <c r="O56" s="88" t="n"/>
      <c r="P56" s="94">
        <f>IF($G56="","",IF($G56&gt;=60,"Arrêt majeur — analyse 5 pourquoi",IF($G56&gt;=30,"À analyser en revue quotidienne",IF($K56="Planifié","Arrêt planifié","Aléa courant"))))</f>
        <v/>
      </c>
      <c r="Q56" s="95">
        <f>IF($A56="",0,IF(AND(OR(COCKPIT!$H$4="Toutes",$C56=COCKPIT!$H$4),OR(COCKPIT!$K$4="Toutes",$B56=COCKPIT!$K$4)),1,0))</f>
        <v/>
      </c>
    </row>
    <row r="57" ht="15" customHeight="1">
      <c r="A57" s="87" t="n">
        <v>46031</v>
      </c>
      <c r="B57" s="88" t="inlineStr">
        <is>
          <t>Équipe A (matin)</t>
        </is>
      </c>
      <c r="C57" s="88" t="inlineStr">
        <is>
          <t>Ligne 2 - Usinage</t>
        </is>
      </c>
      <c r="D57" s="88" t="inlineStr">
        <is>
          <t>Ligne 2</t>
        </is>
      </c>
      <c r="E57" s="96" t="n">
        <v>0.3319444444444444</v>
      </c>
      <c r="F57" s="96" t="n">
        <v>0.3458333333333333</v>
      </c>
      <c r="G57" s="92">
        <f>IF(OR($E57="",$F57=""),"",ROUND(($F57-$E57+IF($F57&lt;$E57,1,0))*1440,0))</f>
        <v/>
      </c>
      <c r="H57" s="88" t="inlineStr">
        <is>
          <t>LOG-02</t>
        </is>
      </c>
      <c r="I57" s="94">
        <f>IF($H57="","",IFERROR(INDEX(PARAMETRES!$S$7:$S$46,MATCH($H57,PARAMETRES!$R$7:$R$46,0)),"Code inconnu"))</f>
        <v/>
      </c>
      <c r="J57" s="94">
        <f>IF($H57="","",IFERROR(INDEX(PARAMETRES!$T$7:$T$46,MATCH($H57,PARAMETRES!$R$7:$R$46,0)),""))</f>
        <v/>
      </c>
      <c r="K57" s="94">
        <f>IF($H57="","",IFERROR(INDEX(PARAMETRES!$U$7:$U$46,MATCH($H57,PARAMETRES!$R$7:$R$46,0)),""))</f>
        <v/>
      </c>
      <c r="L57" s="94">
        <f>IF($H57="","",IFERROR(INDEX(PARAMETRES!$V$7:$V$46,MATCH($H57,PARAMETRES!$R$7:$R$46,0)),""))</f>
        <v/>
      </c>
      <c r="M57" s="88" t="n"/>
      <c r="N57" s="88" t="n"/>
      <c r="O57" s="88" t="n"/>
      <c r="P57" s="94">
        <f>IF($G57="","",IF($G57&gt;=60,"Arrêt majeur — analyse 5 pourquoi",IF($G57&gt;=30,"À analyser en revue quotidienne",IF($K57="Planifié","Arrêt planifié","Aléa courant"))))</f>
        <v/>
      </c>
      <c r="Q57" s="95">
        <f>IF($A57="",0,IF(AND(OR(COCKPIT!$H$4="Toutes",$C57=COCKPIT!$H$4),OR(COCKPIT!$K$4="Toutes",$B57=COCKPIT!$K$4)),1,0))</f>
        <v/>
      </c>
    </row>
    <row r="58" ht="15" customHeight="1">
      <c r="A58" s="87" t="n">
        <v>46031</v>
      </c>
      <c r="B58" s="88" t="inlineStr">
        <is>
          <t>Équipe A (matin)</t>
        </is>
      </c>
      <c r="C58" s="88" t="inlineStr">
        <is>
          <t>Ligne 2 - Usinage</t>
        </is>
      </c>
      <c r="D58" s="88" t="inlineStr">
        <is>
          <t>Ligne 2</t>
        </is>
      </c>
      <c r="E58" s="96" t="n">
        <v>0.3722222222222222</v>
      </c>
      <c r="F58" s="96" t="n">
        <v>0.3881944444444445</v>
      </c>
      <c r="G58" s="92">
        <f>IF(OR($E58="",$F58=""),"",ROUND(($F58-$E58+IF($F58&lt;$E58,1,0))*1440,0))</f>
        <v/>
      </c>
      <c r="H58" s="88" t="inlineStr">
        <is>
          <t>PAN-02</t>
        </is>
      </c>
      <c r="I58" s="94">
        <f>IF($H58="","",IFERROR(INDEX(PARAMETRES!$S$7:$S$46,MATCH($H58,PARAMETRES!$R$7:$R$46,0)),"Code inconnu"))</f>
        <v/>
      </c>
      <c r="J58" s="94">
        <f>IF($H58="","",IFERROR(INDEX(PARAMETRES!$T$7:$T$46,MATCH($H58,PARAMETRES!$R$7:$R$46,0)),""))</f>
        <v/>
      </c>
      <c r="K58" s="94">
        <f>IF($H58="","",IFERROR(INDEX(PARAMETRES!$U$7:$U$46,MATCH($H58,PARAMETRES!$R$7:$R$46,0)),""))</f>
        <v/>
      </c>
      <c r="L58" s="94">
        <f>IF($H58="","",IFERROR(INDEX(PARAMETRES!$V$7:$V$46,MATCH($H58,PARAMETRES!$R$7:$R$46,0)),""))</f>
        <v/>
      </c>
      <c r="M58" s="88" t="n"/>
      <c r="N58" s="88" t="n"/>
      <c r="O58" s="88" t="n"/>
      <c r="P58" s="94">
        <f>IF($G58="","",IF($G58&gt;=60,"Arrêt majeur — analyse 5 pourquoi",IF($G58&gt;=30,"À analyser en revue quotidienne",IF($K58="Planifié","Arrêt planifié","Aléa courant"))))</f>
        <v/>
      </c>
      <c r="Q58" s="95">
        <f>IF($A58="",0,IF(AND(OR(COCKPIT!$H$4="Toutes",$C58=COCKPIT!$H$4),OR(COCKPIT!$K$4="Toutes",$B58=COCKPIT!$K$4)),1,0))</f>
        <v/>
      </c>
    </row>
    <row r="59" ht="15" customHeight="1">
      <c r="A59" s="87" t="n">
        <v>46034</v>
      </c>
      <c r="B59" s="88" t="inlineStr">
        <is>
          <t>Équipe A (matin)</t>
        </is>
      </c>
      <c r="C59" s="88" t="inlineStr">
        <is>
          <t>Ligne 1 - Assemblage</t>
        </is>
      </c>
      <c r="D59" s="88" t="inlineStr">
        <is>
          <t>Ligne 1</t>
        </is>
      </c>
      <c r="E59" s="96" t="n">
        <v>0.2770833333333333</v>
      </c>
      <c r="F59" s="96" t="n">
        <v>0.3048611111111111</v>
      </c>
      <c r="G59" s="92">
        <f>IF(OR($E59="",$F59=""),"",ROUND(($F59-$E59+IF($F59&lt;$E59,1,0))*1440,0))</f>
        <v/>
      </c>
      <c r="H59" s="88" t="inlineStr">
        <is>
          <t>PLA-01</t>
        </is>
      </c>
      <c r="I59" s="94">
        <f>IF($H59="","",IFERROR(INDEX(PARAMETRES!$S$7:$S$46,MATCH($H59,PARAMETRES!$R$7:$R$46,0)),"Code inconnu"))</f>
        <v/>
      </c>
      <c r="J59" s="94">
        <f>IF($H59="","",IFERROR(INDEX(PARAMETRES!$T$7:$T$46,MATCH($H59,PARAMETRES!$R$7:$R$46,0)),""))</f>
        <v/>
      </c>
      <c r="K59" s="94">
        <f>IF($H59="","",IFERROR(INDEX(PARAMETRES!$U$7:$U$46,MATCH($H59,PARAMETRES!$R$7:$R$46,0)),""))</f>
        <v/>
      </c>
      <c r="L59" s="94">
        <f>IF($H59="","",IFERROR(INDEX(PARAMETRES!$V$7:$V$46,MATCH($H59,PARAMETRES!$R$7:$R$46,0)),""))</f>
        <v/>
      </c>
      <c r="M59" s="88" t="n"/>
      <c r="N59" s="88" t="n"/>
      <c r="O59" s="88" t="n"/>
      <c r="P59" s="94">
        <f>IF($G59="","",IF($G59&gt;=60,"Arrêt majeur — analyse 5 pourquoi",IF($G59&gt;=30,"À analyser en revue quotidienne",IF($K59="Planifié","Arrêt planifié","Aléa courant"))))</f>
        <v/>
      </c>
      <c r="Q59" s="95">
        <f>IF($A59="",0,IF(AND(OR(COCKPIT!$H$4="Toutes",$C59=COCKPIT!$H$4),OR(COCKPIT!$K$4="Toutes",$B59=COCKPIT!$K$4)),1,0))</f>
        <v/>
      </c>
    </row>
    <row r="60" ht="15" customHeight="1">
      <c r="A60" s="87" t="n">
        <v>46034</v>
      </c>
      <c r="B60" s="88" t="inlineStr">
        <is>
          <t>Équipe A (matin)</t>
        </is>
      </c>
      <c r="C60" s="88" t="inlineStr">
        <is>
          <t>Ligne 1 - Assemblage</t>
        </is>
      </c>
      <c r="D60" s="88" t="inlineStr">
        <is>
          <t>Ligne 1</t>
        </is>
      </c>
      <c r="E60" s="96" t="n">
        <v>0.3354166666666666</v>
      </c>
      <c r="F60" s="96" t="n">
        <v>0.3666666666666666</v>
      </c>
      <c r="G60" s="92">
        <f>IF(OR($E60="",$F60=""),"",ROUND(($F60-$E60+IF($F60&lt;$E60,1,0))*1440,0))</f>
        <v/>
      </c>
      <c r="H60" s="88" t="inlineStr">
        <is>
          <t>PLA-03</t>
        </is>
      </c>
      <c r="I60" s="94">
        <f>IF($H60="","",IFERROR(INDEX(PARAMETRES!$S$7:$S$46,MATCH($H60,PARAMETRES!$R$7:$R$46,0)),"Code inconnu"))</f>
        <v/>
      </c>
      <c r="J60" s="94">
        <f>IF($H60="","",IFERROR(INDEX(PARAMETRES!$T$7:$T$46,MATCH($H60,PARAMETRES!$R$7:$R$46,0)),""))</f>
        <v/>
      </c>
      <c r="K60" s="94">
        <f>IF($H60="","",IFERROR(INDEX(PARAMETRES!$U$7:$U$46,MATCH($H60,PARAMETRES!$R$7:$R$46,0)),""))</f>
        <v/>
      </c>
      <c r="L60" s="94">
        <f>IF($H60="","",IFERROR(INDEX(PARAMETRES!$V$7:$V$46,MATCH($H60,PARAMETRES!$R$7:$R$46,0)),""))</f>
        <v/>
      </c>
      <c r="M60" s="88" t="n"/>
      <c r="N60" s="88" t="n"/>
      <c r="O60" s="88" t="n"/>
      <c r="P60" s="94">
        <f>IF($G60="","",IF($G60&gt;=60,"Arrêt majeur — analyse 5 pourquoi",IF($G60&gt;=30,"À analyser en revue quotidienne",IF($K60="Planifié","Arrêt planifié","Aléa courant"))))</f>
        <v/>
      </c>
      <c r="Q60" s="95">
        <f>IF($A60="",0,IF(AND(OR(COCKPIT!$H$4="Toutes",$C60=COCKPIT!$H$4),OR(COCKPIT!$K$4="Toutes",$B60=COCKPIT!$K$4)),1,0))</f>
        <v/>
      </c>
    </row>
    <row r="61" ht="15" customHeight="1">
      <c r="A61" s="87" t="n">
        <v>46034</v>
      </c>
      <c r="B61" s="88" t="inlineStr">
        <is>
          <t>Équipe A (matin)</t>
        </is>
      </c>
      <c r="C61" s="88" t="inlineStr">
        <is>
          <t>Ligne 1 - Assemblage</t>
        </is>
      </c>
      <c r="D61" s="88" t="inlineStr">
        <is>
          <t>Ligne 1</t>
        </is>
      </c>
      <c r="E61" s="96" t="n">
        <v>0.3902777777777778</v>
      </c>
      <c r="F61" s="96" t="n">
        <v>0.4166666666666667</v>
      </c>
      <c r="G61" s="92">
        <f>IF(OR($E61="",$F61=""),"",ROUND(($F61-$E61+IF($F61&lt;$E61,1,0))*1440,0))</f>
        <v/>
      </c>
      <c r="H61" s="88" t="inlineStr">
        <is>
          <t>PAN-01</t>
        </is>
      </c>
      <c r="I61" s="94">
        <f>IF($H61="","",IFERROR(INDEX(PARAMETRES!$S$7:$S$46,MATCH($H61,PARAMETRES!$R$7:$R$46,0)),"Code inconnu"))</f>
        <v/>
      </c>
      <c r="J61" s="94">
        <f>IF($H61="","",IFERROR(INDEX(PARAMETRES!$T$7:$T$46,MATCH($H61,PARAMETRES!$R$7:$R$46,0)),""))</f>
        <v/>
      </c>
      <c r="K61" s="94">
        <f>IF($H61="","",IFERROR(INDEX(PARAMETRES!$U$7:$U$46,MATCH($H61,PARAMETRES!$R$7:$R$46,0)),""))</f>
        <v/>
      </c>
      <c r="L61" s="94">
        <f>IF($H61="","",IFERROR(INDEX(PARAMETRES!$V$7:$V$46,MATCH($H61,PARAMETRES!$R$7:$R$46,0)),""))</f>
        <v/>
      </c>
      <c r="M61" s="88" t="n"/>
      <c r="N61" s="88" t="n"/>
      <c r="O61" s="88" t="n"/>
      <c r="P61" s="94">
        <f>IF($G61="","",IF($G61&gt;=60,"Arrêt majeur — analyse 5 pourquoi",IF($G61&gt;=30,"À analyser en revue quotidienne",IF($K61="Planifié","Arrêt planifié","Aléa courant"))))</f>
        <v/>
      </c>
      <c r="Q61" s="95">
        <f>IF($A61="",0,IF(AND(OR(COCKPIT!$H$4="Toutes",$C61=COCKPIT!$H$4),OR(COCKPIT!$K$4="Toutes",$B61=COCKPIT!$K$4)),1,0))</f>
        <v/>
      </c>
    </row>
    <row r="62" ht="15" customHeight="1">
      <c r="A62" s="87" t="n">
        <v>46034</v>
      </c>
      <c r="B62" s="88" t="inlineStr">
        <is>
          <t>Équipe A (matin)</t>
        </is>
      </c>
      <c r="C62" s="88" t="inlineStr">
        <is>
          <t>Ligne 1 - Assemblage</t>
        </is>
      </c>
      <c r="D62" s="88" t="inlineStr">
        <is>
          <t>Ligne 1</t>
        </is>
      </c>
      <c r="E62" s="96" t="n">
        <v>0.4333333333333333</v>
      </c>
      <c r="F62" s="96" t="n">
        <v>0.4569444444444444</v>
      </c>
      <c r="G62" s="92">
        <f>IF(OR($E62="",$F62=""),"",ROUND(($F62-$E62+IF($F62&lt;$E62,1,0))*1440,0))</f>
        <v/>
      </c>
      <c r="H62" s="88" t="inlineStr">
        <is>
          <t>CDS-01</t>
        </is>
      </c>
      <c r="I62" s="94">
        <f>IF($H62="","",IFERROR(INDEX(PARAMETRES!$S$7:$S$46,MATCH($H62,PARAMETRES!$R$7:$R$46,0)),"Code inconnu"))</f>
        <v/>
      </c>
      <c r="J62" s="94">
        <f>IF($H62="","",IFERROR(INDEX(PARAMETRES!$T$7:$T$46,MATCH($H62,PARAMETRES!$R$7:$R$46,0)),""))</f>
        <v/>
      </c>
      <c r="K62" s="94">
        <f>IF($H62="","",IFERROR(INDEX(PARAMETRES!$U$7:$U$46,MATCH($H62,PARAMETRES!$R$7:$R$46,0)),""))</f>
        <v/>
      </c>
      <c r="L62" s="94">
        <f>IF($H62="","",IFERROR(INDEX(PARAMETRES!$V$7:$V$46,MATCH($H62,PARAMETRES!$R$7:$R$46,0)),""))</f>
        <v/>
      </c>
      <c r="M62" s="88" t="n"/>
      <c r="N62" s="88" t="n"/>
      <c r="O62" s="88" t="n"/>
      <c r="P62" s="94">
        <f>IF($G62="","",IF($G62&gt;=60,"Arrêt majeur — analyse 5 pourquoi",IF($G62&gt;=30,"À analyser en revue quotidienne",IF($K62="Planifié","Arrêt planifié","Aléa courant"))))</f>
        <v/>
      </c>
      <c r="Q62" s="95">
        <f>IF($A62="",0,IF(AND(OR(COCKPIT!$H$4="Toutes",$C62=COCKPIT!$H$4),OR(COCKPIT!$K$4="Toutes",$B62=COCKPIT!$K$4)),1,0))</f>
        <v/>
      </c>
    </row>
    <row r="63" ht="15" customHeight="1">
      <c r="A63" s="87" t="n">
        <v>46034</v>
      </c>
      <c r="B63" s="88" t="inlineStr">
        <is>
          <t>Équipe A (matin)</t>
        </is>
      </c>
      <c r="C63" s="88" t="inlineStr">
        <is>
          <t>Ligne 1 - Assemblage</t>
        </is>
      </c>
      <c r="D63" s="88" t="inlineStr">
        <is>
          <t>Ligne 1</t>
        </is>
      </c>
      <c r="E63" s="96" t="n">
        <v>0.4791666666666667</v>
      </c>
      <c r="F63" s="96" t="n">
        <v>0.4847222222222222</v>
      </c>
      <c r="G63" s="92">
        <f>IF(OR($E63="",$F63=""),"",ROUND(($F63-$E63+IF($F63&lt;$E63,1,0))*1440,0))</f>
        <v/>
      </c>
      <c r="H63" s="88" t="inlineStr">
        <is>
          <t>REG-02</t>
        </is>
      </c>
      <c r="I63" s="94">
        <f>IF($H63="","",IFERROR(INDEX(PARAMETRES!$S$7:$S$46,MATCH($H63,PARAMETRES!$R$7:$R$46,0)),"Code inconnu"))</f>
        <v/>
      </c>
      <c r="J63" s="94">
        <f>IF($H63="","",IFERROR(INDEX(PARAMETRES!$T$7:$T$46,MATCH($H63,PARAMETRES!$R$7:$R$46,0)),""))</f>
        <v/>
      </c>
      <c r="K63" s="94">
        <f>IF($H63="","",IFERROR(INDEX(PARAMETRES!$U$7:$U$46,MATCH($H63,PARAMETRES!$R$7:$R$46,0)),""))</f>
        <v/>
      </c>
      <c r="L63" s="94">
        <f>IF($H63="","",IFERROR(INDEX(PARAMETRES!$V$7:$V$46,MATCH($H63,PARAMETRES!$R$7:$R$46,0)),""))</f>
        <v/>
      </c>
      <c r="M63" s="88" t="n"/>
      <c r="N63" s="88" t="n"/>
      <c r="O63" s="88" t="n"/>
      <c r="P63" s="94">
        <f>IF($G63="","",IF($G63&gt;=60,"Arrêt majeur — analyse 5 pourquoi",IF($G63&gt;=30,"À analyser en revue quotidienne",IF($K63="Planifié","Arrêt planifié","Aléa courant"))))</f>
        <v/>
      </c>
      <c r="Q63" s="95">
        <f>IF($A63="",0,IF(AND(OR(COCKPIT!$H$4="Toutes",$C63=COCKPIT!$H$4),OR(COCKPIT!$K$4="Toutes",$B63=COCKPIT!$K$4)),1,0))</f>
        <v/>
      </c>
    </row>
    <row r="64" ht="15" customHeight="1">
      <c r="A64" s="87" t="n">
        <v>46034</v>
      </c>
      <c r="B64" s="88" t="inlineStr">
        <is>
          <t>Équipe A (matin)</t>
        </is>
      </c>
      <c r="C64" s="88" t="inlineStr">
        <is>
          <t>Ligne 1 - Assemblage</t>
        </is>
      </c>
      <c r="D64" s="88" t="inlineStr">
        <is>
          <t>Ligne 1</t>
        </is>
      </c>
      <c r="E64" s="96" t="n">
        <v>0.5020833333333333</v>
      </c>
      <c r="F64" s="96" t="n">
        <v>0.5194444444444445</v>
      </c>
      <c r="G64" s="92">
        <f>IF(OR($E64="",$F64=""),"",ROUND(($F64-$E64+IF($F64&lt;$E64,1,0))*1440,0))</f>
        <v/>
      </c>
      <c r="H64" s="88" t="inlineStr">
        <is>
          <t>PER-01</t>
        </is>
      </c>
      <c r="I64" s="94">
        <f>IF($H64="","",IFERROR(INDEX(PARAMETRES!$S$7:$S$46,MATCH($H64,PARAMETRES!$R$7:$R$46,0)),"Code inconnu"))</f>
        <v/>
      </c>
      <c r="J64" s="94">
        <f>IF($H64="","",IFERROR(INDEX(PARAMETRES!$T$7:$T$46,MATCH($H64,PARAMETRES!$R$7:$R$46,0)),""))</f>
        <v/>
      </c>
      <c r="K64" s="94">
        <f>IF($H64="","",IFERROR(INDEX(PARAMETRES!$U$7:$U$46,MATCH($H64,PARAMETRES!$R$7:$R$46,0)),""))</f>
        <v/>
      </c>
      <c r="L64" s="94">
        <f>IF($H64="","",IFERROR(INDEX(PARAMETRES!$V$7:$V$46,MATCH($H64,PARAMETRES!$R$7:$R$46,0)),""))</f>
        <v/>
      </c>
      <c r="M64" s="88" t="n"/>
      <c r="N64" s="88" t="n"/>
      <c r="O64" s="88" t="n"/>
      <c r="P64" s="94">
        <f>IF($G64="","",IF($G64&gt;=60,"Arrêt majeur — analyse 5 pourquoi",IF($G64&gt;=30,"À analyser en revue quotidienne",IF($K64="Planifié","Arrêt planifié","Aléa courant"))))</f>
        <v/>
      </c>
      <c r="Q64" s="95">
        <f>IF($A64="",0,IF(AND(OR(COCKPIT!$H$4="Toutes",$C64=COCKPIT!$H$4),OR(COCKPIT!$K$4="Toutes",$B64=COCKPIT!$K$4)),1,0))</f>
        <v/>
      </c>
    </row>
    <row r="65" ht="15" customHeight="1">
      <c r="A65" s="87" t="n">
        <v>46034</v>
      </c>
      <c r="B65" s="88" t="inlineStr">
        <is>
          <t>Équipe B (après-midi)</t>
        </is>
      </c>
      <c r="C65" s="88" t="inlineStr">
        <is>
          <t>Ligne 2 - Usinage</t>
        </is>
      </c>
      <c r="D65" s="88" t="inlineStr">
        <is>
          <t>Ligne 2</t>
        </is>
      </c>
      <c r="E65" s="96" t="n">
        <v>0.2881944444444444</v>
      </c>
      <c r="F65" s="96" t="n">
        <v>0.3159722222222222</v>
      </c>
      <c r="G65" s="92">
        <f>IF(OR($E65="",$F65=""),"",ROUND(($F65-$E65+IF($F65&lt;$E65,1,0))*1440,0))</f>
        <v/>
      </c>
      <c r="H65" s="88" t="inlineStr">
        <is>
          <t>PLA-01</t>
        </is>
      </c>
      <c r="I65" s="94">
        <f>IF($H65="","",IFERROR(INDEX(PARAMETRES!$S$7:$S$46,MATCH($H65,PARAMETRES!$R$7:$R$46,0)),"Code inconnu"))</f>
        <v/>
      </c>
      <c r="J65" s="94">
        <f>IF($H65="","",IFERROR(INDEX(PARAMETRES!$T$7:$T$46,MATCH($H65,PARAMETRES!$R$7:$R$46,0)),""))</f>
        <v/>
      </c>
      <c r="K65" s="94">
        <f>IF($H65="","",IFERROR(INDEX(PARAMETRES!$U$7:$U$46,MATCH($H65,PARAMETRES!$R$7:$R$46,0)),""))</f>
        <v/>
      </c>
      <c r="L65" s="94">
        <f>IF($H65="","",IFERROR(INDEX(PARAMETRES!$V$7:$V$46,MATCH($H65,PARAMETRES!$R$7:$R$46,0)),""))</f>
        <v/>
      </c>
      <c r="M65" s="88" t="n"/>
      <c r="N65" s="88" t="n"/>
      <c r="O65" s="88" t="n"/>
      <c r="P65" s="94">
        <f>IF($G65="","",IF($G65&gt;=60,"Arrêt majeur — analyse 5 pourquoi",IF($G65&gt;=30,"À analyser en revue quotidienne",IF($K65="Planifié","Arrêt planifié","Aléa courant"))))</f>
        <v/>
      </c>
      <c r="Q65" s="95">
        <f>IF($A65="",0,IF(AND(OR(COCKPIT!$H$4="Toutes",$C65=COCKPIT!$H$4),OR(COCKPIT!$K$4="Toutes",$B65=COCKPIT!$K$4)),1,0))</f>
        <v/>
      </c>
    </row>
    <row r="66" ht="15" customHeight="1">
      <c r="A66" s="87" t="n">
        <v>46034</v>
      </c>
      <c r="B66" s="88" t="inlineStr">
        <is>
          <t>Équipe B (après-midi)</t>
        </is>
      </c>
      <c r="C66" s="88" t="inlineStr">
        <is>
          <t>Ligne 2 - Usinage</t>
        </is>
      </c>
      <c r="D66" s="88" t="inlineStr">
        <is>
          <t>Ligne 2</t>
        </is>
      </c>
      <c r="E66" s="96" t="n">
        <v>0.3465277777777778</v>
      </c>
      <c r="F66" s="96" t="n">
        <v>0.3777777777777778</v>
      </c>
      <c r="G66" s="92">
        <f>IF(OR($E66="",$F66=""),"",ROUND(($F66-$E66+IF($F66&lt;$E66,1,0))*1440,0))</f>
        <v/>
      </c>
      <c r="H66" s="88" t="inlineStr">
        <is>
          <t>PLA-03</t>
        </is>
      </c>
      <c r="I66" s="94">
        <f>IF($H66="","",IFERROR(INDEX(PARAMETRES!$S$7:$S$46,MATCH($H66,PARAMETRES!$R$7:$R$46,0)),"Code inconnu"))</f>
        <v/>
      </c>
      <c r="J66" s="94">
        <f>IF($H66="","",IFERROR(INDEX(PARAMETRES!$T$7:$T$46,MATCH($H66,PARAMETRES!$R$7:$R$46,0)),""))</f>
        <v/>
      </c>
      <c r="K66" s="94">
        <f>IF($H66="","",IFERROR(INDEX(PARAMETRES!$U$7:$U$46,MATCH($H66,PARAMETRES!$R$7:$R$46,0)),""))</f>
        <v/>
      </c>
      <c r="L66" s="94">
        <f>IF($H66="","",IFERROR(INDEX(PARAMETRES!$V$7:$V$46,MATCH($H66,PARAMETRES!$R$7:$R$46,0)),""))</f>
        <v/>
      </c>
      <c r="M66" s="88" t="n"/>
      <c r="N66" s="88" t="n"/>
      <c r="O66" s="88" t="n"/>
      <c r="P66" s="94">
        <f>IF($G66="","",IF($G66&gt;=60,"Arrêt majeur — analyse 5 pourquoi",IF($G66&gt;=30,"À analyser en revue quotidienne",IF($K66="Planifié","Arrêt planifié","Aléa courant"))))</f>
        <v/>
      </c>
      <c r="Q66" s="95">
        <f>IF($A66="",0,IF(AND(OR(COCKPIT!$H$4="Toutes",$C66=COCKPIT!$H$4),OR(COCKPIT!$K$4="Toutes",$B66=COCKPIT!$K$4)),1,0))</f>
        <v/>
      </c>
    </row>
    <row r="67" ht="15" customHeight="1">
      <c r="A67" s="87" t="n">
        <v>46034</v>
      </c>
      <c r="B67" s="88" t="inlineStr">
        <is>
          <t>Équipe B (après-midi)</t>
        </is>
      </c>
      <c r="C67" s="88" t="inlineStr">
        <is>
          <t>Ligne 2 - Usinage</t>
        </is>
      </c>
      <c r="D67" s="88" t="inlineStr">
        <is>
          <t>Ligne 2</t>
        </is>
      </c>
      <c r="E67" s="96" t="n">
        <v>0.4083333333333333</v>
      </c>
      <c r="F67" s="96" t="n">
        <v>0.4173611111111111</v>
      </c>
      <c r="G67" s="92">
        <f>IF(OR($E67="",$F67=""),"",ROUND(($F67-$E67+IF($F67&lt;$E67,1,0))*1440,0))</f>
        <v/>
      </c>
      <c r="H67" s="88" t="inlineStr">
        <is>
          <t>REG-01</t>
        </is>
      </c>
      <c r="I67" s="94">
        <f>IF($H67="","",IFERROR(INDEX(PARAMETRES!$S$7:$S$46,MATCH($H67,PARAMETRES!$R$7:$R$46,0)),"Code inconnu"))</f>
        <v/>
      </c>
      <c r="J67" s="94">
        <f>IF($H67="","",IFERROR(INDEX(PARAMETRES!$T$7:$T$46,MATCH($H67,PARAMETRES!$R$7:$R$46,0)),""))</f>
        <v/>
      </c>
      <c r="K67" s="94">
        <f>IF($H67="","",IFERROR(INDEX(PARAMETRES!$U$7:$U$46,MATCH($H67,PARAMETRES!$R$7:$R$46,0)),""))</f>
        <v/>
      </c>
      <c r="L67" s="94">
        <f>IF($H67="","",IFERROR(INDEX(PARAMETRES!$V$7:$V$46,MATCH($H67,PARAMETRES!$R$7:$R$46,0)),""))</f>
        <v/>
      </c>
      <c r="M67" s="88" t="n"/>
      <c r="N67" s="88" t="n"/>
      <c r="O67" s="88" t="n"/>
      <c r="P67" s="94">
        <f>IF($G67="","",IF($G67&gt;=60,"Arrêt majeur — analyse 5 pourquoi",IF($G67&gt;=30,"À analyser en revue quotidienne",IF($K67="Planifié","Arrêt planifié","Aléa courant"))))</f>
        <v/>
      </c>
      <c r="Q67" s="95">
        <f>IF($A67="",0,IF(AND(OR(COCKPIT!$H$4="Toutes",$C67=COCKPIT!$H$4),OR(COCKPIT!$K$4="Toutes",$B67=COCKPIT!$K$4)),1,0))</f>
        <v/>
      </c>
    </row>
    <row r="68" ht="15" customHeight="1">
      <c r="A68" s="87" t="n">
        <v>46034</v>
      </c>
      <c r="B68" s="88" t="inlineStr">
        <is>
          <t>Équipe B (après-midi)</t>
        </is>
      </c>
      <c r="C68" s="88" t="inlineStr">
        <is>
          <t>Ligne 2 - Usinage</t>
        </is>
      </c>
      <c r="D68" s="88" t="inlineStr">
        <is>
          <t>Ligne 2</t>
        </is>
      </c>
      <c r="E68" s="96" t="n">
        <v>0.4416666666666667</v>
      </c>
      <c r="F68" s="96" t="n">
        <v>0.45625</v>
      </c>
      <c r="G68" s="92">
        <f>IF(OR($E68="",$F68=""),"",ROUND(($F68-$E68+IF($F68&lt;$E68,1,0))*1440,0))</f>
        <v/>
      </c>
      <c r="H68" s="88" t="inlineStr">
        <is>
          <t>MAT-02</t>
        </is>
      </c>
      <c r="I68" s="94">
        <f>IF($H68="","",IFERROR(INDEX(PARAMETRES!$S$7:$S$46,MATCH($H68,PARAMETRES!$R$7:$R$46,0)),"Code inconnu"))</f>
        <v/>
      </c>
      <c r="J68" s="94">
        <f>IF($H68="","",IFERROR(INDEX(PARAMETRES!$T$7:$T$46,MATCH($H68,PARAMETRES!$R$7:$R$46,0)),""))</f>
        <v/>
      </c>
      <c r="K68" s="94">
        <f>IF($H68="","",IFERROR(INDEX(PARAMETRES!$U$7:$U$46,MATCH($H68,PARAMETRES!$R$7:$R$46,0)),""))</f>
        <v/>
      </c>
      <c r="L68" s="94">
        <f>IF($H68="","",IFERROR(INDEX(PARAMETRES!$V$7:$V$46,MATCH($H68,PARAMETRES!$R$7:$R$46,0)),""))</f>
        <v/>
      </c>
      <c r="M68" s="88" t="n"/>
      <c r="N68" s="88" t="n"/>
      <c r="O68" s="88" t="n"/>
      <c r="P68" s="94">
        <f>IF($G68="","",IF($G68&gt;=60,"Arrêt majeur — analyse 5 pourquoi",IF($G68&gt;=30,"À analyser en revue quotidienne",IF($K68="Planifié","Arrêt planifié","Aléa courant"))))</f>
        <v/>
      </c>
      <c r="Q68" s="95">
        <f>IF($A68="",0,IF(AND(OR(COCKPIT!$H$4="Toutes",$C68=COCKPIT!$H$4),OR(COCKPIT!$K$4="Toutes",$B68=COCKPIT!$K$4)),1,0))</f>
        <v/>
      </c>
    </row>
    <row r="69" ht="15" customHeight="1">
      <c r="A69" s="87" t="n">
        <v>46034</v>
      </c>
      <c r="B69" s="88" t="inlineStr">
        <is>
          <t>Équipe B (après-midi)</t>
        </is>
      </c>
      <c r="C69" s="88" t="inlineStr">
        <is>
          <t>Ligne 2 - Usinage</t>
        </is>
      </c>
      <c r="D69" s="88" t="inlineStr">
        <is>
          <t>Ligne 2</t>
        </is>
      </c>
      <c r="E69" s="96" t="n">
        <v>0.4854166666666667</v>
      </c>
      <c r="F69" s="96" t="n">
        <v>0.4972222222222222</v>
      </c>
      <c r="G69" s="92">
        <f>IF(OR($E69="",$F69=""),"",ROUND(($F69-$E69+IF($F69&lt;$E69,1,0))*1440,0))</f>
        <v/>
      </c>
      <c r="H69" s="88" t="inlineStr">
        <is>
          <t>LOG-01</t>
        </is>
      </c>
      <c r="I69" s="94">
        <f>IF($H69="","",IFERROR(INDEX(PARAMETRES!$S$7:$S$46,MATCH($H69,PARAMETRES!$R$7:$R$46,0)),"Code inconnu"))</f>
        <v/>
      </c>
      <c r="J69" s="94">
        <f>IF($H69="","",IFERROR(INDEX(PARAMETRES!$T$7:$T$46,MATCH($H69,PARAMETRES!$R$7:$R$46,0)),""))</f>
        <v/>
      </c>
      <c r="K69" s="94">
        <f>IF($H69="","",IFERROR(INDEX(PARAMETRES!$U$7:$U$46,MATCH($H69,PARAMETRES!$R$7:$R$46,0)),""))</f>
        <v/>
      </c>
      <c r="L69" s="94">
        <f>IF($H69="","",IFERROR(INDEX(PARAMETRES!$V$7:$V$46,MATCH($H69,PARAMETRES!$R$7:$R$46,0)),""))</f>
        <v/>
      </c>
      <c r="M69" s="88" t="n"/>
      <c r="N69" s="88" t="n"/>
      <c r="O69" s="88" t="n"/>
      <c r="P69" s="94">
        <f>IF($G69="","",IF($G69&gt;=60,"Arrêt majeur — analyse 5 pourquoi",IF($G69&gt;=30,"À analyser en revue quotidienne",IF($K69="Planifié","Arrêt planifié","Aléa courant"))))</f>
        <v/>
      </c>
      <c r="Q69" s="95">
        <f>IF($A69="",0,IF(AND(OR(COCKPIT!$H$4="Toutes",$C69=COCKPIT!$H$4),OR(COCKPIT!$K$4="Toutes",$B69=COCKPIT!$K$4)),1,0))</f>
        <v/>
      </c>
    </row>
    <row r="70" ht="15" customHeight="1">
      <c r="A70" s="87" t="n">
        <v>46034</v>
      </c>
      <c r="B70" s="88" t="inlineStr">
        <is>
          <t>Équipe B (après-midi)</t>
        </is>
      </c>
      <c r="C70" s="88" t="inlineStr">
        <is>
          <t>Ligne 2 - Usinage</t>
        </is>
      </c>
      <c r="D70" s="88" t="inlineStr">
        <is>
          <t>Ligne 2</t>
        </is>
      </c>
      <c r="E70" s="96" t="n">
        <v>0.5284722222222222</v>
      </c>
      <c r="F70" s="96" t="n">
        <v>0.5506944444444445</v>
      </c>
      <c r="G70" s="92">
        <f>IF(OR($E70="",$F70=""),"",ROUND(($F70-$E70+IF($F70&lt;$E70,1,0))*1440,0))</f>
        <v/>
      </c>
      <c r="H70" s="88" t="inlineStr">
        <is>
          <t>PAN-01</t>
        </is>
      </c>
      <c r="I70" s="94">
        <f>IF($H70="","",IFERROR(INDEX(PARAMETRES!$S$7:$S$46,MATCH($H70,PARAMETRES!$R$7:$R$46,0)),"Code inconnu"))</f>
        <v/>
      </c>
      <c r="J70" s="94">
        <f>IF($H70="","",IFERROR(INDEX(PARAMETRES!$T$7:$T$46,MATCH($H70,PARAMETRES!$R$7:$R$46,0)),""))</f>
        <v/>
      </c>
      <c r="K70" s="94">
        <f>IF($H70="","",IFERROR(INDEX(PARAMETRES!$U$7:$U$46,MATCH($H70,PARAMETRES!$R$7:$R$46,0)),""))</f>
        <v/>
      </c>
      <c r="L70" s="94">
        <f>IF($H70="","",IFERROR(INDEX(PARAMETRES!$V$7:$V$46,MATCH($H70,PARAMETRES!$R$7:$R$46,0)),""))</f>
        <v/>
      </c>
      <c r="M70" s="88" t="n"/>
      <c r="N70" s="88" t="n"/>
      <c r="O70" s="88" t="n"/>
      <c r="P70" s="94">
        <f>IF($G70="","",IF($G70&gt;=60,"Arrêt majeur — analyse 5 pourquoi",IF($G70&gt;=30,"À analyser en revue quotidienne",IF($K70="Planifié","Arrêt planifié","Aléa courant"))))</f>
        <v/>
      </c>
      <c r="Q70" s="95">
        <f>IF($A70="",0,IF(AND(OR(COCKPIT!$H$4="Toutes",$C70=COCKPIT!$H$4),OR(COCKPIT!$K$4="Toutes",$B70=COCKPIT!$K$4)),1,0))</f>
        <v/>
      </c>
    </row>
    <row r="71" ht="15" customHeight="1">
      <c r="A71" s="87" t="n">
        <v>46034</v>
      </c>
      <c r="B71" s="88" t="inlineStr">
        <is>
          <t>Équipe B (après-midi)</t>
        </is>
      </c>
      <c r="C71" s="88" t="inlineStr">
        <is>
          <t>Ligne 2 - Usinage</t>
        </is>
      </c>
      <c r="D71" s="88" t="inlineStr">
        <is>
          <t>Ligne 2</t>
        </is>
      </c>
      <c r="E71" s="96" t="n">
        <v>0.5784722222222223</v>
      </c>
      <c r="F71" s="96" t="n">
        <v>0.5923611111111111</v>
      </c>
      <c r="G71" s="92">
        <f>IF(OR($E71="",$F71=""),"",ROUND(($F71-$E71+IF($F71&lt;$E71,1,0))*1440,0))</f>
        <v/>
      </c>
      <c r="H71" s="88" t="inlineStr">
        <is>
          <t>CDS-01</t>
        </is>
      </c>
      <c r="I71" s="94">
        <f>IF($H71="","",IFERROR(INDEX(PARAMETRES!$S$7:$S$46,MATCH($H71,PARAMETRES!$R$7:$R$46,0)),"Code inconnu"))</f>
        <v/>
      </c>
      <c r="J71" s="94">
        <f>IF($H71="","",IFERROR(INDEX(PARAMETRES!$T$7:$T$46,MATCH($H71,PARAMETRES!$R$7:$R$46,0)),""))</f>
        <v/>
      </c>
      <c r="K71" s="94">
        <f>IF($H71="","",IFERROR(INDEX(PARAMETRES!$U$7:$U$46,MATCH($H71,PARAMETRES!$R$7:$R$46,0)),""))</f>
        <v/>
      </c>
      <c r="L71" s="94">
        <f>IF($H71="","",IFERROR(INDEX(PARAMETRES!$V$7:$V$46,MATCH($H71,PARAMETRES!$R$7:$R$46,0)),""))</f>
        <v/>
      </c>
      <c r="M71" s="88" t="n"/>
      <c r="N71" s="88" t="n"/>
      <c r="O71" s="88" t="n"/>
      <c r="P71" s="94">
        <f>IF($G71="","",IF($G71&gt;=60,"Arrêt majeur — analyse 5 pourquoi",IF($G71&gt;=30,"À analyser en revue quotidienne",IF($K71="Planifié","Arrêt planifié","Aléa courant"))))</f>
        <v/>
      </c>
      <c r="Q71" s="95">
        <f>IF($A71="",0,IF(AND(OR(COCKPIT!$H$4="Toutes",$C71=COCKPIT!$H$4),OR(COCKPIT!$K$4="Toutes",$B71=COCKPIT!$K$4)),1,0))</f>
        <v/>
      </c>
    </row>
    <row r="72" ht="15" customHeight="1">
      <c r="A72" s="87" t="n">
        <v>46035</v>
      </c>
      <c r="B72" s="88" t="inlineStr">
        <is>
          <t>Équipe B (après-midi)</t>
        </is>
      </c>
      <c r="C72" s="88" t="inlineStr">
        <is>
          <t>Ligne 1 - Assemblage</t>
        </is>
      </c>
      <c r="D72" s="88" t="inlineStr">
        <is>
          <t>Ligne 1</t>
        </is>
      </c>
      <c r="E72" s="96" t="n">
        <v>0.2868055555555555</v>
      </c>
      <c r="F72" s="96" t="n">
        <v>0.3145833333333333</v>
      </c>
      <c r="G72" s="92">
        <f>IF(OR($E72="",$F72=""),"",ROUND(($F72-$E72+IF($F72&lt;$E72,1,0))*1440,0))</f>
        <v/>
      </c>
      <c r="H72" s="88" t="inlineStr">
        <is>
          <t>PLA-01</t>
        </is>
      </c>
      <c r="I72" s="94">
        <f>IF($H72="","",IFERROR(INDEX(PARAMETRES!$S$7:$S$46,MATCH($H72,PARAMETRES!$R$7:$R$46,0)),"Code inconnu"))</f>
        <v/>
      </c>
      <c r="J72" s="94">
        <f>IF($H72="","",IFERROR(INDEX(PARAMETRES!$T$7:$T$46,MATCH($H72,PARAMETRES!$R$7:$R$46,0)),""))</f>
        <v/>
      </c>
      <c r="K72" s="94">
        <f>IF($H72="","",IFERROR(INDEX(PARAMETRES!$U$7:$U$46,MATCH($H72,PARAMETRES!$R$7:$R$46,0)),""))</f>
        <v/>
      </c>
      <c r="L72" s="94">
        <f>IF($H72="","",IFERROR(INDEX(PARAMETRES!$V$7:$V$46,MATCH($H72,PARAMETRES!$R$7:$R$46,0)),""))</f>
        <v/>
      </c>
      <c r="M72" s="88" t="n"/>
      <c r="N72" s="88" t="n"/>
      <c r="O72" s="88" t="n"/>
      <c r="P72" s="94">
        <f>IF($G72="","",IF($G72&gt;=60,"Arrêt majeur — analyse 5 pourquoi",IF($G72&gt;=30,"À analyser en revue quotidienne",IF($K72="Planifié","Arrêt planifié","Aléa courant"))))</f>
        <v/>
      </c>
      <c r="Q72" s="95">
        <f>IF($A72="",0,IF(AND(OR(COCKPIT!$H$4="Toutes",$C72=COCKPIT!$H$4),OR(COCKPIT!$K$4="Toutes",$B72=COCKPIT!$K$4)),1,0))</f>
        <v/>
      </c>
    </row>
    <row r="73" ht="15" customHeight="1">
      <c r="A73" s="87" t="n">
        <v>46035</v>
      </c>
      <c r="B73" s="88" t="inlineStr">
        <is>
          <t>Équipe B (après-midi)</t>
        </is>
      </c>
      <c r="C73" s="88" t="inlineStr">
        <is>
          <t>Ligne 1 - Assemblage</t>
        </is>
      </c>
      <c r="D73" s="88" t="inlineStr">
        <is>
          <t>Ligne 1</t>
        </is>
      </c>
      <c r="E73" s="96" t="n">
        <v>0.3423611111111111</v>
      </c>
      <c r="F73" s="96" t="n">
        <v>0.3840277777777778</v>
      </c>
      <c r="G73" s="92">
        <f>IF(OR($E73="",$F73=""),"",ROUND(($F73-$E73+IF($F73&lt;$E73,1,0))*1440,0))</f>
        <v/>
      </c>
      <c r="H73" s="88" t="inlineStr">
        <is>
          <t>PLA-02</t>
        </is>
      </c>
      <c r="I73" s="94">
        <f>IF($H73="","",IFERROR(INDEX(PARAMETRES!$S$7:$S$46,MATCH($H73,PARAMETRES!$R$7:$R$46,0)),"Code inconnu"))</f>
        <v/>
      </c>
      <c r="J73" s="94">
        <f>IF($H73="","",IFERROR(INDEX(PARAMETRES!$T$7:$T$46,MATCH($H73,PARAMETRES!$R$7:$R$46,0)),""))</f>
        <v/>
      </c>
      <c r="K73" s="94">
        <f>IF($H73="","",IFERROR(INDEX(PARAMETRES!$U$7:$U$46,MATCH($H73,PARAMETRES!$R$7:$R$46,0)),""))</f>
        <v/>
      </c>
      <c r="L73" s="94">
        <f>IF($H73="","",IFERROR(INDEX(PARAMETRES!$V$7:$V$46,MATCH($H73,PARAMETRES!$R$7:$R$46,0)),""))</f>
        <v/>
      </c>
      <c r="M73" s="88" t="n"/>
      <c r="N73" s="88" t="n"/>
      <c r="O73" s="88" t="n"/>
      <c r="P73" s="94">
        <f>IF($G73="","",IF($G73&gt;=60,"Arrêt majeur — analyse 5 pourquoi",IF($G73&gt;=30,"À analyser en revue quotidienne",IF($K73="Planifié","Arrêt planifié","Aléa courant"))))</f>
        <v/>
      </c>
      <c r="Q73" s="95">
        <f>IF($A73="",0,IF(AND(OR(COCKPIT!$H$4="Toutes",$C73=COCKPIT!$H$4),OR(COCKPIT!$K$4="Toutes",$B73=COCKPIT!$K$4)),1,0))</f>
        <v/>
      </c>
    </row>
    <row r="74" ht="15" customHeight="1">
      <c r="A74" s="87" t="n">
        <v>46035</v>
      </c>
      <c r="B74" s="88" t="inlineStr">
        <is>
          <t>Équipe B (après-midi)</t>
        </is>
      </c>
      <c r="C74" s="88" t="inlineStr">
        <is>
          <t>Ligne 1 - Assemblage</t>
        </is>
      </c>
      <c r="D74" s="88" t="inlineStr">
        <is>
          <t>Ligne 1</t>
        </is>
      </c>
      <c r="E74" s="96" t="n">
        <v>0.4090277777777778</v>
      </c>
      <c r="F74" s="96" t="n">
        <v>0.425</v>
      </c>
      <c r="G74" s="92">
        <f>IF(OR($E74="",$F74=""),"",ROUND(($F74-$E74+IF($F74&lt;$E74,1,0))*1440,0))</f>
        <v/>
      </c>
      <c r="H74" s="88" t="inlineStr">
        <is>
          <t>MAT-01</t>
        </is>
      </c>
      <c r="I74" s="94">
        <f>IF($H74="","",IFERROR(INDEX(PARAMETRES!$S$7:$S$46,MATCH($H74,PARAMETRES!$R$7:$R$46,0)),"Code inconnu"))</f>
        <v/>
      </c>
      <c r="J74" s="94">
        <f>IF($H74="","",IFERROR(INDEX(PARAMETRES!$T$7:$T$46,MATCH($H74,PARAMETRES!$R$7:$R$46,0)),""))</f>
        <v/>
      </c>
      <c r="K74" s="94">
        <f>IF($H74="","",IFERROR(INDEX(PARAMETRES!$U$7:$U$46,MATCH($H74,PARAMETRES!$R$7:$R$46,0)),""))</f>
        <v/>
      </c>
      <c r="L74" s="94">
        <f>IF($H74="","",IFERROR(INDEX(PARAMETRES!$V$7:$V$46,MATCH($H74,PARAMETRES!$R$7:$R$46,0)),""))</f>
        <v/>
      </c>
      <c r="M74" s="88" t="n"/>
      <c r="N74" s="88" t="n"/>
      <c r="O74" s="88" t="n"/>
      <c r="P74" s="94">
        <f>IF($G74="","",IF($G74&gt;=60,"Arrêt majeur — analyse 5 pourquoi",IF($G74&gt;=30,"À analyser en revue quotidienne",IF($K74="Planifié","Arrêt planifié","Aléa courant"))))</f>
        <v/>
      </c>
      <c r="Q74" s="95">
        <f>IF($A74="",0,IF(AND(OR(COCKPIT!$H$4="Toutes",$C74=COCKPIT!$H$4),OR(COCKPIT!$K$4="Toutes",$B74=COCKPIT!$K$4)),1,0))</f>
        <v/>
      </c>
    </row>
    <row r="75" ht="15" customHeight="1">
      <c r="A75" s="87" t="n">
        <v>46035</v>
      </c>
      <c r="B75" s="88" t="inlineStr">
        <is>
          <t>Équipe B (après-midi)</t>
        </is>
      </c>
      <c r="C75" s="88" t="inlineStr">
        <is>
          <t>Ligne 1 - Assemblage</t>
        </is>
      </c>
      <c r="D75" s="88" t="inlineStr">
        <is>
          <t>Ligne 1</t>
        </is>
      </c>
      <c r="E75" s="96" t="n">
        <v>0.4381944444444444</v>
      </c>
      <c r="F75" s="96" t="n">
        <v>0.4479166666666667</v>
      </c>
      <c r="G75" s="92">
        <f>IF(OR($E75="",$F75=""),"",ROUND(($F75-$E75+IF($F75&lt;$E75,1,0))*1440,0))</f>
        <v/>
      </c>
      <c r="H75" s="88" t="inlineStr">
        <is>
          <t>PER-02</t>
        </is>
      </c>
      <c r="I75" s="94">
        <f>IF($H75="","",IFERROR(INDEX(PARAMETRES!$S$7:$S$46,MATCH($H75,PARAMETRES!$R$7:$R$46,0)),"Code inconnu"))</f>
        <v/>
      </c>
      <c r="J75" s="94">
        <f>IF($H75="","",IFERROR(INDEX(PARAMETRES!$T$7:$T$46,MATCH($H75,PARAMETRES!$R$7:$R$46,0)),""))</f>
        <v/>
      </c>
      <c r="K75" s="94">
        <f>IF($H75="","",IFERROR(INDEX(PARAMETRES!$U$7:$U$46,MATCH($H75,PARAMETRES!$R$7:$R$46,0)),""))</f>
        <v/>
      </c>
      <c r="L75" s="94">
        <f>IF($H75="","",IFERROR(INDEX(PARAMETRES!$V$7:$V$46,MATCH($H75,PARAMETRES!$R$7:$R$46,0)),""))</f>
        <v/>
      </c>
      <c r="M75" s="88" t="n"/>
      <c r="N75" s="88" t="n"/>
      <c r="O75" s="88" t="n"/>
      <c r="P75" s="94">
        <f>IF($G75="","",IF($G75&gt;=60,"Arrêt majeur — analyse 5 pourquoi",IF($G75&gt;=30,"À analyser en revue quotidienne",IF($K75="Planifié","Arrêt planifié","Aléa courant"))))</f>
        <v/>
      </c>
      <c r="Q75" s="95">
        <f>IF($A75="",0,IF(AND(OR(COCKPIT!$H$4="Toutes",$C75=COCKPIT!$H$4),OR(COCKPIT!$K$4="Toutes",$B75=COCKPIT!$K$4)),1,0))</f>
        <v/>
      </c>
    </row>
    <row r="76" ht="15" customHeight="1">
      <c r="A76" s="87" t="n">
        <v>46035</v>
      </c>
      <c r="B76" s="88" t="inlineStr">
        <is>
          <t>Équipe B (après-midi)</t>
        </is>
      </c>
      <c r="C76" s="88" t="inlineStr">
        <is>
          <t>Ligne 1 - Assemblage</t>
        </is>
      </c>
      <c r="D76" s="88" t="inlineStr">
        <is>
          <t>Ligne 1</t>
        </is>
      </c>
      <c r="E76" s="96" t="n">
        <v>0.4666666666666667</v>
      </c>
      <c r="F76" s="96" t="n">
        <v>0.4736111111111111</v>
      </c>
      <c r="G76" s="92">
        <f>IF(OR($E76="",$F76=""),"",ROUND(($F76-$E76+IF($F76&lt;$E76,1,0))*1440,0))</f>
        <v/>
      </c>
      <c r="H76" s="88" t="inlineStr">
        <is>
          <t>ESS-01</t>
        </is>
      </c>
      <c r="I76" s="94">
        <f>IF($H76="","",IFERROR(INDEX(PARAMETRES!$S$7:$S$46,MATCH($H76,PARAMETRES!$R$7:$R$46,0)),"Code inconnu"))</f>
        <v/>
      </c>
      <c r="J76" s="94">
        <f>IF($H76="","",IFERROR(INDEX(PARAMETRES!$T$7:$T$46,MATCH($H76,PARAMETRES!$R$7:$R$46,0)),""))</f>
        <v/>
      </c>
      <c r="K76" s="94">
        <f>IF($H76="","",IFERROR(INDEX(PARAMETRES!$U$7:$U$46,MATCH($H76,PARAMETRES!$R$7:$R$46,0)),""))</f>
        <v/>
      </c>
      <c r="L76" s="94">
        <f>IF($H76="","",IFERROR(INDEX(PARAMETRES!$V$7:$V$46,MATCH($H76,PARAMETRES!$R$7:$R$46,0)),""))</f>
        <v/>
      </c>
      <c r="M76" s="88" t="n"/>
      <c r="N76" s="88" t="n"/>
      <c r="O76" s="88" t="n"/>
      <c r="P76" s="94">
        <f>IF($G76="","",IF($G76&gt;=60,"Arrêt majeur — analyse 5 pourquoi",IF($G76&gt;=30,"À analyser en revue quotidienne",IF($K76="Planifié","Arrêt planifié","Aléa courant"))))</f>
        <v/>
      </c>
      <c r="Q76" s="95">
        <f>IF($A76="",0,IF(AND(OR(COCKPIT!$H$4="Toutes",$C76=COCKPIT!$H$4),OR(COCKPIT!$K$4="Toutes",$B76=COCKPIT!$K$4)),1,0))</f>
        <v/>
      </c>
    </row>
    <row r="77" ht="15" customHeight="1">
      <c r="A77" s="87" t="n">
        <v>46035</v>
      </c>
      <c r="B77" s="88" t="inlineStr">
        <is>
          <t>Équipe A (matin)</t>
        </is>
      </c>
      <c r="C77" s="88" t="inlineStr">
        <is>
          <t>Ligne 2 - Usinage</t>
        </is>
      </c>
      <c r="D77" s="88" t="inlineStr">
        <is>
          <t>Ligne 2</t>
        </is>
      </c>
      <c r="E77" s="96" t="n">
        <v>0.275</v>
      </c>
      <c r="F77" s="96" t="n">
        <v>0.3027777777777778</v>
      </c>
      <c r="G77" s="92">
        <f>IF(OR($E77="",$F77=""),"",ROUND(($F77-$E77+IF($F77&lt;$E77,1,0))*1440,0))</f>
        <v/>
      </c>
      <c r="H77" s="88" t="inlineStr">
        <is>
          <t>PLA-01</t>
        </is>
      </c>
      <c r="I77" s="94">
        <f>IF($H77="","",IFERROR(INDEX(PARAMETRES!$S$7:$S$46,MATCH($H77,PARAMETRES!$R$7:$R$46,0)),"Code inconnu"))</f>
        <v/>
      </c>
      <c r="J77" s="94">
        <f>IF($H77="","",IFERROR(INDEX(PARAMETRES!$T$7:$T$46,MATCH($H77,PARAMETRES!$R$7:$R$46,0)),""))</f>
        <v/>
      </c>
      <c r="K77" s="94">
        <f>IF($H77="","",IFERROR(INDEX(PARAMETRES!$U$7:$U$46,MATCH($H77,PARAMETRES!$R$7:$R$46,0)),""))</f>
        <v/>
      </c>
      <c r="L77" s="94">
        <f>IF($H77="","",IFERROR(INDEX(PARAMETRES!$V$7:$V$46,MATCH($H77,PARAMETRES!$R$7:$R$46,0)),""))</f>
        <v/>
      </c>
      <c r="M77" s="88" t="n"/>
      <c r="N77" s="88" t="n"/>
      <c r="O77" s="88" t="n"/>
      <c r="P77" s="94">
        <f>IF($G77="","",IF($G77&gt;=60,"Arrêt majeur — analyse 5 pourquoi",IF($G77&gt;=30,"À analyser en revue quotidienne",IF($K77="Planifié","Arrêt planifié","Aléa courant"))))</f>
        <v/>
      </c>
      <c r="Q77" s="95">
        <f>IF($A77="",0,IF(AND(OR(COCKPIT!$H$4="Toutes",$C77=COCKPIT!$H$4),OR(COCKPIT!$K$4="Toutes",$B77=COCKPIT!$K$4)),1,0))</f>
        <v/>
      </c>
    </row>
    <row r="78" ht="15" customHeight="1">
      <c r="A78" s="87" t="n">
        <v>46035</v>
      </c>
      <c r="B78" s="88" t="inlineStr">
        <is>
          <t>Équipe A (matin)</t>
        </is>
      </c>
      <c r="C78" s="88" t="inlineStr">
        <is>
          <t>Ligne 2 - Usinage</t>
        </is>
      </c>
      <c r="D78" s="88" t="inlineStr">
        <is>
          <t>Ligne 2</t>
        </is>
      </c>
      <c r="E78" s="96" t="n">
        <v>0.3173611111111111</v>
      </c>
      <c r="F78" s="96" t="n">
        <v>0.3590277777777778</v>
      </c>
      <c r="G78" s="92">
        <f>IF(OR($E78="",$F78=""),"",ROUND(($F78-$E78+IF($F78&lt;$E78,1,0))*1440,0))</f>
        <v/>
      </c>
      <c r="H78" s="88" t="inlineStr">
        <is>
          <t>PLA-02</t>
        </is>
      </c>
      <c r="I78" s="94">
        <f>IF($H78="","",IFERROR(INDEX(PARAMETRES!$S$7:$S$46,MATCH($H78,PARAMETRES!$R$7:$R$46,0)),"Code inconnu"))</f>
        <v/>
      </c>
      <c r="J78" s="94">
        <f>IF($H78="","",IFERROR(INDEX(PARAMETRES!$T$7:$T$46,MATCH($H78,PARAMETRES!$R$7:$R$46,0)),""))</f>
        <v/>
      </c>
      <c r="K78" s="94">
        <f>IF($H78="","",IFERROR(INDEX(PARAMETRES!$U$7:$U$46,MATCH($H78,PARAMETRES!$R$7:$R$46,0)),""))</f>
        <v/>
      </c>
      <c r="L78" s="94">
        <f>IF($H78="","",IFERROR(INDEX(PARAMETRES!$V$7:$V$46,MATCH($H78,PARAMETRES!$R$7:$R$46,0)),""))</f>
        <v/>
      </c>
      <c r="M78" s="88" t="n"/>
      <c r="N78" s="88" t="n"/>
      <c r="O78" s="88" t="n"/>
      <c r="P78" s="94">
        <f>IF($G78="","",IF($G78&gt;=60,"Arrêt majeur — analyse 5 pourquoi",IF($G78&gt;=30,"À analyser en revue quotidienne",IF($K78="Planifié","Arrêt planifié","Aléa courant"))))</f>
        <v/>
      </c>
      <c r="Q78" s="95">
        <f>IF($A78="",0,IF(AND(OR(COCKPIT!$H$4="Toutes",$C78=COCKPIT!$H$4),OR(COCKPIT!$K$4="Toutes",$B78=COCKPIT!$K$4)),1,0))</f>
        <v/>
      </c>
    </row>
    <row r="79" ht="15" customHeight="1">
      <c r="A79" s="87" t="n">
        <v>46035</v>
      </c>
      <c r="B79" s="88" t="inlineStr">
        <is>
          <t>Équipe A (matin)</t>
        </is>
      </c>
      <c r="C79" s="88" t="inlineStr">
        <is>
          <t>Ligne 2 - Usinage</t>
        </is>
      </c>
      <c r="D79" s="88" t="inlineStr">
        <is>
          <t>Ligne 2</t>
        </is>
      </c>
      <c r="E79" s="96" t="n">
        <v>0.3770833333333333</v>
      </c>
      <c r="F79" s="96" t="n">
        <v>0.3861111111111111</v>
      </c>
      <c r="G79" s="92">
        <f>IF(OR($E79="",$F79=""),"",ROUND(($F79-$E79+IF($F79&lt;$E79,1,0))*1440,0))</f>
        <v/>
      </c>
      <c r="H79" s="88" t="inlineStr">
        <is>
          <t>LOG-02</t>
        </is>
      </c>
      <c r="I79" s="94">
        <f>IF($H79="","",IFERROR(INDEX(PARAMETRES!$S$7:$S$46,MATCH($H79,PARAMETRES!$R$7:$R$46,0)),"Code inconnu"))</f>
        <v/>
      </c>
      <c r="J79" s="94">
        <f>IF($H79="","",IFERROR(INDEX(PARAMETRES!$T$7:$T$46,MATCH($H79,PARAMETRES!$R$7:$R$46,0)),""))</f>
        <v/>
      </c>
      <c r="K79" s="94">
        <f>IF($H79="","",IFERROR(INDEX(PARAMETRES!$U$7:$U$46,MATCH($H79,PARAMETRES!$R$7:$R$46,0)),""))</f>
        <v/>
      </c>
      <c r="L79" s="94">
        <f>IF($H79="","",IFERROR(INDEX(PARAMETRES!$V$7:$V$46,MATCH($H79,PARAMETRES!$R$7:$R$46,0)),""))</f>
        <v/>
      </c>
      <c r="M79" s="88" t="n"/>
      <c r="N79" s="88" t="n"/>
      <c r="O79" s="88" t="n"/>
      <c r="P79" s="94">
        <f>IF($G79="","",IF($G79&gt;=60,"Arrêt majeur — analyse 5 pourquoi",IF($G79&gt;=30,"À analyser en revue quotidienne",IF($K79="Planifié","Arrêt planifié","Aléa courant"))))</f>
        <v/>
      </c>
      <c r="Q79" s="95">
        <f>IF($A79="",0,IF(AND(OR(COCKPIT!$H$4="Toutes",$C79=COCKPIT!$H$4),OR(COCKPIT!$K$4="Toutes",$B79=COCKPIT!$K$4)),1,0))</f>
        <v/>
      </c>
    </row>
    <row r="80" ht="15" customHeight="1">
      <c r="A80" s="87" t="n">
        <v>46035</v>
      </c>
      <c r="B80" s="88" t="inlineStr">
        <is>
          <t>Équipe A (matin)</t>
        </is>
      </c>
      <c r="C80" s="88" t="inlineStr">
        <is>
          <t>Ligne 2 - Usinage</t>
        </is>
      </c>
      <c r="D80" s="88" t="inlineStr">
        <is>
          <t>Ligne 2</t>
        </is>
      </c>
      <c r="E80" s="96" t="n">
        <v>0.4048611111111111</v>
      </c>
      <c r="F80" s="96" t="n">
        <v>0.4645833333333333</v>
      </c>
      <c r="G80" s="92">
        <f>IF(OR($E80="",$F80=""),"",ROUND(($F80-$E80+IF($F80&lt;$E80,1,0))*1440,0))</f>
        <v/>
      </c>
      <c r="H80" s="88" t="inlineStr">
        <is>
          <t>PAN-02</t>
        </is>
      </c>
      <c r="I80" s="94">
        <f>IF($H80="","",IFERROR(INDEX(PARAMETRES!$S$7:$S$46,MATCH($H80,PARAMETRES!$R$7:$R$46,0)),"Code inconnu"))</f>
        <v/>
      </c>
      <c r="J80" s="94">
        <f>IF($H80="","",IFERROR(INDEX(PARAMETRES!$T$7:$T$46,MATCH($H80,PARAMETRES!$R$7:$R$46,0)),""))</f>
        <v/>
      </c>
      <c r="K80" s="94">
        <f>IF($H80="","",IFERROR(INDEX(PARAMETRES!$U$7:$U$46,MATCH($H80,PARAMETRES!$R$7:$R$46,0)),""))</f>
        <v/>
      </c>
      <c r="L80" s="94">
        <f>IF($H80="","",IFERROR(INDEX(PARAMETRES!$V$7:$V$46,MATCH($H80,PARAMETRES!$R$7:$R$46,0)),""))</f>
        <v/>
      </c>
      <c r="M80" s="88" t="n"/>
      <c r="N80" s="88" t="n"/>
      <c r="O80" s="88" t="n"/>
      <c r="P80" s="94">
        <f>IF($G80="","",IF($G80&gt;=60,"Arrêt majeur — analyse 5 pourquoi",IF($G80&gt;=30,"À analyser en revue quotidienne",IF($K80="Planifié","Arrêt planifié","Aléa courant"))))</f>
        <v/>
      </c>
      <c r="Q80" s="95">
        <f>IF($A80="",0,IF(AND(OR(COCKPIT!$H$4="Toutes",$C80=COCKPIT!$H$4),OR(COCKPIT!$K$4="Toutes",$B80=COCKPIT!$K$4)),1,0))</f>
        <v/>
      </c>
    </row>
    <row r="81" ht="15" customHeight="1">
      <c r="A81" s="87" t="n">
        <v>46035</v>
      </c>
      <c r="B81" s="88" t="inlineStr">
        <is>
          <t>Équipe A (matin)</t>
        </is>
      </c>
      <c r="C81" s="88" t="inlineStr">
        <is>
          <t>Ligne 2 - Usinage</t>
        </is>
      </c>
      <c r="D81" s="88" t="inlineStr">
        <is>
          <t>Ligne 2</t>
        </is>
      </c>
      <c r="E81" s="96" t="n">
        <v>0.4819444444444445</v>
      </c>
      <c r="F81" s="96" t="n">
        <v>0.4993055555555556</v>
      </c>
      <c r="G81" s="92">
        <f>IF(OR($E81="",$F81=""),"",ROUND(($F81-$E81+IF($F81&lt;$E81,1,0))*1440,0))</f>
        <v/>
      </c>
      <c r="H81" s="88" t="inlineStr">
        <is>
          <t>CDS-02</t>
        </is>
      </c>
      <c r="I81" s="94">
        <f>IF($H81="","",IFERROR(INDEX(PARAMETRES!$S$7:$S$46,MATCH($H81,PARAMETRES!$R$7:$R$46,0)),"Code inconnu"))</f>
        <v/>
      </c>
      <c r="J81" s="94">
        <f>IF($H81="","",IFERROR(INDEX(PARAMETRES!$T$7:$T$46,MATCH($H81,PARAMETRES!$R$7:$R$46,0)),""))</f>
        <v/>
      </c>
      <c r="K81" s="94">
        <f>IF($H81="","",IFERROR(INDEX(PARAMETRES!$U$7:$U$46,MATCH($H81,PARAMETRES!$R$7:$R$46,0)),""))</f>
        <v/>
      </c>
      <c r="L81" s="94">
        <f>IF($H81="","",IFERROR(INDEX(PARAMETRES!$V$7:$V$46,MATCH($H81,PARAMETRES!$R$7:$R$46,0)),""))</f>
        <v/>
      </c>
      <c r="M81" s="88" t="n"/>
      <c r="N81" s="88" t="n"/>
      <c r="O81" s="88" t="n"/>
      <c r="P81" s="94">
        <f>IF($G81="","",IF($G81&gt;=60,"Arrêt majeur — analyse 5 pourquoi",IF($G81&gt;=30,"À analyser en revue quotidienne",IF($K81="Planifié","Arrêt planifié","Aléa courant"))))</f>
        <v/>
      </c>
      <c r="Q81" s="95">
        <f>IF($A81="",0,IF(AND(OR(COCKPIT!$H$4="Toutes",$C81=COCKPIT!$H$4),OR(COCKPIT!$K$4="Toutes",$B81=COCKPIT!$K$4)),1,0))</f>
        <v/>
      </c>
    </row>
    <row r="82" ht="15" customHeight="1">
      <c r="A82" s="87" t="n">
        <v>46035</v>
      </c>
      <c r="B82" s="88" t="inlineStr">
        <is>
          <t>Équipe A (matin)</t>
        </is>
      </c>
      <c r="C82" s="88" t="inlineStr">
        <is>
          <t>Ligne 2 - Usinage</t>
        </is>
      </c>
      <c r="D82" s="88" t="inlineStr">
        <is>
          <t>Ligne 2</t>
        </is>
      </c>
      <c r="E82" s="96" t="n">
        <v>0.5243055555555556</v>
      </c>
      <c r="F82" s="96" t="n">
        <v>0.5354166666666667</v>
      </c>
      <c r="G82" s="92">
        <f>IF(OR($E82="",$F82=""),"",ROUND(($F82-$E82+IF($F82&lt;$E82,1,0))*1440,0))</f>
        <v/>
      </c>
      <c r="H82" s="88" t="inlineStr">
        <is>
          <t>MAT-01</t>
        </is>
      </c>
      <c r="I82" s="94">
        <f>IF($H82="","",IFERROR(INDEX(PARAMETRES!$S$7:$S$46,MATCH($H82,PARAMETRES!$R$7:$R$46,0)),"Code inconnu"))</f>
        <v/>
      </c>
      <c r="J82" s="94">
        <f>IF($H82="","",IFERROR(INDEX(PARAMETRES!$T$7:$T$46,MATCH($H82,PARAMETRES!$R$7:$R$46,0)),""))</f>
        <v/>
      </c>
      <c r="K82" s="94">
        <f>IF($H82="","",IFERROR(INDEX(PARAMETRES!$U$7:$U$46,MATCH($H82,PARAMETRES!$R$7:$R$46,0)),""))</f>
        <v/>
      </c>
      <c r="L82" s="94">
        <f>IF($H82="","",IFERROR(INDEX(PARAMETRES!$V$7:$V$46,MATCH($H82,PARAMETRES!$R$7:$R$46,0)),""))</f>
        <v/>
      </c>
      <c r="M82" s="88" t="n"/>
      <c r="N82" s="88" t="n"/>
      <c r="O82" s="88" t="n"/>
      <c r="P82" s="94">
        <f>IF($G82="","",IF($G82&gt;=60,"Arrêt majeur — analyse 5 pourquoi",IF($G82&gt;=30,"À analyser en revue quotidienne",IF($K82="Planifié","Arrêt planifié","Aléa courant"))))</f>
        <v/>
      </c>
      <c r="Q82" s="95">
        <f>IF($A82="",0,IF(AND(OR(COCKPIT!$H$4="Toutes",$C82=COCKPIT!$H$4),OR(COCKPIT!$K$4="Toutes",$B82=COCKPIT!$K$4)),1,0))</f>
        <v/>
      </c>
    </row>
    <row r="83" ht="15" customHeight="1">
      <c r="A83" s="87" t="n">
        <v>46036</v>
      </c>
      <c r="B83" s="88" t="inlineStr">
        <is>
          <t>Équipe A (matin)</t>
        </is>
      </c>
      <c r="C83" s="88" t="inlineStr">
        <is>
          <t>Ligne 1 - Assemblage</t>
        </is>
      </c>
      <c r="D83" s="88" t="inlineStr">
        <is>
          <t>Ligne 1</t>
        </is>
      </c>
      <c r="E83" s="96" t="n">
        <v>0.2923611111111111</v>
      </c>
      <c r="F83" s="96" t="n">
        <v>0.3201388888888889</v>
      </c>
      <c r="G83" s="92">
        <f>IF(OR($E83="",$F83=""),"",ROUND(($F83-$E83+IF($F83&lt;$E83,1,0))*1440,0))</f>
        <v/>
      </c>
      <c r="H83" s="88" t="inlineStr">
        <is>
          <t>PLA-01</t>
        </is>
      </c>
      <c r="I83" s="94">
        <f>IF($H83="","",IFERROR(INDEX(PARAMETRES!$S$7:$S$46,MATCH($H83,PARAMETRES!$R$7:$R$46,0)),"Code inconnu"))</f>
        <v/>
      </c>
      <c r="J83" s="94">
        <f>IF($H83="","",IFERROR(INDEX(PARAMETRES!$T$7:$T$46,MATCH($H83,PARAMETRES!$R$7:$R$46,0)),""))</f>
        <v/>
      </c>
      <c r="K83" s="94">
        <f>IF($H83="","",IFERROR(INDEX(PARAMETRES!$U$7:$U$46,MATCH($H83,PARAMETRES!$R$7:$R$46,0)),""))</f>
        <v/>
      </c>
      <c r="L83" s="94">
        <f>IF($H83="","",IFERROR(INDEX(PARAMETRES!$V$7:$V$46,MATCH($H83,PARAMETRES!$R$7:$R$46,0)),""))</f>
        <v/>
      </c>
      <c r="M83" s="88" t="n"/>
      <c r="N83" s="88" t="n"/>
      <c r="O83" s="88" t="n"/>
      <c r="P83" s="94">
        <f>IF($G83="","",IF($G83&gt;=60,"Arrêt majeur — analyse 5 pourquoi",IF($G83&gt;=30,"À analyser en revue quotidienne",IF($K83="Planifié","Arrêt planifié","Aléa courant"))))</f>
        <v/>
      </c>
      <c r="Q83" s="95">
        <f>IF($A83="",0,IF(AND(OR(COCKPIT!$H$4="Toutes",$C83=COCKPIT!$H$4),OR(COCKPIT!$K$4="Toutes",$B83=COCKPIT!$K$4)),1,0))</f>
        <v/>
      </c>
    </row>
    <row r="84" ht="15" customHeight="1">
      <c r="A84" s="87" t="n">
        <v>46036</v>
      </c>
      <c r="B84" s="88" t="inlineStr">
        <is>
          <t>Équipe A (matin)</t>
        </is>
      </c>
      <c r="C84" s="88" t="inlineStr">
        <is>
          <t>Ligne 1 - Assemblage</t>
        </is>
      </c>
      <c r="D84" s="88" t="inlineStr">
        <is>
          <t>Ligne 1</t>
        </is>
      </c>
      <c r="E84" s="96" t="n">
        <v>0.3451388888888889</v>
      </c>
      <c r="F84" s="96" t="n">
        <v>0.3652777777777778</v>
      </c>
      <c r="G84" s="92">
        <f>IF(OR($E84="",$F84=""),"",ROUND(($F84-$E84+IF($F84&lt;$E84,1,0))*1440,0))</f>
        <v/>
      </c>
      <c r="H84" s="88" t="inlineStr">
        <is>
          <t>PAN-01</t>
        </is>
      </c>
      <c r="I84" s="94">
        <f>IF($H84="","",IFERROR(INDEX(PARAMETRES!$S$7:$S$46,MATCH($H84,PARAMETRES!$R$7:$R$46,0)),"Code inconnu"))</f>
        <v/>
      </c>
      <c r="J84" s="94">
        <f>IF($H84="","",IFERROR(INDEX(PARAMETRES!$T$7:$T$46,MATCH($H84,PARAMETRES!$R$7:$R$46,0)),""))</f>
        <v/>
      </c>
      <c r="K84" s="94">
        <f>IF($H84="","",IFERROR(INDEX(PARAMETRES!$U$7:$U$46,MATCH($H84,PARAMETRES!$R$7:$R$46,0)),""))</f>
        <v/>
      </c>
      <c r="L84" s="94">
        <f>IF($H84="","",IFERROR(INDEX(PARAMETRES!$V$7:$V$46,MATCH($H84,PARAMETRES!$R$7:$R$46,0)),""))</f>
        <v/>
      </c>
      <c r="M84" s="88" t="n"/>
      <c r="N84" s="88" t="n"/>
      <c r="O84" s="88" t="n"/>
      <c r="P84" s="94">
        <f>IF($G84="","",IF($G84&gt;=60,"Arrêt majeur — analyse 5 pourquoi",IF($G84&gt;=30,"À analyser en revue quotidienne",IF($K84="Planifié","Arrêt planifié","Aléa courant"))))</f>
        <v/>
      </c>
      <c r="Q84" s="95">
        <f>IF($A84="",0,IF(AND(OR(COCKPIT!$H$4="Toutes",$C84=COCKPIT!$H$4),OR(COCKPIT!$K$4="Toutes",$B84=COCKPIT!$K$4)),1,0))</f>
        <v/>
      </c>
    </row>
    <row r="85" ht="15" customHeight="1">
      <c r="A85" s="87" t="n">
        <v>46036</v>
      </c>
      <c r="B85" s="88" t="inlineStr">
        <is>
          <t>Équipe A (matin)</t>
        </is>
      </c>
      <c r="C85" s="88" t="inlineStr">
        <is>
          <t>Ligne 1 - Assemblage</t>
        </is>
      </c>
      <c r="D85" s="88" t="inlineStr">
        <is>
          <t>Ligne 1</t>
        </is>
      </c>
      <c r="E85" s="96" t="n">
        <v>0.3833333333333334</v>
      </c>
      <c r="F85" s="96" t="n">
        <v>0.4027777777777778</v>
      </c>
      <c r="G85" s="92">
        <f>IF(OR($E85="",$F85=""),"",ROUND(($F85-$E85+IF($F85&lt;$E85,1,0))*1440,0))</f>
        <v/>
      </c>
      <c r="H85" s="88" t="inlineStr">
        <is>
          <t>CDS-01</t>
        </is>
      </c>
      <c r="I85" s="94">
        <f>IF($H85="","",IFERROR(INDEX(PARAMETRES!$S$7:$S$46,MATCH($H85,PARAMETRES!$R$7:$R$46,0)),"Code inconnu"))</f>
        <v/>
      </c>
      <c r="J85" s="94">
        <f>IF($H85="","",IFERROR(INDEX(PARAMETRES!$T$7:$T$46,MATCH($H85,PARAMETRES!$R$7:$R$46,0)),""))</f>
        <v/>
      </c>
      <c r="K85" s="94">
        <f>IF($H85="","",IFERROR(INDEX(PARAMETRES!$U$7:$U$46,MATCH($H85,PARAMETRES!$R$7:$R$46,0)),""))</f>
        <v/>
      </c>
      <c r="L85" s="94">
        <f>IF($H85="","",IFERROR(INDEX(PARAMETRES!$V$7:$V$46,MATCH($H85,PARAMETRES!$R$7:$R$46,0)),""))</f>
        <v/>
      </c>
      <c r="M85" s="88" t="n"/>
      <c r="N85" s="88" t="n"/>
      <c r="O85" s="88" t="n"/>
      <c r="P85" s="94">
        <f>IF($G85="","",IF($G85&gt;=60,"Arrêt majeur — analyse 5 pourquoi",IF($G85&gt;=30,"À analyser en revue quotidienne",IF($K85="Planifié","Arrêt planifié","Aléa courant"))))</f>
        <v/>
      </c>
      <c r="Q85" s="95">
        <f>IF($A85="",0,IF(AND(OR(COCKPIT!$H$4="Toutes",$C85=COCKPIT!$H$4),OR(COCKPIT!$K$4="Toutes",$B85=COCKPIT!$K$4)),1,0))</f>
        <v/>
      </c>
    </row>
    <row r="86" ht="15" customHeight="1">
      <c r="A86" s="87" t="n">
        <v>46036</v>
      </c>
      <c r="B86" s="88" t="inlineStr">
        <is>
          <t>Équipe B (après-midi)</t>
        </is>
      </c>
      <c r="C86" s="88" t="inlineStr">
        <is>
          <t>Ligne 2 - Usinage</t>
        </is>
      </c>
      <c r="D86" s="88" t="inlineStr">
        <is>
          <t>Ligne 2</t>
        </is>
      </c>
      <c r="E86" s="96" t="n">
        <v>0.2930555555555556</v>
      </c>
      <c r="F86" s="96" t="n">
        <v>0.3208333333333334</v>
      </c>
      <c r="G86" s="92">
        <f>IF(OR($E86="",$F86=""),"",ROUND(($F86-$E86+IF($F86&lt;$E86,1,0))*1440,0))</f>
        <v/>
      </c>
      <c r="H86" s="88" t="inlineStr">
        <is>
          <t>PLA-01</t>
        </is>
      </c>
      <c r="I86" s="94">
        <f>IF($H86="","",IFERROR(INDEX(PARAMETRES!$S$7:$S$46,MATCH($H86,PARAMETRES!$R$7:$R$46,0)),"Code inconnu"))</f>
        <v/>
      </c>
      <c r="J86" s="94">
        <f>IF($H86="","",IFERROR(INDEX(PARAMETRES!$T$7:$T$46,MATCH($H86,PARAMETRES!$R$7:$R$46,0)),""))</f>
        <v/>
      </c>
      <c r="K86" s="94">
        <f>IF($H86="","",IFERROR(INDEX(PARAMETRES!$U$7:$U$46,MATCH($H86,PARAMETRES!$R$7:$R$46,0)),""))</f>
        <v/>
      </c>
      <c r="L86" s="94">
        <f>IF($H86="","",IFERROR(INDEX(PARAMETRES!$V$7:$V$46,MATCH($H86,PARAMETRES!$R$7:$R$46,0)),""))</f>
        <v/>
      </c>
      <c r="M86" s="88" t="n"/>
      <c r="N86" s="88" t="n"/>
      <c r="O86" s="88" t="n"/>
      <c r="P86" s="94">
        <f>IF($G86="","",IF($G86&gt;=60,"Arrêt majeur — analyse 5 pourquoi",IF($G86&gt;=30,"À analyser en revue quotidienne",IF($K86="Planifié","Arrêt planifié","Aléa courant"))))</f>
        <v/>
      </c>
      <c r="Q86" s="95">
        <f>IF($A86="",0,IF(AND(OR(COCKPIT!$H$4="Toutes",$C86=COCKPIT!$H$4),OR(COCKPIT!$K$4="Toutes",$B86=COCKPIT!$K$4)),1,0))</f>
        <v/>
      </c>
    </row>
    <row r="87" ht="15" customHeight="1">
      <c r="A87" s="87" t="n">
        <v>46036</v>
      </c>
      <c r="B87" s="88" t="inlineStr">
        <is>
          <t>Équipe B (après-midi)</t>
        </is>
      </c>
      <c r="C87" s="88" t="inlineStr">
        <is>
          <t>Ligne 2 - Usinage</t>
        </is>
      </c>
      <c r="D87" s="88" t="inlineStr">
        <is>
          <t>Ligne 2</t>
        </is>
      </c>
      <c r="E87" s="96" t="n">
        <v>0.3409722222222222</v>
      </c>
      <c r="F87" s="96" t="n">
        <v>0.3506944444444444</v>
      </c>
      <c r="G87" s="92">
        <f>IF(OR($E87="",$F87=""),"",ROUND(($F87-$E87+IF($F87&lt;$E87,1,0))*1440,0))</f>
        <v/>
      </c>
      <c r="H87" s="88" t="inlineStr">
        <is>
          <t>REG-01</t>
        </is>
      </c>
      <c r="I87" s="94">
        <f>IF($H87="","",IFERROR(INDEX(PARAMETRES!$S$7:$S$46,MATCH($H87,PARAMETRES!$R$7:$R$46,0)),"Code inconnu"))</f>
        <v/>
      </c>
      <c r="J87" s="94">
        <f>IF($H87="","",IFERROR(INDEX(PARAMETRES!$T$7:$T$46,MATCH($H87,PARAMETRES!$R$7:$R$46,0)),""))</f>
        <v/>
      </c>
      <c r="K87" s="94">
        <f>IF($H87="","",IFERROR(INDEX(PARAMETRES!$U$7:$U$46,MATCH($H87,PARAMETRES!$R$7:$R$46,0)),""))</f>
        <v/>
      </c>
      <c r="L87" s="94">
        <f>IF($H87="","",IFERROR(INDEX(PARAMETRES!$V$7:$V$46,MATCH($H87,PARAMETRES!$R$7:$R$46,0)),""))</f>
        <v/>
      </c>
      <c r="M87" s="88" t="n"/>
      <c r="N87" s="88" t="n"/>
      <c r="O87" s="88" t="n"/>
      <c r="P87" s="94">
        <f>IF($G87="","",IF($G87&gt;=60,"Arrêt majeur — analyse 5 pourquoi",IF($G87&gt;=30,"À analyser en revue quotidienne",IF($K87="Planifié","Arrêt planifié","Aléa courant"))))</f>
        <v/>
      </c>
      <c r="Q87" s="95">
        <f>IF($A87="",0,IF(AND(OR(COCKPIT!$H$4="Toutes",$C87=COCKPIT!$H$4),OR(COCKPIT!$K$4="Toutes",$B87=COCKPIT!$K$4)),1,0))</f>
        <v/>
      </c>
    </row>
    <row r="88" ht="15" customHeight="1">
      <c r="A88" s="87" t="n">
        <v>46036</v>
      </c>
      <c r="B88" s="88" t="inlineStr">
        <is>
          <t>Équipe B (après-midi)</t>
        </is>
      </c>
      <c r="C88" s="88" t="inlineStr">
        <is>
          <t>Ligne 2 - Usinage</t>
        </is>
      </c>
      <c r="D88" s="88" t="inlineStr">
        <is>
          <t>Ligne 2</t>
        </is>
      </c>
      <c r="E88" s="96" t="n">
        <v>0.3722222222222222</v>
      </c>
      <c r="F88" s="96" t="n">
        <v>0.3916666666666667</v>
      </c>
      <c r="G88" s="92">
        <f>IF(OR($E88="",$F88=""),"",ROUND(($F88-$E88+IF($F88&lt;$E88,1,0))*1440,0))</f>
        <v/>
      </c>
      <c r="H88" s="88" t="inlineStr">
        <is>
          <t>MAT-02</t>
        </is>
      </c>
      <c r="I88" s="94">
        <f>IF($H88="","",IFERROR(INDEX(PARAMETRES!$S$7:$S$46,MATCH($H88,PARAMETRES!$R$7:$R$46,0)),"Code inconnu"))</f>
        <v/>
      </c>
      <c r="J88" s="94">
        <f>IF($H88="","",IFERROR(INDEX(PARAMETRES!$T$7:$T$46,MATCH($H88,PARAMETRES!$R$7:$R$46,0)),""))</f>
        <v/>
      </c>
      <c r="K88" s="94">
        <f>IF($H88="","",IFERROR(INDEX(PARAMETRES!$U$7:$U$46,MATCH($H88,PARAMETRES!$R$7:$R$46,0)),""))</f>
        <v/>
      </c>
      <c r="L88" s="94">
        <f>IF($H88="","",IFERROR(INDEX(PARAMETRES!$V$7:$V$46,MATCH($H88,PARAMETRES!$R$7:$R$46,0)),""))</f>
        <v/>
      </c>
      <c r="M88" s="88" t="n"/>
      <c r="N88" s="88" t="n"/>
      <c r="O88" s="88" t="n"/>
      <c r="P88" s="94">
        <f>IF($G88="","",IF($G88&gt;=60,"Arrêt majeur — analyse 5 pourquoi",IF($G88&gt;=30,"À analyser en revue quotidienne",IF($K88="Planifié","Arrêt planifié","Aléa courant"))))</f>
        <v/>
      </c>
      <c r="Q88" s="95">
        <f>IF($A88="",0,IF(AND(OR(COCKPIT!$H$4="Toutes",$C88=COCKPIT!$H$4),OR(COCKPIT!$K$4="Toutes",$B88=COCKPIT!$K$4)),1,0))</f>
        <v/>
      </c>
    </row>
    <row r="89" ht="15" customHeight="1">
      <c r="A89" s="87" t="n">
        <v>46036</v>
      </c>
      <c r="B89" s="88" t="inlineStr">
        <is>
          <t>Équipe B (après-midi)</t>
        </is>
      </c>
      <c r="C89" s="88" t="inlineStr">
        <is>
          <t>Ligne 2 - Usinage</t>
        </is>
      </c>
      <c r="D89" s="88" t="inlineStr">
        <is>
          <t>Ligne 2</t>
        </is>
      </c>
      <c r="E89" s="96" t="n">
        <v>0.4208333333333333</v>
      </c>
      <c r="F89" s="96" t="n">
        <v>0.4333333333333333</v>
      </c>
      <c r="G89" s="92">
        <f>IF(OR($E89="",$F89=""),"",ROUND(($F89-$E89+IF($F89&lt;$E89,1,0))*1440,0))</f>
        <v/>
      </c>
      <c r="H89" s="88" t="inlineStr">
        <is>
          <t>LOG-01</t>
        </is>
      </c>
      <c r="I89" s="94">
        <f>IF($H89="","",IFERROR(INDEX(PARAMETRES!$S$7:$S$46,MATCH($H89,PARAMETRES!$R$7:$R$46,0)),"Code inconnu"))</f>
        <v/>
      </c>
      <c r="J89" s="94">
        <f>IF($H89="","",IFERROR(INDEX(PARAMETRES!$T$7:$T$46,MATCH($H89,PARAMETRES!$R$7:$R$46,0)),""))</f>
        <v/>
      </c>
      <c r="K89" s="94">
        <f>IF($H89="","",IFERROR(INDEX(PARAMETRES!$U$7:$U$46,MATCH($H89,PARAMETRES!$R$7:$R$46,0)),""))</f>
        <v/>
      </c>
      <c r="L89" s="94">
        <f>IF($H89="","",IFERROR(INDEX(PARAMETRES!$V$7:$V$46,MATCH($H89,PARAMETRES!$R$7:$R$46,0)),""))</f>
        <v/>
      </c>
      <c r="M89" s="88" t="n"/>
      <c r="N89" s="88" t="n"/>
      <c r="O89" s="88" t="n"/>
      <c r="P89" s="94">
        <f>IF($G89="","",IF($G89&gt;=60,"Arrêt majeur — analyse 5 pourquoi",IF($G89&gt;=30,"À analyser en revue quotidienne",IF($K89="Planifié","Arrêt planifié","Aléa courant"))))</f>
        <v/>
      </c>
      <c r="Q89" s="95">
        <f>IF($A89="",0,IF(AND(OR(COCKPIT!$H$4="Toutes",$C89=COCKPIT!$H$4),OR(COCKPIT!$K$4="Toutes",$B89=COCKPIT!$K$4)),1,0))</f>
        <v/>
      </c>
    </row>
    <row r="90" ht="15" customHeight="1">
      <c r="A90" s="87" t="n">
        <v>46037</v>
      </c>
      <c r="B90" s="88" t="inlineStr">
        <is>
          <t>Équipe B (après-midi)</t>
        </is>
      </c>
      <c r="C90" s="88" t="inlineStr">
        <is>
          <t>Ligne 1 - Assemblage</t>
        </is>
      </c>
      <c r="D90" s="88" t="inlineStr">
        <is>
          <t>Ligne 1</t>
        </is>
      </c>
      <c r="E90" s="96" t="n">
        <v>0.2951388888888889</v>
      </c>
      <c r="F90" s="96" t="n">
        <v>0.3229166666666667</v>
      </c>
      <c r="G90" s="92">
        <f>IF(OR($E90="",$F90=""),"",ROUND(($F90-$E90+IF($F90&lt;$E90,1,0))*1440,0))</f>
        <v/>
      </c>
      <c r="H90" s="88" t="inlineStr">
        <is>
          <t>PLA-01</t>
        </is>
      </c>
      <c r="I90" s="94">
        <f>IF($H90="","",IFERROR(INDEX(PARAMETRES!$S$7:$S$46,MATCH($H90,PARAMETRES!$R$7:$R$46,0)),"Code inconnu"))</f>
        <v/>
      </c>
      <c r="J90" s="94">
        <f>IF($H90="","",IFERROR(INDEX(PARAMETRES!$T$7:$T$46,MATCH($H90,PARAMETRES!$R$7:$R$46,0)),""))</f>
        <v/>
      </c>
      <c r="K90" s="94">
        <f>IF($H90="","",IFERROR(INDEX(PARAMETRES!$U$7:$U$46,MATCH($H90,PARAMETRES!$R$7:$R$46,0)),""))</f>
        <v/>
      </c>
      <c r="L90" s="94">
        <f>IF($H90="","",IFERROR(INDEX(PARAMETRES!$V$7:$V$46,MATCH($H90,PARAMETRES!$R$7:$R$46,0)),""))</f>
        <v/>
      </c>
      <c r="M90" s="88" t="n"/>
      <c r="N90" s="88" t="n"/>
      <c r="O90" s="88" t="n"/>
      <c r="P90" s="94">
        <f>IF($G90="","",IF($G90&gt;=60,"Arrêt majeur — analyse 5 pourquoi",IF($G90&gt;=30,"À analyser en revue quotidienne",IF($K90="Planifié","Arrêt planifié","Aléa courant"))))</f>
        <v/>
      </c>
      <c r="Q90" s="95">
        <f>IF($A90="",0,IF(AND(OR(COCKPIT!$H$4="Toutes",$C90=COCKPIT!$H$4),OR(COCKPIT!$K$4="Toutes",$B90=COCKPIT!$K$4)),1,0))</f>
        <v/>
      </c>
    </row>
    <row r="91" ht="15" customHeight="1">
      <c r="A91" s="87" t="n">
        <v>46037</v>
      </c>
      <c r="B91" s="88" t="inlineStr">
        <is>
          <t>Équipe B (après-midi)</t>
        </is>
      </c>
      <c r="C91" s="88" t="inlineStr">
        <is>
          <t>Ligne 1 - Assemblage</t>
        </is>
      </c>
      <c r="D91" s="88" t="inlineStr">
        <is>
          <t>Ligne 1</t>
        </is>
      </c>
      <c r="E91" s="96" t="n">
        <v>0.3305555555555555</v>
      </c>
      <c r="F91" s="96" t="n">
        <v>0.3465277777777778</v>
      </c>
      <c r="G91" s="92">
        <f>IF(OR($E91="",$F91=""),"",ROUND(($F91-$E91+IF($F91&lt;$E91,1,0))*1440,0))</f>
        <v/>
      </c>
      <c r="H91" s="88" t="inlineStr">
        <is>
          <t>MAT-01</t>
        </is>
      </c>
      <c r="I91" s="94">
        <f>IF($H91="","",IFERROR(INDEX(PARAMETRES!$S$7:$S$46,MATCH($H91,PARAMETRES!$R$7:$R$46,0)),"Code inconnu"))</f>
        <v/>
      </c>
      <c r="J91" s="94">
        <f>IF($H91="","",IFERROR(INDEX(PARAMETRES!$T$7:$T$46,MATCH($H91,PARAMETRES!$R$7:$R$46,0)),""))</f>
        <v/>
      </c>
      <c r="K91" s="94">
        <f>IF($H91="","",IFERROR(INDEX(PARAMETRES!$U$7:$U$46,MATCH($H91,PARAMETRES!$R$7:$R$46,0)),""))</f>
        <v/>
      </c>
      <c r="L91" s="94">
        <f>IF($H91="","",IFERROR(INDEX(PARAMETRES!$V$7:$V$46,MATCH($H91,PARAMETRES!$R$7:$R$46,0)),""))</f>
        <v/>
      </c>
      <c r="M91" s="88" t="n"/>
      <c r="N91" s="88" t="n"/>
      <c r="O91" s="88" t="n"/>
      <c r="P91" s="94">
        <f>IF($G91="","",IF($G91&gt;=60,"Arrêt majeur — analyse 5 pourquoi",IF($G91&gt;=30,"À analyser en revue quotidienne",IF($K91="Planifié","Arrêt planifié","Aléa courant"))))</f>
        <v/>
      </c>
      <c r="Q91" s="95">
        <f>IF($A91="",0,IF(AND(OR(COCKPIT!$H$4="Toutes",$C91=COCKPIT!$H$4),OR(COCKPIT!$K$4="Toutes",$B91=COCKPIT!$K$4)),1,0))</f>
        <v/>
      </c>
    </row>
    <row r="92" ht="15" customHeight="1">
      <c r="A92" s="87" t="n">
        <v>46037</v>
      </c>
      <c r="B92" s="88" t="inlineStr">
        <is>
          <t>Équipe B (après-midi)</t>
        </is>
      </c>
      <c r="C92" s="88" t="inlineStr">
        <is>
          <t>Ligne 1 - Assemblage</t>
        </is>
      </c>
      <c r="D92" s="88" t="inlineStr">
        <is>
          <t>Ligne 1</t>
        </is>
      </c>
      <c r="E92" s="96" t="n">
        <v>0.35625</v>
      </c>
      <c r="F92" s="96" t="n">
        <v>0.3694444444444445</v>
      </c>
      <c r="G92" s="92">
        <f>IF(OR($E92="",$F92=""),"",ROUND(($F92-$E92+IF($F92&lt;$E92,1,0))*1440,0))</f>
        <v/>
      </c>
      <c r="H92" s="88" t="inlineStr">
        <is>
          <t>PER-02</t>
        </is>
      </c>
      <c r="I92" s="94">
        <f>IF($H92="","",IFERROR(INDEX(PARAMETRES!$S$7:$S$46,MATCH($H92,PARAMETRES!$R$7:$R$46,0)),"Code inconnu"))</f>
        <v/>
      </c>
      <c r="J92" s="94">
        <f>IF($H92="","",IFERROR(INDEX(PARAMETRES!$T$7:$T$46,MATCH($H92,PARAMETRES!$R$7:$R$46,0)),""))</f>
        <v/>
      </c>
      <c r="K92" s="94">
        <f>IF($H92="","",IFERROR(INDEX(PARAMETRES!$U$7:$U$46,MATCH($H92,PARAMETRES!$R$7:$R$46,0)),""))</f>
        <v/>
      </c>
      <c r="L92" s="94">
        <f>IF($H92="","",IFERROR(INDEX(PARAMETRES!$V$7:$V$46,MATCH($H92,PARAMETRES!$R$7:$R$46,0)),""))</f>
        <v/>
      </c>
      <c r="M92" s="88" t="n"/>
      <c r="N92" s="88" t="n"/>
      <c r="O92" s="88" t="n"/>
      <c r="P92" s="94">
        <f>IF($G92="","",IF($G92&gt;=60,"Arrêt majeur — analyse 5 pourquoi",IF($G92&gt;=30,"À analyser en revue quotidienne",IF($K92="Planifié","Arrêt planifié","Aléa courant"))))</f>
        <v/>
      </c>
      <c r="Q92" s="95">
        <f>IF($A92="",0,IF(AND(OR(COCKPIT!$H$4="Toutes",$C92=COCKPIT!$H$4),OR(COCKPIT!$K$4="Toutes",$B92=COCKPIT!$K$4)),1,0))</f>
        <v/>
      </c>
    </row>
    <row r="93" ht="15" customHeight="1">
      <c r="A93" s="87" t="n">
        <v>46037</v>
      </c>
      <c r="B93" s="88" t="inlineStr">
        <is>
          <t>Équipe B (après-midi)</t>
        </is>
      </c>
      <c r="C93" s="88" t="inlineStr">
        <is>
          <t>Ligne 1 - Assemblage</t>
        </is>
      </c>
      <c r="D93" s="88" t="inlineStr">
        <is>
          <t>Ligne 1</t>
        </is>
      </c>
      <c r="E93" s="96" t="n">
        <v>0.3895833333333333</v>
      </c>
      <c r="F93" s="96" t="n">
        <v>0.4013888888888889</v>
      </c>
      <c r="G93" s="92">
        <f>IF(OR($E93="",$F93=""),"",ROUND(($F93-$E93+IF($F93&lt;$E93,1,0))*1440,0))</f>
        <v/>
      </c>
      <c r="H93" s="88" t="inlineStr">
        <is>
          <t>ESS-01</t>
        </is>
      </c>
      <c r="I93" s="94">
        <f>IF($H93="","",IFERROR(INDEX(PARAMETRES!$S$7:$S$46,MATCH($H93,PARAMETRES!$R$7:$R$46,0)),"Code inconnu"))</f>
        <v/>
      </c>
      <c r="J93" s="94">
        <f>IF($H93="","",IFERROR(INDEX(PARAMETRES!$T$7:$T$46,MATCH($H93,PARAMETRES!$R$7:$R$46,0)),""))</f>
        <v/>
      </c>
      <c r="K93" s="94">
        <f>IF($H93="","",IFERROR(INDEX(PARAMETRES!$U$7:$U$46,MATCH($H93,PARAMETRES!$R$7:$R$46,0)),""))</f>
        <v/>
      </c>
      <c r="L93" s="94">
        <f>IF($H93="","",IFERROR(INDEX(PARAMETRES!$V$7:$V$46,MATCH($H93,PARAMETRES!$R$7:$R$46,0)),""))</f>
        <v/>
      </c>
      <c r="M93" s="88" t="n"/>
      <c r="N93" s="88" t="n"/>
      <c r="O93" s="88" t="n"/>
      <c r="P93" s="94">
        <f>IF($G93="","",IF($G93&gt;=60,"Arrêt majeur — analyse 5 pourquoi",IF($G93&gt;=30,"À analyser en revue quotidienne",IF($K93="Planifié","Arrêt planifié","Aléa courant"))))</f>
        <v/>
      </c>
      <c r="Q93" s="95">
        <f>IF($A93="",0,IF(AND(OR(COCKPIT!$H$4="Toutes",$C93=COCKPIT!$H$4),OR(COCKPIT!$K$4="Toutes",$B93=COCKPIT!$K$4)),1,0))</f>
        <v/>
      </c>
    </row>
    <row r="94" ht="15" customHeight="1">
      <c r="A94" s="87" t="n">
        <v>46037</v>
      </c>
      <c r="B94" s="88" t="inlineStr">
        <is>
          <t>Équipe B (après-midi)</t>
        </is>
      </c>
      <c r="C94" s="88" t="inlineStr">
        <is>
          <t>Ligne 1 - Assemblage</t>
        </is>
      </c>
      <c r="D94" s="88" t="inlineStr">
        <is>
          <t>Ligne 1</t>
        </is>
      </c>
      <c r="E94" s="96" t="n">
        <v>0.4083333333333333</v>
      </c>
      <c r="F94" s="96" t="n">
        <v>0.4208333333333333</v>
      </c>
      <c r="G94" s="92">
        <f>IF(OR($E94="",$F94=""),"",ROUND(($F94-$E94+IF($F94&lt;$E94,1,0))*1440,0))</f>
        <v/>
      </c>
      <c r="H94" s="88" t="inlineStr">
        <is>
          <t>PAN-03</t>
        </is>
      </c>
      <c r="I94" s="94">
        <f>IF($H94="","",IFERROR(INDEX(PARAMETRES!$S$7:$S$46,MATCH($H94,PARAMETRES!$R$7:$R$46,0)),"Code inconnu"))</f>
        <v/>
      </c>
      <c r="J94" s="94">
        <f>IF($H94="","",IFERROR(INDEX(PARAMETRES!$T$7:$T$46,MATCH($H94,PARAMETRES!$R$7:$R$46,0)),""))</f>
        <v/>
      </c>
      <c r="K94" s="94">
        <f>IF($H94="","",IFERROR(INDEX(PARAMETRES!$U$7:$U$46,MATCH($H94,PARAMETRES!$R$7:$R$46,0)),""))</f>
        <v/>
      </c>
      <c r="L94" s="94">
        <f>IF($H94="","",IFERROR(INDEX(PARAMETRES!$V$7:$V$46,MATCH($H94,PARAMETRES!$R$7:$R$46,0)),""))</f>
        <v/>
      </c>
      <c r="M94" s="88" t="n"/>
      <c r="N94" s="88" t="n"/>
      <c r="O94" s="88" t="n"/>
      <c r="P94" s="94">
        <f>IF($G94="","",IF($G94&gt;=60,"Arrêt majeur — analyse 5 pourquoi",IF($G94&gt;=30,"À analyser en revue quotidienne",IF($K94="Planifié","Arrêt planifié","Aléa courant"))))</f>
        <v/>
      </c>
      <c r="Q94" s="95">
        <f>IF($A94="",0,IF(AND(OR(COCKPIT!$H$4="Toutes",$C94=COCKPIT!$H$4),OR(COCKPIT!$K$4="Toutes",$B94=COCKPIT!$K$4)),1,0))</f>
        <v/>
      </c>
    </row>
    <row r="95" ht="15" customHeight="1">
      <c r="A95" s="87" t="n">
        <v>46037</v>
      </c>
      <c r="B95" s="88" t="inlineStr">
        <is>
          <t>Équipe B (après-midi)</t>
        </is>
      </c>
      <c r="C95" s="88" t="inlineStr">
        <is>
          <t>Ligne 1 - Assemblage</t>
        </is>
      </c>
      <c r="D95" s="88" t="inlineStr">
        <is>
          <t>Ligne 1</t>
        </is>
      </c>
      <c r="E95" s="96" t="n">
        <v>0.4479166666666667</v>
      </c>
      <c r="F95" s="96" t="n">
        <v>0.4541666666666667</v>
      </c>
      <c r="G95" s="92">
        <f>IF(OR($E95="",$F95=""),"",ROUND(($F95-$E95+IF($F95&lt;$E95,1,0))*1440,0))</f>
        <v/>
      </c>
      <c r="H95" s="88" t="inlineStr">
        <is>
          <t>REG-01</t>
        </is>
      </c>
      <c r="I95" s="94">
        <f>IF($H95="","",IFERROR(INDEX(PARAMETRES!$S$7:$S$46,MATCH($H95,PARAMETRES!$R$7:$R$46,0)),"Code inconnu"))</f>
        <v/>
      </c>
      <c r="J95" s="94">
        <f>IF($H95="","",IFERROR(INDEX(PARAMETRES!$T$7:$T$46,MATCH($H95,PARAMETRES!$R$7:$R$46,0)),""))</f>
        <v/>
      </c>
      <c r="K95" s="94">
        <f>IF($H95="","",IFERROR(INDEX(PARAMETRES!$U$7:$U$46,MATCH($H95,PARAMETRES!$R$7:$R$46,0)),""))</f>
        <v/>
      </c>
      <c r="L95" s="94">
        <f>IF($H95="","",IFERROR(INDEX(PARAMETRES!$V$7:$V$46,MATCH($H95,PARAMETRES!$R$7:$R$46,0)),""))</f>
        <v/>
      </c>
      <c r="M95" s="88" t="n"/>
      <c r="N95" s="88" t="n"/>
      <c r="O95" s="88" t="n"/>
      <c r="P95" s="94">
        <f>IF($G95="","",IF($G95&gt;=60,"Arrêt majeur — analyse 5 pourquoi",IF($G95&gt;=30,"À analyser en revue quotidienne",IF($K95="Planifié","Arrêt planifié","Aléa courant"))))</f>
        <v/>
      </c>
      <c r="Q95" s="95">
        <f>IF($A95="",0,IF(AND(OR(COCKPIT!$H$4="Toutes",$C95=COCKPIT!$H$4),OR(COCKPIT!$K$4="Toutes",$B95=COCKPIT!$K$4)),1,0))</f>
        <v/>
      </c>
    </row>
    <row r="96" ht="15" customHeight="1">
      <c r="A96" s="87" t="n">
        <v>46037</v>
      </c>
      <c r="B96" s="88" t="inlineStr">
        <is>
          <t>Équipe A (matin)</t>
        </is>
      </c>
      <c r="C96" s="88" t="inlineStr">
        <is>
          <t>Ligne 2 - Usinage</t>
        </is>
      </c>
      <c r="D96" s="88" t="inlineStr">
        <is>
          <t>Ligne 2</t>
        </is>
      </c>
      <c r="E96" s="96" t="n">
        <v>0.2826388888888889</v>
      </c>
      <c r="F96" s="96" t="n">
        <v>0.3104166666666667</v>
      </c>
      <c r="G96" s="92">
        <f>IF(OR($E96="",$F96=""),"",ROUND(($F96-$E96+IF($F96&lt;$E96,1,0))*1440,0))</f>
        <v/>
      </c>
      <c r="H96" s="88" t="inlineStr">
        <is>
          <t>PLA-01</t>
        </is>
      </c>
      <c r="I96" s="94">
        <f>IF($H96="","",IFERROR(INDEX(PARAMETRES!$S$7:$S$46,MATCH($H96,PARAMETRES!$R$7:$R$46,0)),"Code inconnu"))</f>
        <v/>
      </c>
      <c r="J96" s="94">
        <f>IF($H96="","",IFERROR(INDEX(PARAMETRES!$T$7:$T$46,MATCH($H96,PARAMETRES!$R$7:$R$46,0)),""))</f>
        <v/>
      </c>
      <c r="K96" s="94">
        <f>IF($H96="","",IFERROR(INDEX(PARAMETRES!$U$7:$U$46,MATCH($H96,PARAMETRES!$R$7:$R$46,0)),""))</f>
        <v/>
      </c>
      <c r="L96" s="94">
        <f>IF($H96="","",IFERROR(INDEX(PARAMETRES!$V$7:$V$46,MATCH($H96,PARAMETRES!$R$7:$R$46,0)),""))</f>
        <v/>
      </c>
      <c r="M96" s="88" t="n"/>
      <c r="N96" s="88" t="n"/>
      <c r="O96" s="88" t="n"/>
      <c r="P96" s="94">
        <f>IF($G96="","",IF($G96&gt;=60,"Arrêt majeur — analyse 5 pourquoi",IF($G96&gt;=30,"À analyser en revue quotidienne",IF($K96="Planifié","Arrêt planifié","Aléa courant"))))</f>
        <v/>
      </c>
      <c r="Q96" s="95">
        <f>IF($A96="",0,IF(AND(OR(COCKPIT!$H$4="Toutes",$C96=COCKPIT!$H$4),OR(COCKPIT!$K$4="Toutes",$B96=COCKPIT!$K$4)),1,0))</f>
        <v/>
      </c>
    </row>
    <row r="97" ht="15" customHeight="1">
      <c r="A97" s="87" t="n">
        <v>46037</v>
      </c>
      <c r="B97" s="88" t="inlineStr">
        <is>
          <t>Équipe A (matin)</t>
        </is>
      </c>
      <c r="C97" s="88" t="inlineStr">
        <is>
          <t>Ligne 2 - Usinage</t>
        </is>
      </c>
      <c r="D97" s="88" t="inlineStr">
        <is>
          <t>Ligne 2</t>
        </is>
      </c>
      <c r="E97" s="96" t="n">
        <v>0.3326388888888889</v>
      </c>
      <c r="F97" s="96" t="n">
        <v>0.3458333333333333</v>
      </c>
      <c r="G97" s="92">
        <f>IF(OR($E97="",$F97=""),"",ROUND(($F97-$E97+IF($F97&lt;$E97,1,0))*1440,0))</f>
        <v/>
      </c>
      <c r="H97" s="88" t="inlineStr">
        <is>
          <t>LOG-02</t>
        </is>
      </c>
      <c r="I97" s="94">
        <f>IF($H97="","",IFERROR(INDEX(PARAMETRES!$S$7:$S$46,MATCH($H97,PARAMETRES!$R$7:$R$46,0)),"Code inconnu"))</f>
        <v/>
      </c>
      <c r="J97" s="94">
        <f>IF($H97="","",IFERROR(INDEX(PARAMETRES!$T$7:$T$46,MATCH($H97,PARAMETRES!$R$7:$R$46,0)),""))</f>
        <v/>
      </c>
      <c r="K97" s="94">
        <f>IF($H97="","",IFERROR(INDEX(PARAMETRES!$U$7:$U$46,MATCH($H97,PARAMETRES!$R$7:$R$46,0)),""))</f>
        <v/>
      </c>
      <c r="L97" s="94">
        <f>IF($H97="","",IFERROR(INDEX(PARAMETRES!$V$7:$V$46,MATCH($H97,PARAMETRES!$R$7:$R$46,0)),""))</f>
        <v/>
      </c>
      <c r="M97" s="88" t="n"/>
      <c r="N97" s="88" t="n"/>
      <c r="O97" s="88" t="n"/>
      <c r="P97" s="94">
        <f>IF($G97="","",IF($G97&gt;=60,"Arrêt majeur — analyse 5 pourquoi",IF($G97&gt;=30,"À analyser en revue quotidienne",IF($K97="Planifié","Arrêt planifié","Aléa courant"))))</f>
        <v/>
      </c>
      <c r="Q97" s="95">
        <f>IF($A97="",0,IF(AND(OR(COCKPIT!$H$4="Toutes",$C97=COCKPIT!$H$4),OR(COCKPIT!$K$4="Toutes",$B97=COCKPIT!$K$4)),1,0))</f>
        <v/>
      </c>
    </row>
    <row r="98" ht="15" customHeight="1">
      <c r="A98" s="87" t="n">
        <v>46037</v>
      </c>
      <c r="B98" s="88" t="inlineStr">
        <is>
          <t>Équipe A (matin)</t>
        </is>
      </c>
      <c r="C98" s="88" t="inlineStr">
        <is>
          <t>Ligne 2 - Usinage</t>
        </is>
      </c>
      <c r="D98" s="88" t="inlineStr">
        <is>
          <t>Ligne 2</t>
        </is>
      </c>
      <c r="E98" s="96" t="n">
        <v>0.3736111111111111</v>
      </c>
      <c r="F98" s="96" t="n">
        <v>0.4027777777777778</v>
      </c>
      <c r="G98" s="92">
        <f>IF(OR($E98="",$F98=""),"",ROUND(($F98-$E98+IF($F98&lt;$E98,1,0))*1440,0))</f>
        <v/>
      </c>
      <c r="H98" s="88" t="inlineStr">
        <is>
          <t>PAN-02</t>
        </is>
      </c>
      <c r="I98" s="94">
        <f>IF($H98="","",IFERROR(INDEX(PARAMETRES!$S$7:$S$46,MATCH($H98,PARAMETRES!$R$7:$R$46,0)),"Code inconnu"))</f>
        <v/>
      </c>
      <c r="J98" s="94">
        <f>IF($H98="","",IFERROR(INDEX(PARAMETRES!$T$7:$T$46,MATCH($H98,PARAMETRES!$R$7:$R$46,0)),""))</f>
        <v/>
      </c>
      <c r="K98" s="94">
        <f>IF($H98="","",IFERROR(INDEX(PARAMETRES!$U$7:$U$46,MATCH($H98,PARAMETRES!$R$7:$R$46,0)),""))</f>
        <v/>
      </c>
      <c r="L98" s="94">
        <f>IF($H98="","",IFERROR(INDEX(PARAMETRES!$V$7:$V$46,MATCH($H98,PARAMETRES!$R$7:$R$46,0)),""))</f>
        <v/>
      </c>
      <c r="M98" s="88" t="n"/>
      <c r="N98" s="88" t="n"/>
      <c r="O98" s="88" t="n"/>
      <c r="P98" s="94">
        <f>IF($G98="","",IF($G98&gt;=60,"Arrêt majeur — analyse 5 pourquoi",IF($G98&gt;=30,"À analyser en revue quotidienne",IF($K98="Planifié","Arrêt planifié","Aléa courant"))))</f>
        <v/>
      </c>
      <c r="Q98" s="95">
        <f>IF($A98="",0,IF(AND(OR(COCKPIT!$H$4="Toutes",$C98=COCKPIT!$H$4),OR(COCKPIT!$K$4="Toutes",$B98=COCKPIT!$K$4)),1,0))</f>
        <v/>
      </c>
    </row>
    <row r="99" ht="15" customHeight="1">
      <c r="A99" s="87" t="n">
        <v>46038</v>
      </c>
      <c r="B99" s="88" t="inlineStr">
        <is>
          <t>Équipe A (matin)</t>
        </is>
      </c>
      <c r="C99" s="88" t="inlineStr">
        <is>
          <t>Ligne 1 - Assemblage</t>
        </is>
      </c>
      <c r="D99" s="88" t="inlineStr">
        <is>
          <t>Ligne 1</t>
        </is>
      </c>
      <c r="E99" s="96" t="n">
        <v>0.2986111111111111</v>
      </c>
      <c r="F99" s="96" t="n">
        <v>0.3263888888888889</v>
      </c>
      <c r="G99" s="92">
        <f>IF(OR($E99="",$F99=""),"",ROUND(($F99-$E99+IF($F99&lt;$E99,1,0))*1440,0))</f>
        <v/>
      </c>
      <c r="H99" s="88" t="inlineStr">
        <is>
          <t>PLA-01</t>
        </is>
      </c>
      <c r="I99" s="94">
        <f>IF($H99="","",IFERROR(INDEX(PARAMETRES!$S$7:$S$46,MATCH($H99,PARAMETRES!$R$7:$R$46,0)),"Code inconnu"))</f>
        <v/>
      </c>
      <c r="J99" s="94">
        <f>IF($H99="","",IFERROR(INDEX(PARAMETRES!$T$7:$T$46,MATCH($H99,PARAMETRES!$R$7:$R$46,0)),""))</f>
        <v/>
      </c>
      <c r="K99" s="94">
        <f>IF($H99="","",IFERROR(INDEX(PARAMETRES!$U$7:$U$46,MATCH($H99,PARAMETRES!$R$7:$R$46,0)),""))</f>
        <v/>
      </c>
      <c r="L99" s="94">
        <f>IF($H99="","",IFERROR(INDEX(PARAMETRES!$V$7:$V$46,MATCH($H99,PARAMETRES!$R$7:$R$46,0)),""))</f>
        <v/>
      </c>
      <c r="M99" s="88" t="n"/>
      <c r="N99" s="88" t="n"/>
      <c r="O99" s="88" t="n"/>
      <c r="P99" s="94">
        <f>IF($G99="","",IF($G99&gt;=60,"Arrêt majeur — analyse 5 pourquoi",IF($G99&gt;=30,"À analyser en revue quotidienne",IF($K99="Planifié","Arrêt planifié","Aléa courant"))))</f>
        <v/>
      </c>
      <c r="Q99" s="95">
        <f>IF($A99="",0,IF(AND(OR(COCKPIT!$H$4="Toutes",$C99=COCKPIT!$H$4),OR(COCKPIT!$K$4="Toutes",$B99=COCKPIT!$K$4)),1,0))</f>
        <v/>
      </c>
    </row>
    <row r="100" ht="15" customHeight="1">
      <c r="A100" s="87" t="n">
        <v>46038</v>
      </c>
      <c r="B100" s="88" t="inlineStr">
        <is>
          <t>Équipe A (matin)</t>
        </is>
      </c>
      <c r="C100" s="88" t="inlineStr">
        <is>
          <t>Ligne 1 - Assemblage</t>
        </is>
      </c>
      <c r="D100" s="88" t="inlineStr">
        <is>
          <t>Ligne 1</t>
        </is>
      </c>
      <c r="E100" s="96" t="n">
        <v>0.3541666666666667</v>
      </c>
      <c r="F100" s="96" t="n">
        <v>0.3833333333333334</v>
      </c>
      <c r="G100" s="92">
        <f>IF(OR($E100="",$F100=""),"",ROUND(($F100-$E100+IF($F100&lt;$E100,1,0))*1440,0))</f>
        <v/>
      </c>
      <c r="H100" s="88" t="inlineStr">
        <is>
          <t>PAN-01</t>
        </is>
      </c>
      <c r="I100" s="94">
        <f>IF($H100="","",IFERROR(INDEX(PARAMETRES!$S$7:$S$46,MATCH($H100,PARAMETRES!$R$7:$R$46,0)),"Code inconnu"))</f>
        <v/>
      </c>
      <c r="J100" s="94">
        <f>IF($H100="","",IFERROR(INDEX(PARAMETRES!$T$7:$T$46,MATCH($H100,PARAMETRES!$R$7:$R$46,0)),""))</f>
        <v/>
      </c>
      <c r="K100" s="94">
        <f>IF($H100="","",IFERROR(INDEX(PARAMETRES!$U$7:$U$46,MATCH($H100,PARAMETRES!$R$7:$R$46,0)),""))</f>
        <v/>
      </c>
      <c r="L100" s="94">
        <f>IF($H100="","",IFERROR(INDEX(PARAMETRES!$V$7:$V$46,MATCH($H100,PARAMETRES!$R$7:$R$46,0)),""))</f>
        <v/>
      </c>
      <c r="M100" s="88" t="n"/>
      <c r="N100" s="88" t="n"/>
      <c r="O100" s="88" t="n"/>
      <c r="P100" s="94">
        <f>IF($G100="","",IF($G100&gt;=60,"Arrêt majeur — analyse 5 pourquoi",IF($G100&gt;=30,"À analyser en revue quotidienne",IF($K100="Planifié","Arrêt planifié","Aléa courant"))))</f>
        <v/>
      </c>
      <c r="Q100" s="95">
        <f>IF($A100="",0,IF(AND(OR(COCKPIT!$H$4="Toutes",$C100=COCKPIT!$H$4),OR(COCKPIT!$K$4="Toutes",$B100=COCKPIT!$K$4)),1,0))</f>
        <v/>
      </c>
    </row>
    <row r="101" ht="15" customHeight="1">
      <c r="A101" s="87" t="n">
        <v>46038</v>
      </c>
      <c r="B101" s="88" t="inlineStr">
        <is>
          <t>Équipe A (matin)</t>
        </is>
      </c>
      <c r="C101" s="88" t="inlineStr">
        <is>
          <t>Ligne 1 - Assemblage</t>
        </is>
      </c>
      <c r="D101" s="88" t="inlineStr">
        <is>
          <t>Ligne 1</t>
        </is>
      </c>
      <c r="E101" s="96" t="n">
        <v>0.4041666666666667</v>
      </c>
      <c r="F101" s="96" t="n">
        <v>0.4159722222222222</v>
      </c>
      <c r="G101" s="92">
        <f>IF(OR($E101="",$F101=""),"",ROUND(($F101-$E101+IF($F101&lt;$E101,1,0))*1440,0))</f>
        <v/>
      </c>
      <c r="H101" s="88" t="inlineStr">
        <is>
          <t>CDS-01</t>
        </is>
      </c>
      <c r="I101" s="94">
        <f>IF($H101="","",IFERROR(INDEX(PARAMETRES!$S$7:$S$46,MATCH($H101,PARAMETRES!$R$7:$R$46,0)),"Code inconnu"))</f>
        <v/>
      </c>
      <c r="J101" s="94">
        <f>IF($H101="","",IFERROR(INDEX(PARAMETRES!$T$7:$T$46,MATCH($H101,PARAMETRES!$R$7:$R$46,0)),""))</f>
        <v/>
      </c>
      <c r="K101" s="94">
        <f>IF($H101="","",IFERROR(INDEX(PARAMETRES!$U$7:$U$46,MATCH($H101,PARAMETRES!$R$7:$R$46,0)),""))</f>
        <v/>
      </c>
      <c r="L101" s="94">
        <f>IF($H101="","",IFERROR(INDEX(PARAMETRES!$V$7:$V$46,MATCH($H101,PARAMETRES!$R$7:$R$46,0)),""))</f>
        <v/>
      </c>
      <c r="M101" s="88" t="n"/>
      <c r="N101" s="88" t="n"/>
      <c r="O101" s="88" t="n"/>
      <c r="P101" s="94">
        <f>IF($G101="","",IF($G101&gt;=60,"Arrêt majeur — analyse 5 pourquoi",IF($G101&gt;=30,"À analyser en revue quotidienne",IF($K101="Planifié","Arrêt planifié","Aléa courant"))))</f>
        <v/>
      </c>
      <c r="Q101" s="95">
        <f>IF($A101="",0,IF(AND(OR(COCKPIT!$H$4="Toutes",$C101=COCKPIT!$H$4),OR(COCKPIT!$K$4="Toutes",$B101=COCKPIT!$K$4)),1,0))</f>
        <v/>
      </c>
    </row>
    <row r="102" ht="15" customHeight="1">
      <c r="A102" s="87" t="n">
        <v>46038</v>
      </c>
      <c r="B102" s="88" t="inlineStr">
        <is>
          <t>Équipe A (matin)</t>
        </is>
      </c>
      <c r="C102" s="88" t="inlineStr">
        <is>
          <t>Ligne 1 - Assemblage</t>
        </is>
      </c>
      <c r="D102" s="88" t="inlineStr">
        <is>
          <t>Ligne 1</t>
        </is>
      </c>
      <c r="E102" s="96" t="n">
        <v>0.4243055555555555</v>
      </c>
      <c r="F102" s="96" t="n">
        <v>0.4305555555555556</v>
      </c>
      <c r="G102" s="92">
        <f>IF(OR($E102="",$F102=""),"",ROUND(($F102-$E102+IF($F102&lt;$E102,1,0))*1440,0))</f>
        <v/>
      </c>
      <c r="H102" s="88" t="inlineStr">
        <is>
          <t>REG-02</t>
        </is>
      </c>
      <c r="I102" s="94">
        <f>IF($H102="","",IFERROR(INDEX(PARAMETRES!$S$7:$S$46,MATCH($H102,PARAMETRES!$R$7:$R$46,0)),"Code inconnu"))</f>
        <v/>
      </c>
      <c r="J102" s="94">
        <f>IF($H102="","",IFERROR(INDEX(PARAMETRES!$T$7:$T$46,MATCH($H102,PARAMETRES!$R$7:$R$46,0)),""))</f>
        <v/>
      </c>
      <c r="K102" s="94">
        <f>IF($H102="","",IFERROR(INDEX(PARAMETRES!$U$7:$U$46,MATCH($H102,PARAMETRES!$R$7:$R$46,0)),""))</f>
        <v/>
      </c>
      <c r="L102" s="94">
        <f>IF($H102="","",IFERROR(INDEX(PARAMETRES!$V$7:$V$46,MATCH($H102,PARAMETRES!$R$7:$R$46,0)),""))</f>
        <v/>
      </c>
      <c r="M102" s="88" t="n"/>
      <c r="N102" s="88" t="n"/>
      <c r="O102" s="88" t="n"/>
      <c r="P102" s="94">
        <f>IF($G102="","",IF($G102&gt;=60,"Arrêt majeur — analyse 5 pourquoi",IF($G102&gt;=30,"À analyser en revue quotidienne",IF($K102="Planifié","Arrêt planifié","Aléa courant"))))</f>
        <v/>
      </c>
      <c r="Q102" s="95">
        <f>IF($A102="",0,IF(AND(OR(COCKPIT!$H$4="Toutes",$C102=COCKPIT!$H$4),OR(COCKPIT!$K$4="Toutes",$B102=COCKPIT!$K$4)),1,0))</f>
        <v/>
      </c>
    </row>
    <row r="103" ht="15" customHeight="1">
      <c r="A103" s="87" t="n">
        <v>46038</v>
      </c>
      <c r="B103" s="88" t="inlineStr">
        <is>
          <t>Équipe A (matin)</t>
        </is>
      </c>
      <c r="C103" s="88" t="inlineStr">
        <is>
          <t>Ligne 1 - Assemblage</t>
        </is>
      </c>
      <c r="D103" s="88" t="inlineStr">
        <is>
          <t>Ligne 1</t>
        </is>
      </c>
      <c r="E103" s="96" t="n">
        <v>0.4569444444444444</v>
      </c>
      <c r="F103" s="96" t="n">
        <v>0.4722222222222222</v>
      </c>
      <c r="G103" s="92">
        <f>IF(OR($E103="",$F103=""),"",ROUND(($F103-$E103+IF($F103&lt;$E103,1,0))*1440,0))</f>
        <v/>
      </c>
      <c r="H103" s="88" t="inlineStr">
        <is>
          <t>PER-01</t>
        </is>
      </c>
      <c r="I103" s="94">
        <f>IF($H103="","",IFERROR(INDEX(PARAMETRES!$S$7:$S$46,MATCH($H103,PARAMETRES!$R$7:$R$46,0)),"Code inconnu"))</f>
        <v/>
      </c>
      <c r="J103" s="94">
        <f>IF($H103="","",IFERROR(INDEX(PARAMETRES!$T$7:$T$46,MATCH($H103,PARAMETRES!$R$7:$R$46,0)),""))</f>
        <v/>
      </c>
      <c r="K103" s="94">
        <f>IF($H103="","",IFERROR(INDEX(PARAMETRES!$U$7:$U$46,MATCH($H103,PARAMETRES!$R$7:$R$46,0)),""))</f>
        <v/>
      </c>
      <c r="L103" s="94">
        <f>IF($H103="","",IFERROR(INDEX(PARAMETRES!$V$7:$V$46,MATCH($H103,PARAMETRES!$R$7:$R$46,0)),""))</f>
        <v/>
      </c>
      <c r="M103" s="88" t="n"/>
      <c r="N103" s="88" t="n"/>
      <c r="O103" s="88" t="n"/>
      <c r="P103" s="94">
        <f>IF($G103="","",IF($G103&gt;=60,"Arrêt majeur — analyse 5 pourquoi",IF($G103&gt;=30,"À analyser en revue quotidienne",IF($K103="Planifié","Arrêt planifié","Aléa courant"))))</f>
        <v/>
      </c>
      <c r="Q103" s="95">
        <f>IF($A103="",0,IF(AND(OR(COCKPIT!$H$4="Toutes",$C103=COCKPIT!$H$4),OR(COCKPIT!$K$4="Toutes",$B103=COCKPIT!$K$4)),1,0))</f>
        <v/>
      </c>
    </row>
    <row r="104" ht="15" customHeight="1">
      <c r="A104" s="87" t="n">
        <v>46038</v>
      </c>
      <c r="B104" s="88" t="inlineStr">
        <is>
          <t>Équipe B (après-midi)</t>
        </is>
      </c>
      <c r="C104" s="88" t="inlineStr">
        <is>
          <t>Ligne 2 - Usinage</t>
        </is>
      </c>
      <c r="D104" s="88" t="inlineStr">
        <is>
          <t>Ligne 2</t>
        </is>
      </c>
      <c r="E104" s="96" t="n">
        <v>0.2777777777777778</v>
      </c>
      <c r="F104" s="96" t="n">
        <v>0.3055555555555556</v>
      </c>
      <c r="G104" s="92">
        <f>IF(OR($E104="",$F104=""),"",ROUND(($F104-$E104+IF($F104&lt;$E104,1,0))*1440,0))</f>
        <v/>
      </c>
      <c r="H104" s="88" t="inlineStr">
        <is>
          <t>PLA-01</t>
        </is>
      </c>
      <c r="I104" s="94">
        <f>IF($H104="","",IFERROR(INDEX(PARAMETRES!$S$7:$S$46,MATCH($H104,PARAMETRES!$R$7:$R$46,0)),"Code inconnu"))</f>
        <v/>
      </c>
      <c r="J104" s="94">
        <f>IF($H104="","",IFERROR(INDEX(PARAMETRES!$T$7:$T$46,MATCH($H104,PARAMETRES!$R$7:$R$46,0)),""))</f>
        <v/>
      </c>
      <c r="K104" s="94">
        <f>IF($H104="","",IFERROR(INDEX(PARAMETRES!$U$7:$U$46,MATCH($H104,PARAMETRES!$R$7:$R$46,0)),""))</f>
        <v/>
      </c>
      <c r="L104" s="94">
        <f>IF($H104="","",IFERROR(INDEX(PARAMETRES!$V$7:$V$46,MATCH($H104,PARAMETRES!$R$7:$R$46,0)),""))</f>
        <v/>
      </c>
      <c r="M104" s="88" t="n"/>
      <c r="N104" s="88" t="n"/>
      <c r="O104" s="88" t="n"/>
      <c r="P104" s="94">
        <f>IF($G104="","",IF($G104&gt;=60,"Arrêt majeur — analyse 5 pourquoi",IF($G104&gt;=30,"À analyser en revue quotidienne",IF($K104="Planifié","Arrêt planifié","Aléa courant"))))</f>
        <v/>
      </c>
      <c r="Q104" s="95">
        <f>IF($A104="",0,IF(AND(OR(COCKPIT!$H$4="Toutes",$C104=COCKPIT!$H$4),OR(COCKPIT!$K$4="Toutes",$B104=COCKPIT!$K$4)),1,0))</f>
        <v/>
      </c>
    </row>
    <row r="105" ht="15" customHeight="1">
      <c r="A105" s="87" t="n">
        <v>46038</v>
      </c>
      <c r="B105" s="88" t="inlineStr">
        <is>
          <t>Équipe B (après-midi)</t>
        </is>
      </c>
      <c r="C105" s="88" t="inlineStr">
        <is>
          <t>Ligne 2 - Usinage</t>
        </is>
      </c>
      <c r="D105" s="88" t="inlineStr">
        <is>
          <t>Ligne 2</t>
        </is>
      </c>
      <c r="E105" s="96" t="n">
        <v>0.3166666666666667</v>
      </c>
      <c r="F105" s="96" t="n">
        <v>0.3243055555555556</v>
      </c>
      <c r="G105" s="92">
        <f>IF(OR($E105="",$F105=""),"",ROUND(($F105-$E105+IF($F105&lt;$E105,1,0))*1440,0))</f>
        <v/>
      </c>
      <c r="H105" s="88" t="inlineStr">
        <is>
          <t>REG-01</t>
        </is>
      </c>
      <c r="I105" s="94">
        <f>IF($H105="","",IFERROR(INDEX(PARAMETRES!$S$7:$S$46,MATCH($H105,PARAMETRES!$R$7:$R$46,0)),"Code inconnu"))</f>
        <v/>
      </c>
      <c r="J105" s="94">
        <f>IF($H105="","",IFERROR(INDEX(PARAMETRES!$T$7:$T$46,MATCH($H105,PARAMETRES!$R$7:$R$46,0)),""))</f>
        <v/>
      </c>
      <c r="K105" s="94">
        <f>IF($H105="","",IFERROR(INDEX(PARAMETRES!$U$7:$U$46,MATCH($H105,PARAMETRES!$R$7:$R$46,0)),""))</f>
        <v/>
      </c>
      <c r="L105" s="94">
        <f>IF($H105="","",IFERROR(INDEX(PARAMETRES!$V$7:$V$46,MATCH($H105,PARAMETRES!$R$7:$R$46,0)),""))</f>
        <v/>
      </c>
      <c r="M105" s="88" t="n"/>
      <c r="N105" s="88" t="n"/>
      <c r="O105" s="88" t="n"/>
      <c r="P105" s="94">
        <f>IF($G105="","",IF($G105&gt;=60,"Arrêt majeur — analyse 5 pourquoi",IF($G105&gt;=30,"À analyser en revue quotidienne",IF($K105="Planifié","Arrêt planifié","Aléa courant"))))</f>
        <v/>
      </c>
      <c r="Q105" s="95">
        <f>IF($A105="",0,IF(AND(OR(COCKPIT!$H$4="Toutes",$C105=COCKPIT!$H$4),OR(COCKPIT!$K$4="Toutes",$B105=COCKPIT!$K$4)),1,0))</f>
        <v/>
      </c>
    </row>
    <row r="106" ht="15" customHeight="1">
      <c r="A106" s="87" t="n">
        <v>46038</v>
      </c>
      <c r="B106" s="88" t="inlineStr">
        <is>
          <t>Équipe B (après-midi)</t>
        </is>
      </c>
      <c r="C106" s="88" t="inlineStr">
        <is>
          <t>Ligne 2 - Usinage</t>
        </is>
      </c>
      <c r="D106" s="88" t="inlineStr">
        <is>
          <t>Ligne 2</t>
        </is>
      </c>
      <c r="E106" s="96" t="n">
        <v>0.3493055555555555</v>
      </c>
      <c r="F106" s="96" t="n">
        <v>0.3583333333333333</v>
      </c>
      <c r="G106" s="92">
        <f>IF(OR($E106="",$F106=""),"",ROUND(($F106-$E106+IF($F106&lt;$E106,1,0))*1440,0))</f>
        <v/>
      </c>
      <c r="H106" s="88" t="inlineStr">
        <is>
          <t>MAT-02</t>
        </is>
      </c>
      <c r="I106" s="94">
        <f>IF($H106="","",IFERROR(INDEX(PARAMETRES!$S$7:$S$46,MATCH($H106,PARAMETRES!$R$7:$R$46,0)),"Code inconnu"))</f>
        <v/>
      </c>
      <c r="J106" s="94">
        <f>IF($H106="","",IFERROR(INDEX(PARAMETRES!$T$7:$T$46,MATCH($H106,PARAMETRES!$R$7:$R$46,0)),""))</f>
        <v/>
      </c>
      <c r="K106" s="94">
        <f>IF($H106="","",IFERROR(INDEX(PARAMETRES!$U$7:$U$46,MATCH($H106,PARAMETRES!$R$7:$R$46,0)),""))</f>
        <v/>
      </c>
      <c r="L106" s="94">
        <f>IF($H106="","",IFERROR(INDEX(PARAMETRES!$V$7:$V$46,MATCH($H106,PARAMETRES!$R$7:$R$46,0)),""))</f>
        <v/>
      </c>
      <c r="M106" s="88" t="n"/>
      <c r="N106" s="88" t="n"/>
      <c r="O106" s="88" t="n"/>
      <c r="P106" s="94">
        <f>IF($G106="","",IF($G106&gt;=60,"Arrêt majeur — analyse 5 pourquoi",IF($G106&gt;=30,"À analyser en revue quotidienne",IF($K106="Planifié","Arrêt planifié","Aléa courant"))))</f>
        <v/>
      </c>
      <c r="Q106" s="95">
        <f>IF($A106="",0,IF(AND(OR(COCKPIT!$H$4="Toutes",$C106=COCKPIT!$H$4),OR(COCKPIT!$K$4="Toutes",$B106=COCKPIT!$K$4)),1,0))</f>
        <v/>
      </c>
    </row>
    <row r="107" ht="15" customHeight="1">
      <c r="A107" s="87" t="n">
        <v>46038</v>
      </c>
      <c r="B107" s="88" t="inlineStr">
        <is>
          <t>Équipe B (après-midi)</t>
        </is>
      </c>
      <c r="C107" s="88" t="inlineStr">
        <is>
          <t>Ligne 2 - Usinage</t>
        </is>
      </c>
      <c r="D107" s="88" t="inlineStr">
        <is>
          <t>Ligne 2</t>
        </is>
      </c>
      <c r="E107" s="96" t="n">
        <v>0.3722222222222222</v>
      </c>
      <c r="F107" s="96" t="n">
        <v>0.3805555555555555</v>
      </c>
      <c r="G107" s="92">
        <f>IF(OR($E107="",$F107=""),"",ROUND(($F107-$E107+IF($F107&lt;$E107,1,0))*1440,0))</f>
        <v/>
      </c>
      <c r="H107" s="88" t="inlineStr">
        <is>
          <t>LOG-01</t>
        </is>
      </c>
      <c r="I107" s="94">
        <f>IF($H107="","",IFERROR(INDEX(PARAMETRES!$S$7:$S$46,MATCH($H107,PARAMETRES!$R$7:$R$46,0)),"Code inconnu"))</f>
        <v/>
      </c>
      <c r="J107" s="94">
        <f>IF($H107="","",IFERROR(INDEX(PARAMETRES!$T$7:$T$46,MATCH($H107,PARAMETRES!$R$7:$R$46,0)),""))</f>
        <v/>
      </c>
      <c r="K107" s="94">
        <f>IF($H107="","",IFERROR(INDEX(PARAMETRES!$U$7:$U$46,MATCH($H107,PARAMETRES!$R$7:$R$46,0)),""))</f>
        <v/>
      </c>
      <c r="L107" s="94">
        <f>IF($H107="","",IFERROR(INDEX(PARAMETRES!$V$7:$V$46,MATCH($H107,PARAMETRES!$R$7:$R$46,0)),""))</f>
        <v/>
      </c>
      <c r="M107" s="88" t="n"/>
      <c r="N107" s="88" t="n"/>
      <c r="O107" s="88" t="n"/>
      <c r="P107" s="94">
        <f>IF($G107="","",IF($G107&gt;=60,"Arrêt majeur — analyse 5 pourquoi",IF($G107&gt;=30,"À analyser en revue quotidienne",IF($K107="Planifié","Arrêt planifié","Aléa courant"))))</f>
        <v/>
      </c>
      <c r="Q107" s="95">
        <f>IF($A107="",0,IF(AND(OR(COCKPIT!$H$4="Toutes",$C107=COCKPIT!$H$4),OR(COCKPIT!$K$4="Toutes",$B107=COCKPIT!$K$4)),1,0))</f>
        <v/>
      </c>
    </row>
    <row r="108" ht="15" customHeight="1">
      <c r="A108" s="87" t="n">
        <v>46038</v>
      </c>
      <c r="B108" s="88" t="inlineStr">
        <is>
          <t>Équipe B (après-midi)</t>
        </is>
      </c>
      <c r="C108" s="88" t="inlineStr">
        <is>
          <t>Ligne 2 - Usinage</t>
        </is>
      </c>
      <c r="D108" s="88" t="inlineStr">
        <is>
          <t>Ligne 2</t>
        </is>
      </c>
      <c r="E108" s="96" t="n">
        <v>0.40625</v>
      </c>
      <c r="F108" s="96" t="n">
        <v>0.4270833333333333</v>
      </c>
      <c r="G108" s="92">
        <f>IF(OR($E108="",$F108=""),"",ROUND(($F108-$E108+IF($F108&lt;$E108,1,0))*1440,0))</f>
        <v/>
      </c>
      <c r="H108" s="88" t="inlineStr">
        <is>
          <t>PAN-01</t>
        </is>
      </c>
      <c r="I108" s="94">
        <f>IF($H108="","",IFERROR(INDEX(PARAMETRES!$S$7:$S$46,MATCH($H108,PARAMETRES!$R$7:$R$46,0)),"Code inconnu"))</f>
        <v/>
      </c>
      <c r="J108" s="94">
        <f>IF($H108="","",IFERROR(INDEX(PARAMETRES!$T$7:$T$46,MATCH($H108,PARAMETRES!$R$7:$R$46,0)),""))</f>
        <v/>
      </c>
      <c r="K108" s="94">
        <f>IF($H108="","",IFERROR(INDEX(PARAMETRES!$U$7:$U$46,MATCH($H108,PARAMETRES!$R$7:$R$46,0)),""))</f>
        <v/>
      </c>
      <c r="L108" s="94">
        <f>IF($H108="","",IFERROR(INDEX(PARAMETRES!$V$7:$V$46,MATCH($H108,PARAMETRES!$R$7:$R$46,0)),""))</f>
        <v/>
      </c>
      <c r="M108" s="88" t="n"/>
      <c r="N108" s="88" t="n"/>
      <c r="O108" s="88" t="n"/>
      <c r="P108" s="94">
        <f>IF($G108="","",IF($G108&gt;=60,"Arrêt majeur — analyse 5 pourquoi",IF($G108&gt;=30,"À analyser en revue quotidienne",IF($K108="Planifié","Arrêt planifié","Aléa courant"))))</f>
        <v/>
      </c>
      <c r="Q108" s="95">
        <f>IF($A108="",0,IF(AND(OR(COCKPIT!$H$4="Toutes",$C108=COCKPIT!$H$4),OR(COCKPIT!$K$4="Toutes",$B108=COCKPIT!$K$4)),1,0))</f>
        <v/>
      </c>
    </row>
    <row r="109" ht="15" customHeight="1">
      <c r="A109" s="87" t="n">
        <v>46038</v>
      </c>
      <c r="B109" s="88" t="inlineStr">
        <is>
          <t>Équipe B (après-midi)</t>
        </is>
      </c>
      <c r="C109" s="88" t="inlineStr">
        <is>
          <t>Ligne 2 - Usinage</t>
        </is>
      </c>
      <c r="D109" s="88" t="inlineStr">
        <is>
          <t>Ligne 2</t>
        </is>
      </c>
      <c r="E109" s="96" t="n">
        <v>0.4527777777777778</v>
      </c>
      <c r="F109" s="96" t="n">
        <v>0.475</v>
      </c>
      <c r="G109" s="92">
        <f>IF(OR($E109="",$F109=""),"",ROUND(($F109-$E109+IF($F109&lt;$E109,1,0))*1440,0))</f>
        <v/>
      </c>
      <c r="H109" s="88" t="inlineStr">
        <is>
          <t>CDS-01</t>
        </is>
      </c>
      <c r="I109" s="94">
        <f>IF($H109="","",IFERROR(INDEX(PARAMETRES!$S$7:$S$46,MATCH($H109,PARAMETRES!$R$7:$R$46,0)),"Code inconnu"))</f>
        <v/>
      </c>
      <c r="J109" s="94">
        <f>IF($H109="","",IFERROR(INDEX(PARAMETRES!$T$7:$T$46,MATCH($H109,PARAMETRES!$R$7:$R$46,0)),""))</f>
        <v/>
      </c>
      <c r="K109" s="94">
        <f>IF($H109="","",IFERROR(INDEX(PARAMETRES!$U$7:$U$46,MATCH($H109,PARAMETRES!$R$7:$R$46,0)),""))</f>
        <v/>
      </c>
      <c r="L109" s="94">
        <f>IF($H109="","",IFERROR(INDEX(PARAMETRES!$V$7:$V$46,MATCH($H109,PARAMETRES!$R$7:$R$46,0)),""))</f>
        <v/>
      </c>
      <c r="M109" s="88" t="n"/>
      <c r="N109" s="88" t="n"/>
      <c r="O109" s="88" t="n"/>
      <c r="P109" s="94">
        <f>IF($G109="","",IF($G109&gt;=60,"Arrêt majeur — analyse 5 pourquoi",IF($G109&gt;=30,"À analyser en revue quotidienne",IF($K109="Planifié","Arrêt planifié","Aléa courant"))))</f>
        <v/>
      </c>
      <c r="Q109" s="95">
        <f>IF($A109="",0,IF(AND(OR(COCKPIT!$H$4="Toutes",$C109=COCKPIT!$H$4),OR(COCKPIT!$K$4="Toutes",$B109=COCKPIT!$K$4)),1,0))</f>
        <v/>
      </c>
    </row>
    <row r="110" ht="15" customHeight="1">
      <c r="A110" s="87" t="n">
        <v>46041</v>
      </c>
      <c r="B110" s="88" t="inlineStr">
        <is>
          <t>Équipe B (après-midi)</t>
        </is>
      </c>
      <c r="C110" s="88" t="inlineStr">
        <is>
          <t>Ligne 1 - Assemblage</t>
        </is>
      </c>
      <c r="D110" s="88" t="inlineStr">
        <is>
          <t>Ligne 1</t>
        </is>
      </c>
      <c r="E110" s="96" t="n">
        <v>0.2875</v>
      </c>
      <c r="F110" s="96" t="n">
        <v>0.3152777777777778</v>
      </c>
      <c r="G110" s="92">
        <f>IF(OR($E110="",$F110=""),"",ROUND(($F110-$E110+IF($F110&lt;$E110,1,0))*1440,0))</f>
        <v/>
      </c>
      <c r="H110" s="88" t="inlineStr">
        <is>
          <t>PLA-01</t>
        </is>
      </c>
      <c r="I110" s="94">
        <f>IF($H110="","",IFERROR(INDEX(PARAMETRES!$S$7:$S$46,MATCH($H110,PARAMETRES!$R$7:$R$46,0)),"Code inconnu"))</f>
        <v/>
      </c>
      <c r="J110" s="94">
        <f>IF($H110="","",IFERROR(INDEX(PARAMETRES!$T$7:$T$46,MATCH($H110,PARAMETRES!$R$7:$R$46,0)),""))</f>
        <v/>
      </c>
      <c r="K110" s="94">
        <f>IF($H110="","",IFERROR(INDEX(PARAMETRES!$U$7:$U$46,MATCH($H110,PARAMETRES!$R$7:$R$46,0)),""))</f>
        <v/>
      </c>
      <c r="L110" s="94">
        <f>IF($H110="","",IFERROR(INDEX(PARAMETRES!$V$7:$V$46,MATCH($H110,PARAMETRES!$R$7:$R$46,0)),""))</f>
        <v/>
      </c>
      <c r="M110" s="88" t="n"/>
      <c r="N110" s="88" t="n"/>
      <c r="O110" s="88" t="n"/>
      <c r="P110" s="94">
        <f>IF($G110="","",IF($G110&gt;=60,"Arrêt majeur — analyse 5 pourquoi",IF($G110&gt;=30,"À analyser en revue quotidienne",IF($K110="Planifié","Arrêt planifié","Aléa courant"))))</f>
        <v/>
      </c>
      <c r="Q110" s="95">
        <f>IF($A110="",0,IF(AND(OR(COCKPIT!$H$4="Toutes",$C110=COCKPIT!$H$4),OR(COCKPIT!$K$4="Toutes",$B110=COCKPIT!$K$4)),1,0))</f>
        <v/>
      </c>
    </row>
    <row r="111" ht="15" customHeight="1">
      <c r="A111" s="87" t="n">
        <v>46041</v>
      </c>
      <c r="B111" s="88" t="inlineStr">
        <is>
          <t>Équipe B (après-midi)</t>
        </is>
      </c>
      <c r="C111" s="88" t="inlineStr">
        <is>
          <t>Ligne 1 - Assemblage</t>
        </is>
      </c>
      <c r="D111" s="88" t="inlineStr">
        <is>
          <t>Ligne 1</t>
        </is>
      </c>
      <c r="E111" s="96" t="n">
        <v>0.3381944444444445</v>
      </c>
      <c r="F111" s="96" t="n">
        <v>0.3486111111111111</v>
      </c>
      <c r="G111" s="92">
        <f>IF(OR($E111="",$F111=""),"",ROUND(($F111-$E111+IF($F111&lt;$E111,1,0))*1440,0))</f>
        <v/>
      </c>
      <c r="H111" s="88" t="inlineStr">
        <is>
          <t>MAT-01</t>
        </is>
      </c>
      <c r="I111" s="94">
        <f>IF($H111="","",IFERROR(INDEX(PARAMETRES!$S$7:$S$46,MATCH($H111,PARAMETRES!$R$7:$R$46,0)),"Code inconnu"))</f>
        <v/>
      </c>
      <c r="J111" s="94">
        <f>IF($H111="","",IFERROR(INDEX(PARAMETRES!$T$7:$T$46,MATCH($H111,PARAMETRES!$R$7:$R$46,0)),""))</f>
        <v/>
      </c>
      <c r="K111" s="94">
        <f>IF($H111="","",IFERROR(INDEX(PARAMETRES!$U$7:$U$46,MATCH($H111,PARAMETRES!$R$7:$R$46,0)),""))</f>
        <v/>
      </c>
      <c r="L111" s="94">
        <f>IF($H111="","",IFERROR(INDEX(PARAMETRES!$V$7:$V$46,MATCH($H111,PARAMETRES!$R$7:$R$46,0)),""))</f>
        <v/>
      </c>
      <c r="M111" s="88" t="n"/>
      <c r="N111" s="88" t="n"/>
      <c r="O111" s="88" t="n"/>
      <c r="P111" s="94">
        <f>IF($G111="","",IF($G111&gt;=60,"Arrêt majeur — analyse 5 pourquoi",IF($G111&gt;=30,"À analyser en revue quotidienne",IF($K111="Planifié","Arrêt planifié","Aléa courant"))))</f>
        <v/>
      </c>
      <c r="Q111" s="95">
        <f>IF($A111="",0,IF(AND(OR(COCKPIT!$H$4="Toutes",$C111=COCKPIT!$H$4),OR(COCKPIT!$K$4="Toutes",$B111=COCKPIT!$K$4)),1,0))</f>
        <v/>
      </c>
    </row>
    <row r="112" ht="15" customHeight="1">
      <c r="A112" s="87" t="n">
        <v>46041</v>
      </c>
      <c r="B112" s="88" t="inlineStr">
        <is>
          <t>Équipe B (après-midi)</t>
        </is>
      </c>
      <c r="C112" s="88" t="inlineStr">
        <is>
          <t>Ligne 1 - Assemblage</t>
        </is>
      </c>
      <c r="D112" s="88" t="inlineStr">
        <is>
          <t>Ligne 1</t>
        </is>
      </c>
      <c r="E112" s="96" t="n">
        <v>0.3604166666666667</v>
      </c>
      <c r="F112" s="96" t="n">
        <v>0.3701388888888889</v>
      </c>
      <c r="G112" s="92">
        <f>IF(OR($E112="",$F112=""),"",ROUND(($F112-$E112+IF($F112&lt;$E112,1,0))*1440,0))</f>
        <v/>
      </c>
      <c r="H112" s="88" t="inlineStr">
        <is>
          <t>PER-02</t>
        </is>
      </c>
      <c r="I112" s="94">
        <f>IF($H112="","",IFERROR(INDEX(PARAMETRES!$S$7:$S$46,MATCH($H112,PARAMETRES!$R$7:$R$46,0)),"Code inconnu"))</f>
        <v/>
      </c>
      <c r="J112" s="94">
        <f>IF($H112="","",IFERROR(INDEX(PARAMETRES!$T$7:$T$46,MATCH($H112,PARAMETRES!$R$7:$R$46,0)),""))</f>
        <v/>
      </c>
      <c r="K112" s="94">
        <f>IF($H112="","",IFERROR(INDEX(PARAMETRES!$U$7:$U$46,MATCH($H112,PARAMETRES!$R$7:$R$46,0)),""))</f>
        <v/>
      </c>
      <c r="L112" s="94">
        <f>IF($H112="","",IFERROR(INDEX(PARAMETRES!$V$7:$V$46,MATCH($H112,PARAMETRES!$R$7:$R$46,0)),""))</f>
        <v/>
      </c>
      <c r="M112" s="88" t="n"/>
      <c r="N112" s="88" t="n"/>
      <c r="O112" s="88" t="n"/>
      <c r="P112" s="94">
        <f>IF($G112="","",IF($G112&gt;=60,"Arrêt majeur — analyse 5 pourquoi",IF($G112&gt;=30,"À analyser en revue quotidienne",IF($K112="Planifié","Arrêt planifié","Aléa courant"))))</f>
        <v/>
      </c>
      <c r="Q112" s="95">
        <f>IF($A112="",0,IF(AND(OR(COCKPIT!$H$4="Toutes",$C112=COCKPIT!$H$4),OR(COCKPIT!$K$4="Toutes",$B112=COCKPIT!$K$4)),1,0))</f>
        <v/>
      </c>
    </row>
    <row r="113" ht="15" customHeight="1">
      <c r="A113" s="87" t="n">
        <v>46041</v>
      </c>
      <c r="B113" s="88" t="inlineStr">
        <is>
          <t>Équipe B (après-midi)</t>
        </is>
      </c>
      <c r="C113" s="88" t="inlineStr">
        <is>
          <t>Ligne 1 - Assemblage</t>
        </is>
      </c>
      <c r="D113" s="88" t="inlineStr">
        <is>
          <t>Ligne 1</t>
        </is>
      </c>
      <c r="E113" s="96" t="n">
        <v>0.38125</v>
      </c>
      <c r="F113" s="96" t="n">
        <v>0.3916666666666667</v>
      </c>
      <c r="G113" s="92">
        <f>IF(OR($E113="",$F113=""),"",ROUND(($F113-$E113+IF($F113&lt;$E113,1,0))*1440,0))</f>
        <v/>
      </c>
      <c r="H113" s="88" t="inlineStr">
        <is>
          <t>ESS-01</t>
        </is>
      </c>
      <c r="I113" s="94">
        <f>IF($H113="","",IFERROR(INDEX(PARAMETRES!$S$7:$S$46,MATCH($H113,PARAMETRES!$R$7:$R$46,0)),"Code inconnu"))</f>
        <v/>
      </c>
      <c r="J113" s="94">
        <f>IF($H113="","",IFERROR(INDEX(PARAMETRES!$T$7:$T$46,MATCH($H113,PARAMETRES!$R$7:$R$46,0)),""))</f>
        <v/>
      </c>
      <c r="K113" s="94">
        <f>IF($H113="","",IFERROR(INDEX(PARAMETRES!$U$7:$U$46,MATCH($H113,PARAMETRES!$R$7:$R$46,0)),""))</f>
        <v/>
      </c>
      <c r="L113" s="94">
        <f>IF($H113="","",IFERROR(INDEX(PARAMETRES!$V$7:$V$46,MATCH($H113,PARAMETRES!$R$7:$R$46,0)),""))</f>
        <v/>
      </c>
      <c r="M113" s="88" t="n"/>
      <c r="N113" s="88" t="n"/>
      <c r="O113" s="88" t="n"/>
      <c r="P113" s="94">
        <f>IF($G113="","",IF($G113&gt;=60,"Arrêt majeur — analyse 5 pourquoi",IF($G113&gt;=30,"À analyser en revue quotidienne",IF($K113="Planifié","Arrêt planifié","Aléa courant"))))</f>
        <v/>
      </c>
      <c r="Q113" s="95">
        <f>IF($A113="",0,IF(AND(OR(COCKPIT!$H$4="Toutes",$C113=COCKPIT!$H$4),OR(COCKPIT!$K$4="Toutes",$B113=COCKPIT!$K$4)),1,0))</f>
        <v/>
      </c>
    </row>
    <row r="114" ht="15" customHeight="1">
      <c r="A114" s="87" t="n">
        <v>46041</v>
      </c>
      <c r="B114" s="88" t="inlineStr">
        <is>
          <t>Équipe A (matin)</t>
        </is>
      </c>
      <c r="C114" s="88" t="inlineStr">
        <is>
          <t>Ligne 2 - Usinage</t>
        </is>
      </c>
      <c r="D114" s="88" t="inlineStr">
        <is>
          <t>Ligne 2</t>
        </is>
      </c>
      <c r="E114" s="96" t="n">
        <v>0.2833333333333333</v>
      </c>
      <c r="F114" s="96" t="n">
        <v>0.3111111111111111</v>
      </c>
      <c r="G114" s="92">
        <f>IF(OR($E114="",$F114=""),"",ROUND(($F114-$E114+IF($F114&lt;$E114,1,0))*1440,0))</f>
        <v/>
      </c>
      <c r="H114" s="88" t="inlineStr">
        <is>
          <t>PLA-01</t>
        </is>
      </c>
      <c r="I114" s="94">
        <f>IF($H114="","",IFERROR(INDEX(PARAMETRES!$S$7:$S$46,MATCH($H114,PARAMETRES!$R$7:$R$46,0)),"Code inconnu"))</f>
        <v/>
      </c>
      <c r="J114" s="94">
        <f>IF($H114="","",IFERROR(INDEX(PARAMETRES!$T$7:$T$46,MATCH($H114,PARAMETRES!$R$7:$R$46,0)),""))</f>
        <v/>
      </c>
      <c r="K114" s="94">
        <f>IF($H114="","",IFERROR(INDEX(PARAMETRES!$U$7:$U$46,MATCH($H114,PARAMETRES!$R$7:$R$46,0)),""))</f>
        <v/>
      </c>
      <c r="L114" s="94">
        <f>IF($H114="","",IFERROR(INDEX(PARAMETRES!$V$7:$V$46,MATCH($H114,PARAMETRES!$R$7:$R$46,0)),""))</f>
        <v/>
      </c>
      <c r="M114" s="88" t="n"/>
      <c r="N114" s="88" t="n"/>
      <c r="O114" s="88" t="n"/>
      <c r="P114" s="94">
        <f>IF($G114="","",IF($G114&gt;=60,"Arrêt majeur — analyse 5 pourquoi",IF($G114&gt;=30,"À analyser en revue quotidienne",IF($K114="Planifié","Arrêt planifié","Aléa courant"))))</f>
        <v/>
      </c>
      <c r="Q114" s="95">
        <f>IF($A114="",0,IF(AND(OR(COCKPIT!$H$4="Toutes",$C114=COCKPIT!$H$4),OR(COCKPIT!$K$4="Toutes",$B114=COCKPIT!$K$4)),1,0))</f>
        <v/>
      </c>
    </row>
    <row r="115" ht="15" customHeight="1">
      <c r="A115" s="87" t="n">
        <v>46041</v>
      </c>
      <c r="B115" s="88" t="inlineStr">
        <is>
          <t>Équipe A (matin)</t>
        </is>
      </c>
      <c r="C115" s="88" t="inlineStr">
        <is>
          <t>Ligne 2 - Usinage</t>
        </is>
      </c>
      <c r="D115" s="88" t="inlineStr">
        <is>
          <t>Ligne 2</t>
        </is>
      </c>
      <c r="E115" s="96" t="n">
        <v>0.3388888888888889</v>
      </c>
      <c r="F115" s="96" t="n">
        <v>0.3486111111111111</v>
      </c>
      <c r="G115" s="92">
        <f>IF(OR($E115="",$F115=""),"",ROUND(($F115-$E115+IF($F115&lt;$E115,1,0))*1440,0))</f>
        <v/>
      </c>
      <c r="H115" s="88" t="inlineStr">
        <is>
          <t>LOG-02</t>
        </is>
      </c>
      <c r="I115" s="94">
        <f>IF($H115="","",IFERROR(INDEX(PARAMETRES!$S$7:$S$46,MATCH($H115,PARAMETRES!$R$7:$R$46,0)),"Code inconnu"))</f>
        <v/>
      </c>
      <c r="J115" s="94">
        <f>IF($H115="","",IFERROR(INDEX(PARAMETRES!$T$7:$T$46,MATCH($H115,PARAMETRES!$R$7:$R$46,0)),""))</f>
        <v/>
      </c>
      <c r="K115" s="94">
        <f>IF($H115="","",IFERROR(INDEX(PARAMETRES!$U$7:$U$46,MATCH($H115,PARAMETRES!$R$7:$R$46,0)),""))</f>
        <v/>
      </c>
      <c r="L115" s="94">
        <f>IF($H115="","",IFERROR(INDEX(PARAMETRES!$V$7:$V$46,MATCH($H115,PARAMETRES!$R$7:$R$46,0)),""))</f>
        <v/>
      </c>
      <c r="M115" s="88" t="n"/>
      <c r="N115" s="88" t="n"/>
      <c r="O115" s="88" t="n"/>
      <c r="P115" s="94">
        <f>IF($G115="","",IF($G115&gt;=60,"Arrêt majeur — analyse 5 pourquoi",IF($G115&gt;=30,"À analyser en revue quotidienne",IF($K115="Planifié","Arrêt planifié","Aléa courant"))))</f>
        <v/>
      </c>
      <c r="Q115" s="95">
        <f>IF($A115="",0,IF(AND(OR(COCKPIT!$H$4="Toutes",$C115=COCKPIT!$H$4),OR(COCKPIT!$K$4="Toutes",$B115=COCKPIT!$K$4)),1,0))</f>
        <v/>
      </c>
    </row>
    <row r="116" ht="15" customHeight="1">
      <c r="A116" s="87" t="n">
        <v>46041</v>
      </c>
      <c r="B116" s="88" t="inlineStr">
        <is>
          <t>Équipe A (matin)</t>
        </is>
      </c>
      <c r="C116" s="88" t="inlineStr">
        <is>
          <t>Ligne 2 - Usinage</t>
        </is>
      </c>
      <c r="D116" s="88" t="inlineStr">
        <is>
          <t>Ligne 2</t>
        </is>
      </c>
      <c r="E116" s="96" t="n">
        <v>0.3694444444444445</v>
      </c>
      <c r="F116" s="96" t="n">
        <v>0.3833333333333334</v>
      </c>
      <c r="G116" s="92">
        <f>IF(OR($E116="",$F116=""),"",ROUND(($F116-$E116+IF($F116&lt;$E116,1,0))*1440,0))</f>
        <v/>
      </c>
      <c r="H116" s="88" t="inlineStr">
        <is>
          <t>PAN-02</t>
        </is>
      </c>
      <c r="I116" s="94">
        <f>IF($H116="","",IFERROR(INDEX(PARAMETRES!$S$7:$S$46,MATCH($H116,PARAMETRES!$R$7:$R$46,0)),"Code inconnu"))</f>
        <v/>
      </c>
      <c r="J116" s="94">
        <f>IF($H116="","",IFERROR(INDEX(PARAMETRES!$T$7:$T$46,MATCH($H116,PARAMETRES!$R$7:$R$46,0)),""))</f>
        <v/>
      </c>
      <c r="K116" s="94">
        <f>IF($H116="","",IFERROR(INDEX(PARAMETRES!$U$7:$U$46,MATCH($H116,PARAMETRES!$R$7:$R$46,0)),""))</f>
        <v/>
      </c>
      <c r="L116" s="94">
        <f>IF($H116="","",IFERROR(INDEX(PARAMETRES!$V$7:$V$46,MATCH($H116,PARAMETRES!$R$7:$R$46,0)),""))</f>
        <v/>
      </c>
      <c r="M116" s="88" t="n"/>
      <c r="N116" s="88" t="n"/>
      <c r="O116" s="88" t="n"/>
      <c r="P116" s="94">
        <f>IF($G116="","",IF($G116&gt;=60,"Arrêt majeur — analyse 5 pourquoi",IF($G116&gt;=30,"À analyser en revue quotidienne",IF($K116="Planifié","Arrêt planifié","Aléa courant"))))</f>
        <v/>
      </c>
      <c r="Q116" s="95">
        <f>IF($A116="",0,IF(AND(OR(COCKPIT!$H$4="Toutes",$C116=COCKPIT!$H$4),OR(COCKPIT!$K$4="Toutes",$B116=COCKPIT!$K$4)),1,0))</f>
        <v/>
      </c>
    </row>
    <row r="117" ht="15" customHeight="1">
      <c r="A117" s="87" t="n">
        <v>46041</v>
      </c>
      <c r="B117" s="88" t="inlineStr">
        <is>
          <t>Équipe A (matin)</t>
        </is>
      </c>
      <c r="C117" s="88" t="inlineStr">
        <is>
          <t>Ligne 2 - Usinage</t>
        </is>
      </c>
      <c r="D117" s="88" t="inlineStr">
        <is>
          <t>Ligne 2</t>
        </is>
      </c>
      <c r="E117" s="96" t="n">
        <v>0.3902777777777778</v>
      </c>
      <c r="F117" s="96" t="n">
        <v>0.4104166666666667</v>
      </c>
      <c r="G117" s="92">
        <f>IF(OR($E117="",$F117=""),"",ROUND(($F117-$E117+IF($F117&lt;$E117,1,0))*1440,0))</f>
        <v/>
      </c>
      <c r="H117" s="88" t="inlineStr">
        <is>
          <t>CDS-02</t>
        </is>
      </c>
      <c r="I117" s="94">
        <f>IF($H117="","",IFERROR(INDEX(PARAMETRES!$S$7:$S$46,MATCH($H117,PARAMETRES!$R$7:$R$46,0)),"Code inconnu"))</f>
        <v/>
      </c>
      <c r="J117" s="94">
        <f>IF($H117="","",IFERROR(INDEX(PARAMETRES!$T$7:$T$46,MATCH($H117,PARAMETRES!$R$7:$R$46,0)),""))</f>
        <v/>
      </c>
      <c r="K117" s="94">
        <f>IF($H117="","",IFERROR(INDEX(PARAMETRES!$U$7:$U$46,MATCH($H117,PARAMETRES!$R$7:$R$46,0)),""))</f>
        <v/>
      </c>
      <c r="L117" s="94">
        <f>IF($H117="","",IFERROR(INDEX(PARAMETRES!$V$7:$V$46,MATCH($H117,PARAMETRES!$R$7:$R$46,0)),""))</f>
        <v/>
      </c>
      <c r="M117" s="88" t="n"/>
      <c r="N117" s="88" t="n"/>
      <c r="O117" s="88" t="n"/>
      <c r="P117" s="94">
        <f>IF($G117="","",IF($G117&gt;=60,"Arrêt majeur — analyse 5 pourquoi",IF($G117&gt;=30,"À analyser en revue quotidienne",IF($K117="Planifié","Arrêt planifié","Aléa courant"))))</f>
        <v/>
      </c>
      <c r="Q117" s="95">
        <f>IF($A117="",0,IF(AND(OR(COCKPIT!$H$4="Toutes",$C117=COCKPIT!$H$4),OR(COCKPIT!$K$4="Toutes",$B117=COCKPIT!$K$4)),1,0))</f>
        <v/>
      </c>
    </row>
    <row r="118" ht="15" customHeight="1">
      <c r="A118" s="87" t="n">
        <v>46041</v>
      </c>
      <c r="B118" s="88" t="inlineStr">
        <is>
          <t>Équipe A (matin)</t>
        </is>
      </c>
      <c r="C118" s="88" t="inlineStr">
        <is>
          <t>Ligne 2 - Usinage</t>
        </is>
      </c>
      <c r="D118" s="88" t="inlineStr">
        <is>
          <t>Ligne 2</t>
        </is>
      </c>
      <c r="E118" s="96" t="n">
        <v>0.4375</v>
      </c>
      <c r="F118" s="96" t="n">
        <v>0.45</v>
      </c>
      <c r="G118" s="92">
        <f>IF(OR($E118="",$F118=""),"",ROUND(($F118-$E118+IF($F118&lt;$E118,1,0))*1440,0))</f>
        <v/>
      </c>
      <c r="H118" s="88" t="inlineStr">
        <is>
          <t>MAT-01</t>
        </is>
      </c>
      <c r="I118" s="94">
        <f>IF($H118="","",IFERROR(INDEX(PARAMETRES!$S$7:$S$46,MATCH($H118,PARAMETRES!$R$7:$R$46,0)),"Code inconnu"))</f>
        <v/>
      </c>
      <c r="J118" s="94">
        <f>IF($H118="","",IFERROR(INDEX(PARAMETRES!$T$7:$T$46,MATCH($H118,PARAMETRES!$R$7:$R$46,0)),""))</f>
        <v/>
      </c>
      <c r="K118" s="94">
        <f>IF($H118="","",IFERROR(INDEX(PARAMETRES!$U$7:$U$46,MATCH($H118,PARAMETRES!$R$7:$R$46,0)),""))</f>
        <v/>
      </c>
      <c r="L118" s="94">
        <f>IF($H118="","",IFERROR(INDEX(PARAMETRES!$V$7:$V$46,MATCH($H118,PARAMETRES!$R$7:$R$46,0)),""))</f>
        <v/>
      </c>
      <c r="M118" s="88" t="n"/>
      <c r="N118" s="88" t="n"/>
      <c r="O118" s="88" t="n"/>
      <c r="P118" s="94">
        <f>IF($G118="","",IF($G118&gt;=60,"Arrêt majeur — analyse 5 pourquoi",IF($G118&gt;=30,"À analyser en revue quotidienne",IF($K118="Planifié","Arrêt planifié","Aléa courant"))))</f>
        <v/>
      </c>
      <c r="Q118" s="95">
        <f>IF($A118="",0,IF(AND(OR(COCKPIT!$H$4="Toutes",$C118=COCKPIT!$H$4),OR(COCKPIT!$K$4="Toutes",$B118=COCKPIT!$K$4)),1,0))</f>
        <v/>
      </c>
    </row>
    <row r="119" ht="15" customHeight="1">
      <c r="A119" s="87" t="n">
        <v>46042</v>
      </c>
      <c r="B119" s="88" t="inlineStr">
        <is>
          <t>Équipe A (matin)</t>
        </is>
      </c>
      <c r="C119" s="88" t="inlineStr">
        <is>
          <t>Ligne 1 - Assemblage</t>
        </is>
      </c>
      <c r="D119" s="88" t="inlineStr">
        <is>
          <t>Ligne 1</t>
        </is>
      </c>
      <c r="E119" s="96" t="n">
        <v>0.2881944444444444</v>
      </c>
      <c r="F119" s="96" t="n">
        <v>0.3159722222222222</v>
      </c>
      <c r="G119" s="92">
        <f>IF(OR($E119="",$F119=""),"",ROUND(($F119-$E119+IF($F119&lt;$E119,1,0))*1440,0))</f>
        <v/>
      </c>
      <c r="H119" s="88" t="inlineStr">
        <is>
          <t>PLA-01</t>
        </is>
      </c>
      <c r="I119" s="94">
        <f>IF($H119="","",IFERROR(INDEX(PARAMETRES!$S$7:$S$46,MATCH($H119,PARAMETRES!$R$7:$R$46,0)),"Code inconnu"))</f>
        <v/>
      </c>
      <c r="J119" s="94">
        <f>IF($H119="","",IFERROR(INDEX(PARAMETRES!$T$7:$T$46,MATCH($H119,PARAMETRES!$R$7:$R$46,0)),""))</f>
        <v/>
      </c>
      <c r="K119" s="94">
        <f>IF($H119="","",IFERROR(INDEX(PARAMETRES!$U$7:$U$46,MATCH($H119,PARAMETRES!$R$7:$R$46,0)),""))</f>
        <v/>
      </c>
      <c r="L119" s="94">
        <f>IF($H119="","",IFERROR(INDEX(PARAMETRES!$V$7:$V$46,MATCH($H119,PARAMETRES!$R$7:$R$46,0)),""))</f>
        <v/>
      </c>
      <c r="M119" s="88" t="n"/>
      <c r="N119" s="88" t="n"/>
      <c r="O119" s="88" t="n"/>
      <c r="P119" s="94">
        <f>IF($G119="","",IF($G119&gt;=60,"Arrêt majeur — analyse 5 pourquoi",IF($G119&gt;=30,"À analyser en revue quotidienne",IF($K119="Planifié","Arrêt planifié","Aléa courant"))))</f>
        <v/>
      </c>
      <c r="Q119" s="95">
        <f>IF($A119="",0,IF(AND(OR(COCKPIT!$H$4="Toutes",$C119=COCKPIT!$H$4),OR(COCKPIT!$K$4="Toutes",$B119=COCKPIT!$K$4)),1,0))</f>
        <v/>
      </c>
    </row>
    <row r="120" ht="15" customHeight="1">
      <c r="A120" s="87" t="n">
        <v>46042</v>
      </c>
      <c r="B120" s="88" t="inlineStr">
        <is>
          <t>Équipe A (matin)</t>
        </is>
      </c>
      <c r="C120" s="88" t="inlineStr">
        <is>
          <t>Ligne 1 - Assemblage</t>
        </is>
      </c>
      <c r="D120" s="88" t="inlineStr">
        <is>
          <t>Ligne 1</t>
        </is>
      </c>
      <c r="E120" s="96" t="n">
        <v>0.3368055555555556</v>
      </c>
      <c r="F120" s="96" t="n">
        <v>0.3784722222222222</v>
      </c>
      <c r="G120" s="92">
        <f>IF(OR($E120="",$F120=""),"",ROUND(($F120-$E120+IF($F120&lt;$E120,1,0))*1440,0))</f>
        <v/>
      </c>
      <c r="H120" s="88" t="inlineStr">
        <is>
          <t>PLA-02</t>
        </is>
      </c>
      <c r="I120" s="94">
        <f>IF($H120="","",IFERROR(INDEX(PARAMETRES!$S$7:$S$46,MATCH($H120,PARAMETRES!$R$7:$R$46,0)),"Code inconnu"))</f>
        <v/>
      </c>
      <c r="J120" s="94">
        <f>IF($H120="","",IFERROR(INDEX(PARAMETRES!$T$7:$T$46,MATCH($H120,PARAMETRES!$R$7:$R$46,0)),""))</f>
        <v/>
      </c>
      <c r="K120" s="94">
        <f>IF($H120="","",IFERROR(INDEX(PARAMETRES!$U$7:$U$46,MATCH($H120,PARAMETRES!$R$7:$R$46,0)),""))</f>
        <v/>
      </c>
      <c r="L120" s="94">
        <f>IF($H120="","",IFERROR(INDEX(PARAMETRES!$V$7:$V$46,MATCH($H120,PARAMETRES!$R$7:$R$46,0)),""))</f>
        <v/>
      </c>
      <c r="M120" s="88" t="n"/>
      <c r="N120" s="88" t="n"/>
      <c r="O120" s="88" t="n"/>
      <c r="P120" s="94">
        <f>IF($G120="","",IF($G120&gt;=60,"Arrêt majeur — analyse 5 pourquoi",IF($G120&gt;=30,"À analyser en revue quotidienne",IF($K120="Planifié","Arrêt planifié","Aléa courant"))))</f>
        <v/>
      </c>
      <c r="Q120" s="95">
        <f>IF($A120="",0,IF(AND(OR(COCKPIT!$H$4="Toutes",$C120=COCKPIT!$H$4),OR(COCKPIT!$K$4="Toutes",$B120=COCKPIT!$K$4)),1,0))</f>
        <v/>
      </c>
    </row>
    <row r="121" ht="15" customHeight="1">
      <c r="A121" s="87" t="n">
        <v>46042</v>
      </c>
      <c r="B121" s="88" t="inlineStr">
        <is>
          <t>Équipe A (matin)</t>
        </is>
      </c>
      <c r="C121" s="88" t="inlineStr">
        <is>
          <t>Ligne 1 - Assemblage</t>
        </is>
      </c>
      <c r="D121" s="88" t="inlineStr">
        <is>
          <t>Ligne 1</t>
        </is>
      </c>
      <c r="E121" s="96" t="n">
        <v>0.4090277777777778</v>
      </c>
      <c r="F121" s="96" t="n">
        <v>0.43125</v>
      </c>
      <c r="G121" s="92">
        <f>IF(OR($E121="",$F121=""),"",ROUND(($F121-$E121+IF($F121&lt;$E121,1,0))*1440,0))</f>
        <v/>
      </c>
      <c r="H121" s="88" t="inlineStr">
        <is>
          <t>PAN-01</t>
        </is>
      </c>
      <c r="I121" s="94">
        <f>IF($H121="","",IFERROR(INDEX(PARAMETRES!$S$7:$S$46,MATCH($H121,PARAMETRES!$R$7:$R$46,0)),"Code inconnu"))</f>
        <v/>
      </c>
      <c r="J121" s="94">
        <f>IF($H121="","",IFERROR(INDEX(PARAMETRES!$T$7:$T$46,MATCH($H121,PARAMETRES!$R$7:$R$46,0)),""))</f>
        <v/>
      </c>
      <c r="K121" s="94">
        <f>IF($H121="","",IFERROR(INDEX(PARAMETRES!$U$7:$U$46,MATCH($H121,PARAMETRES!$R$7:$R$46,0)),""))</f>
        <v/>
      </c>
      <c r="L121" s="94">
        <f>IF($H121="","",IFERROR(INDEX(PARAMETRES!$V$7:$V$46,MATCH($H121,PARAMETRES!$R$7:$R$46,0)),""))</f>
        <v/>
      </c>
      <c r="M121" s="88" t="n"/>
      <c r="N121" s="88" t="n"/>
      <c r="O121" s="88" t="n"/>
      <c r="P121" s="94">
        <f>IF($G121="","",IF($G121&gt;=60,"Arrêt majeur — analyse 5 pourquoi",IF($G121&gt;=30,"À analyser en revue quotidienne",IF($K121="Planifié","Arrêt planifié","Aléa courant"))))</f>
        <v/>
      </c>
      <c r="Q121" s="95">
        <f>IF($A121="",0,IF(AND(OR(COCKPIT!$H$4="Toutes",$C121=COCKPIT!$H$4),OR(COCKPIT!$K$4="Toutes",$B121=COCKPIT!$K$4)),1,0))</f>
        <v/>
      </c>
    </row>
    <row r="122" ht="15" customHeight="1">
      <c r="A122" s="87" t="n">
        <v>46042</v>
      </c>
      <c r="B122" s="88" t="inlineStr">
        <is>
          <t>Équipe A (matin)</t>
        </is>
      </c>
      <c r="C122" s="88" t="inlineStr">
        <is>
          <t>Ligne 1 - Assemblage</t>
        </is>
      </c>
      <c r="D122" s="88" t="inlineStr">
        <is>
          <t>Ligne 1</t>
        </is>
      </c>
      <c r="E122" s="96" t="n">
        <v>0.4451388888888889</v>
      </c>
      <c r="F122" s="96" t="n">
        <v>0.4590277777777778</v>
      </c>
      <c r="G122" s="92">
        <f>IF(OR($E122="",$F122=""),"",ROUND(($F122-$E122+IF($F122&lt;$E122,1,0))*1440,0))</f>
        <v/>
      </c>
      <c r="H122" s="88" t="inlineStr">
        <is>
          <t>CDS-01</t>
        </is>
      </c>
      <c r="I122" s="94">
        <f>IF($H122="","",IFERROR(INDEX(PARAMETRES!$S$7:$S$46,MATCH($H122,PARAMETRES!$R$7:$R$46,0)),"Code inconnu"))</f>
        <v/>
      </c>
      <c r="J122" s="94">
        <f>IF($H122="","",IFERROR(INDEX(PARAMETRES!$T$7:$T$46,MATCH($H122,PARAMETRES!$R$7:$R$46,0)),""))</f>
        <v/>
      </c>
      <c r="K122" s="94">
        <f>IF($H122="","",IFERROR(INDEX(PARAMETRES!$U$7:$U$46,MATCH($H122,PARAMETRES!$R$7:$R$46,0)),""))</f>
        <v/>
      </c>
      <c r="L122" s="94">
        <f>IF($H122="","",IFERROR(INDEX(PARAMETRES!$V$7:$V$46,MATCH($H122,PARAMETRES!$R$7:$R$46,0)),""))</f>
        <v/>
      </c>
      <c r="M122" s="88" t="n"/>
      <c r="N122" s="88" t="n"/>
      <c r="O122" s="88" t="n"/>
      <c r="P122" s="94">
        <f>IF($G122="","",IF($G122&gt;=60,"Arrêt majeur — analyse 5 pourquoi",IF($G122&gt;=30,"À analyser en revue quotidienne",IF($K122="Planifié","Arrêt planifié","Aléa courant"))))</f>
        <v/>
      </c>
      <c r="Q122" s="95">
        <f>IF($A122="",0,IF(AND(OR(COCKPIT!$H$4="Toutes",$C122=COCKPIT!$H$4),OR(COCKPIT!$K$4="Toutes",$B122=COCKPIT!$K$4)),1,0))</f>
        <v/>
      </c>
    </row>
    <row r="123" ht="15" customHeight="1">
      <c r="A123" s="87" t="n">
        <v>46042</v>
      </c>
      <c r="B123" s="88" t="inlineStr">
        <is>
          <t>Équipe B (après-midi)</t>
        </is>
      </c>
      <c r="C123" s="88" t="inlineStr">
        <is>
          <t>Ligne 2 - Usinage</t>
        </is>
      </c>
      <c r="D123" s="88" t="inlineStr">
        <is>
          <t>Ligne 2</t>
        </is>
      </c>
      <c r="E123" s="96" t="n">
        <v>0.2861111111111111</v>
      </c>
      <c r="F123" s="96" t="n">
        <v>0.3138888888888889</v>
      </c>
      <c r="G123" s="92">
        <f>IF(OR($E123="",$F123=""),"",ROUND(($F123-$E123+IF($F123&lt;$E123,1,0))*1440,0))</f>
        <v/>
      </c>
      <c r="H123" s="88" t="inlineStr">
        <is>
          <t>PLA-01</t>
        </is>
      </c>
      <c r="I123" s="94">
        <f>IF($H123="","",IFERROR(INDEX(PARAMETRES!$S$7:$S$46,MATCH($H123,PARAMETRES!$R$7:$R$46,0)),"Code inconnu"))</f>
        <v/>
      </c>
      <c r="J123" s="94">
        <f>IF($H123="","",IFERROR(INDEX(PARAMETRES!$T$7:$T$46,MATCH($H123,PARAMETRES!$R$7:$R$46,0)),""))</f>
        <v/>
      </c>
      <c r="K123" s="94">
        <f>IF($H123="","",IFERROR(INDEX(PARAMETRES!$U$7:$U$46,MATCH($H123,PARAMETRES!$R$7:$R$46,0)),""))</f>
        <v/>
      </c>
      <c r="L123" s="94">
        <f>IF($H123="","",IFERROR(INDEX(PARAMETRES!$V$7:$V$46,MATCH($H123,PARAMETRES!$R$7:$R$46,0)),""))</f>
        <v/>
      </c>
      <c r="M123" s="88" t="n"/>
      <c r="N123" s="88" t="n"/>
      <c r="O123" s="88" t="n"/>
      <c r="P123" s="94">
        <f>IF($G123="","",IF($G123&gt;=60,"Arrêt majeur — analyse 5 pourquoi",IF($G123&gt;=30,"À analyser en revue quotidienne",IF($K123="Planifié","Arrêt planifié","Aléa courant"))))</f>
        <v/>
      </c>
      <c r="Q123" s="95">
        <f>IF($A123="",0,IF(AND(OR(COCKPIT!$H$4="Toutes",$C123=COCKPIT!$H$4),OR(COCKPIT!$K$4="Toutes",$B123=COCKPIT!$K$4)),1,0))</f>
        <v/>
      </c>
    </row>
    <row r="124" ht="15" customHeight="1">
      <c r="A124" s="87" t="n">
        <v>46042</v>
      </c>
      <c r="B124" s="88" t="inlineStr">
        <is>
          <t>Équipe B (après-midi)</t>
        </is>
      </c>
      <c r="C124" s="88" t="inlineStr">
        <is>
          <t>Ligne 2 - Usinage</t>
        </is>
      </c>
      <c r="D124" s="88" t="inlineStr">
        <is>
          <t>Ligne 2</t>
        </is>
      </c>
      <c r="E124" s="96" t="n">
        <v>0.3270833333333333</v>
      </c>
      <c r="F124" s="96" t="n">
        <v>0.36875</v>
      </c>
      <c r="G124" s="92">
        <f>IF(OR($E124="",$F124=""),"",ROUND(($F124-$E124+IF($F124&lt;$E124,1,0))*1440,0))</f>
        <v/>
      </c>
      <c r="H124" s="88" t="inlineStr">
        <is>
          <t>PLA-02</t>
        </is>
      </c>
      <c r="I124" s="94">
        <f>IF($H124="","",IFERROR(INDEX(PARAMETRES!$S$7:$S$46,MATCH($H124,PARAMETRES!$R$7:$R$46,0)),"Code inconnu"))</f>
        <v/>
      </c>
      <c r="J124" s="94">
        <f>IF($H124="","",IFERROR(INDEX(PARAMETRES!$T$7:$T$46,MATCH($H124,PARAMETRES!$R$7:$R$46,0)),""))</f>
        <v/>
      </c>
      <c r="K124" s="94">
        <f>IF($H124="","",IFERROR(INDEX(PARAMETRES!$U$7:$U$46,MATCH($H124,PARAMETRES!$R$7:$R$46,0)),""))</f>
        <v/>
      </c>
      <c r="L124" s="94">
        <f>IF($H124="","",IFERROR(INDEX(PARAMETRES!$V$7:$V$46,MATCH($H124,PARAMETRES!$R$7:$R$46,0)),""))</f>
        <v/>
      </c>
      <c r="M124" s="88" t="n"/>
      <c r="N124" s="88" t="n"/>
      <c r="O124" s="88" t="n"/>
      <c r="P124" s="94">
        <f>IF($G124="","",IF($G124&gt;=60,"Arrêt majeur — analyse 5 pourquoi",IF($G124&gt;=30,"À analyser en revue quotidienne",IF($K124="Planifié","Arrêt planifié","Aléa courant"))))</f>
        <v/>
      </c>
      <c r="Q124" s="95">
        <f>IF($A124="",0,IF(AND(OR(COCKPIT!$H$4="Toutes",$C124=COCKPIT!$H$4),OR(COCKPIT!$K$4="Toutes",$B124=COCKPIT!$K$4)),1,0))</f>
        <v/>
      </c>
    </row>
    <row r="125" ht="15" customHeight="1">
      <c r="A125" s="87" t="n">
        <v>46042</v>
      </c>
      <c r="B125" s="88" t="inlineStr">
        <is>
          <t>Équipe B (après-midi)</t>
        </is>
      </c>
      <c r="C125" s="88" t="inlineStr">
        <is>
          <t>Ligne 2 - Usinage</t>
        </is>
      </c>
      <c r="D125" s="88" t="inlineStr">
        <is>
          <t>Ligne 2</t>
        </is>
      </c>
      <c r="E125" s="96" t="n">
        <v>0.3763888888888889</v>
      </c>
      <c r="F125" s="96" t="n">
        <v>0.3798611111111111</v>
      </c>
      <c r="G125" s="92">
        <f>IF(OR($E125="",$F125=""),"",ROUND(($F125-$E125+IF($F125&lt;$E125,1,0))*1440,0))</f>
        <v/>
      </c>
      <c r="H125" s="88" t="inlineStr">
        <is>
          <t>REG-01</t>
        </is>
      </c>
      <c r="I125" s="94">
        <f>IF($H125="","",IFERROR(INDEX(PARAMETRES!$S$7:$S$46,MATCH($H125,PARAMETRES!$R$7:$R$46,0)),"Code inconnu"))</f>
        <v/>
      </c>
      <c r="J125" s="94">
        <f>IF($H125="","",IFERROR(INDEX(PARAMETRES!$T$7:$T$46,MATCH($H125,PARAMETRES!$R$7:$R$46,0)),""))</f>
        <v/>
      </c>
      <c r="K125" s="94">
        <f>IF($H125="","",IFERROR(INDEX(PARAMETRES!$U$7:$U$46,MATCH($H125,PARAMETRES!$R$7:$R$46,0)),""))</f>
        <v/>
      </c>
      <c r="L125" s="94">
        <f>IF($H125="","",IFERROR(INDEX(PARAMETRES!$V$7:$V$46,MATCH($H125,PARAMETRES!$R$7:$R$46,0)),""))</f>
        <v/>
      </c>
      <c r="M125" s="88" t="n"/>
      <c r="N125" s="88" t="n"/>
      <c r="O125" s="88" t="n"/>
      <c r="P125" s="94">
        <f>IF($G125="","",IF($G125&gt;=60,"Arrêt majeur — analyse 5 pourquoi",IF($G125&gt;=30,"À analyser en revue quotidienne",IF($K125="Planifié","Arrêt planifié","Aléa courant"))))</f>
        <v/>
      </c>
      <c r="Q125" s="95">
        <f>IF($A125="",0,IF(AND(OR(COCKPIT!$H$4="Toutes",$C125=COCKPIT!$H$4),OR(COCKPIT!$K$4="Toutes",$B125=COCKPIT!$K$4)),1,0))</f>
        <v/>
      </c>
    </row>
    <row r="126" ht="15" customHeight="1">
      <c r="A126" s="87" t="n">
        <v>46042</v>
      </c>
      <c r="B126" s="88" t="inlineStr">
        <is>
          <t>Équipe B (après-midi)</t>
        </is>
      </c>
      <c r="C126" s="88" t="inlineStr">
        <is>
          <t>Ligne 2 - Usinage</t>
        </is>
      </c>
      <c r="D126" s="88" t="inlineStr">
        <is>
          <t>Ligne 2</t>
        </is>
      </c>
      <c r="E126" s="96" t="n">
        <v>0.3875</v>
      </c>
      <c r="F126" s="96" t="n">
        <v>0.4020833333333333</v>
      </c>
      <c r="G126" s="92">
        <f>IF(OR($E126="",$F126=""),"",ROUND(($F126-$E126+IF($F126&lt;$E126,1,0))*1440,0))</f>
        <v/>
      </c>
      <c r="H126" s="88" t="inlineStr">
        <is>
          <t>MAT-02</t>
        </is>
      </c>
      <c r="I126" s="94">
        <f>IF($H126="","",IFERROR(INDEX(PARAMETRES!$S$7:$S$46,MATCH($H126,PARAMETRES!$R$7:$R$46,0)),"Code inconnu"))</f>
        <v/>
      </c>
      <c r="J126" s="94">
        <f>IF($H126="","",IFERROR(INDEX(PARAMETRES!$T$7:$T$46,MATCH($H126,PARAMETRES!$R$7:$R$46,0)),""))</f>
        <v/>
      </c>
      <c r="K126" s="94">
        <f>IF($H126="","",IFERROR(INDEX(PARAMETRES!$U$7:$U$46,MATCH($H126,PARAMETRES!$R$7:$R$46,0)),""))</f>
        <v/>
      </c>
      <c r="L126" s="94">
        <f>IF($H126="","",IFERROR(INDEX(PARAMETRES!$V$7:$V$46,MATCH($H126,PARAMETRES!$R$7:$R$46,0)),""))</f>
        <v/>
      </c>
      <c r="M126" s="88" t="n"/>
      <c r="N126" s="88" t="n"/>
      <c r="O126" s="88" t="n"/>
      <c r="P126" s="94">
        <f>IF($G126="","",IF($G126&gt;=60,"Arrêt majeur — analyse 5 pourquoi",IF($G126&gt;=30,"À analyser en revue quotidienne",IF($K126="Planifié","Arrêt planifié","Aléa courant"))))</f>
        <v/>
      </c>
      <c r="Q126" s="95">
        <f>IF($A126="",0,IF(AND(OR(COCKPIT!$H$4="Toutes",$C126=COCKPIT!$H$4),OR(COCKPIT!$K$4="Toutes",$B126=COCKPIT!$K$4)),1,0))</f>
        <v/>
      </c>
    </row>
    <row r="127" ht="15" customHeight="1">
      <c r="A127" s="87" t="n">
        <v>46042</v>
      </c>
      <c r="B127" s="88" t="inlineStr">
        <is>
          <t>Équipe B (après-midi)</t>
        </is>
      </c>
      <c r="C127" s="88" t="inlineStr">
        <is>
          <t>Ligne 2 - Usinage</t>
        </is>
      </c>
      <c r="D127" s="88" t="inlineStr">
        <is>
          <t>Ligne 2</t>
        </is>
      </c>
      <c r="E127" s="96" t="n">
        <v>0.4326388888888889</v>
      </c>
      <c r="F127" s="96" t="n">
        <v>0.44375</v>
      </c>
      <c r="G127" s="92">
        <f>IF(OR($E127="",$F127=""),"",ROUND(($F127-$E127+IF($F127&lt;$E127,1,0))*1440,0))</f>
        <v/>
      </c>
      <c r="H127" s="88" t="inlineStr">
        <is>
          <t>LOG-01</t>
        </is>
      </c>
      <c r="I127" s="94">
        <f>IF($H127="","",IFERROR(INDEX(PARAMETRES!$S$7:$S$46,MATCH($H127,PARAMETRES!$R$7:$R$46,0)),"Code inconnu"))</f>
        <v/>
      </c>
      <c r="J127" s="94">
        <f>IF($H127="","",IFERROR(INDEX(PARAMETRES!$T$7:$T$46,MATCH($H127,PARAMETRES!$R$7:$R$46,0)),""))</f>
        <v/>
      </c>
      <c r="K127" s="94">
        <f>IF($H127="","",IFERROR(INDEX(PARAMETRES!$U$7:$U$46,MATCH($H127,PARAMETRES!$R$7:$R$46,0)),""))</f>
        <v/>
      </c>
      <c r="L127" s="94">
        <f>IF($H127="","",IFERROR(INDEX(PARAMETRES!$V$7:$V$46,MATCH($H127,PARAMETRES!$R$7:$R$46,0)),""))</f>
        <v/>
      </c>
      <c r="M127" s="88" t="n"/>
      <c r="N127" s="88" t="n"/>
      <c r="O127" s="88" t="n"/>
      <c r="P127" s="94">
        <f>IF($G127="","",IF($G127&gt;=60,"Arrêt majeur — analyse 5 pourquoi",IF($G127&gt;=30,"À analyser en revue quotidienne",IF($K127="Planifié","Arrêt planifié","Aléa courant"))))</f>
        <v/>
      </c>
      <c r="Q127" s="95">
        <f>IF($A127="",0,IF(AND(OR(COCKPIT!$H$4="Toutes",$C127=COCKPIT!$H$4),OR(COCKPIT!$K$4="Toutes",$B127=COCKPIT!$K$4)),1,0))</f>
        <v/>
      </c>
    </row>
    <row r="128" ht="15" customHeight="1">
      <c r="A128" s="87" t="n">
        <v>46043</v>
      </c>
      <c r="B128" s="88" t="inlineStr">
        <is>
          <t>Équipe B (après-midi)</t>
        </is>
      </c>
      <c r="C128" s="88" t="inlineStr">
        <is>
          <t>Ligne 1 - Assemblage</t>
        </is>
      </c>
      <c r="D128" s="88" t="inlineStr">
        <is>
          <t>Ligne 1</t>
        </is>
      </c>
      <c r="E128" s="96" t="n">
        <v>0.28125</v>
      </c>
      <c r="F128" s="96" t="n">
        <v>0.3090277777777778</v>
      </c>
      <c r="G128" s="92">
        <f>IF(OR($E128="",$F128=""),"",ROUND(($F128-$E128+IF($F128&lt;$E128,1,0))*1440,0))</f>
        <v/>
      </c>
      <c r="H128" s="88" t="inlineStr">
        <is>
          <t>PLA-01</t>
        </is>
      </c>
      <c r="I128" s="94">
        <f>IF($H128="","",IFERROR(INDEX(PARAMETRES!$S$7:$S$46,MATCH($H128,PARAMETRES!$R$7:$R$46,0)),"Code inconnu"))</f>
        <v/>
      </c>
      <c r="J128" s="94">
        <f>IF($H128="","",IFERROR(INDEX(PARAMETRES!$T$7:$T$46,MATCH($H128,PARAMETRES!$R$7:$R$46,0)),""))</f>
        <v/>
      </c>
      <c r="K128" s="94">
        <f>IF($H128="","",IFERROR(INDEX(PARAMETRES!$U$7:$U$46,MATCH($H128,PARAMETRES!$R$7:$R$46,0)),""))</f>
        <v/>
      </c>
      <c r="L128" s="94">
        <f>IF($H128="","",IFERROR(INDEX(PARAMETRES!$V$7:$V$46,MATCH($H128,PARAMETRES!$R$7:$R$46,0)),""))</f>
        <v/>
      </c>
      <c r="M128" s="88" t="n"/>
      <c r="N128" s="88" t="n"/>
      <c r="O128" s="88" t="n"/>
      <c r="P128" s="94">
        <f>IF($G128="","",IF($G128&gt;=60,"Arrêt majeur — analyse 5 pourquoi",IF($G128&gt;=30,"À analyser en revue quotidienne",IF($K128="Planifié","Arrêt planifié","Aléa courant"))))</f>
        <v/>
      </c>
      <c r="Q128" s="95">
        <f>IF($A128="",0,IF(AND(OR(COCKPIT!$H$4="Toutes",$C128=COCKPIT!$H$4),OR(COCKPIT!$K$4="Toutes",$B128=COCKPIT!$K$4)),1,0))</f>
        <v/>
      </c>
    </row>
    <row r="129" ht="15" customHeight="1">
      <c r="A129" s="87" t="n">
        <v>46043</v>
      </c>
      <c r="B129" s="88" t="inlineStr">
        <is>
          <t>Équipe B (après-midi)</t>
        </is>
      </c>
      <c r="C129" s="88" t="inlineStr">
        <is>
          <t>Ligne 1 - Assemblage</t>
        </is>
      </c>
      <c r="D129" s="88" t="inlineStr">
        <is>
          <t>Ligne 1</t>
        </is>
      </c>
      <c r="E129" s="96" t="n">
        <v>0.3395833333333333</v>
      </c>
      <c r="F129" s="96" t="n">
        <v>0.3569444444444445</v>
      </c>
      <c r="G129" s="92">
        <f>IF(OR($E129="",$F129=""),"",ROUND(($F129-$E129+IF($F129&lt;$E129,1,0))*1440,0))</f>
        <v/>
      </c>
      <c r="H129" s="88" t="inlineStr">
        <is>
          <t>MAT-01</t>
        </is>
      </c>
      <c r="I129" s="94">
        <f>IF($H129="","",IFERROR(INDEX(PARAMETRES!$S$7:$S$46,MATCH($H129,PARAMETRES!$R$7:$R$46,0)),"Code inconnu"))</f>
        <v/>
      </c>
      <c r="J129" s="94">
        <f>IF($H129="","",IFERROR(INDEX(PARAMETRES!$T$7:$T$46,MATCH($H129,PARAMETRES!$R$7:$R$46,0)),""))</f>
        <v/>
      </c>
      <c r="K129" s="94">
        <f>IF($H129="","",IFERROR(INDEX(PARAMETRES!$U$7:$U$46,MATCH($H129,PARAMETRES!$R$7:$R$46,0)),""))</f>
        <v/>
      </c>
      <c r="L129" s="94">
        <f>IF($H129="","",IFERROR(INDEX(PARAMETRES!$V$7:$V$46,MATCH($H129,PARAMETRES!$R$7:$R$46,0)),""))</f>
        <v/>
      </c>
      <c r="M129" s="88" t="n"/>
      <c r="N129" s="88" t="n"/>
      <c r="O129" s="88" t="n"/>
      <c r="P129" s="94">
        <f>IF($G129="","",IF($G129&gt;=60,"Arrêt majeur — analyse 5 pourquoi",IF($G129&gt;=30,"À analyser en revue quotidienne",IF($K129="Planifié","Arrêt planifié","Aléa courant"))))</f>
        <v/>
      </c>
      <c r="Q129" s="95">
        <f>IF($A129="",0,IF(AND(OR(COCKPIT!$H$4="Toutes",$C129=COCKPIT!$H$4),OR(COCKPIT!$K$4="Toutes",$B129=COCKPIT!$K$4)),1,0))</f>
        <v/>
      </c>
    </row>
    <row r="130" ht="15" customHeight="1">
      <c r="A130" s="87" t="n">
        <v>46043</v>
      </c>
      <c r="B130" s="88" t="inlineStr">
        <is>
          <t>Équipe B (après-midi)</t>
        </is>
      </c>
      <c r="C130" s="88" t="inlineStr">
        <is>
          <t>Ligne 1 - Assemblage</t>
        </is>
      </c>
      <c r="D130" s="88" t="inlineStr">
        <is>
          <t>Ligne 1</t>
        </is>
      </c>
      <c r="E130" s="96" t="n">
        <v>0.3881944444444445</v>
      </c>
      <c r="F130" s="96" t="n">
        <v>0.4083333333333333</v>
      </c>
      <c r="G130" s="92">
        <f>IF(OR($E130="",$F130=""),"",ROUND(($F130-$E130+IF($F130&lt;$E130,1,0))*1440,0))</f>
        <v/>
      </c>
      <c r="H130" s="88" t="inlineStr">
        <is>
          <t>PER-02</t>
        </is>
      </c>
      <c r="I130" s="94">
        <f>IF($H130="","",IFERROR(INDEX(PARAMETRES!$S$7:$S$46,MATCH($H130,PARAMETRES!$R$7:$R$46,0)),"Code inconnu"))</f>
        <v/>
      </c>
      <c r="J130" s="94">
        <f>IF($H130="","",IFERROR(INDEX(PARAMETRES!$T$7:$T$46,MATCH($H130,PARAMETRES!$R$7:$R$46,0)),""))</f>
        <v/>
      </c>
      <c r="K130" s="94">
        <f>IF($H130="","",IFERROR(INDEX(PARAMETRES!$U$7:$U$46,MATCH($H130,PARAMETRES!$R$7:$R$46,0)),""))</f>
        <v/>
      </c>
      <c r="L130" s="94">
        <f>IF($H130="","",IFERROR(INDEX(PARAMETRES!$V$7:$V$46,MATCH($H130,PARAMETRES!$R$7:$R$46,0)),""))</f>
        <v/>
      </c>
      <c r="M130" s="88" t="n"/>
      <c r="N130" s="88" t="n"/>
      <c r="O130" s="88" t="n"/>
      <c r="P130" s="94">
        <f>IF($G130="","",IF($G130&gt;=60,"Arrêt majeur — analyse 5 pourquoi",IF($G130&gt;=30,"À analyser en revue quotidienne",IF($K130="Planifié","Arrêt planifié","Aléa courant"))))</f>
        <v/>
      </c>
      <c r="Q130" s="95">
        <f>IF($A130="",0,IF(AND(OR(COCKPIT!$H$4="Toutes",$C130=COCKPIT!$H$4),OR(COCKPIT!$K$4="Toutes",$B130=COCKPIT!$K$4)),1,0))</f>
        <v/>
      </c>
    </row>
    <row r="131" ht="15" customHeight="1">
      <c r="A131" s="87" t="n">
        <v>46043</v>
      </c>
      <c r="B131" s="88" t="inlineStr">
        <is>
          <t>Équipe B (après-midi)</t>
        </is>
      </c>
      <c r="C131" s="88" t="inlineStr">
        <is>
          <t>Ligne 1 - Assemblage</t>
        </is>
      </c>
      <c r="D131" s="88" t="inlineStr">
        <is>
          <t>Ligne 1</t>
        </is>
      </c>
      <c r="E131" s="96" t="n">
        <v>0.4326388888888889</v>
      </c>
      <c r="F131" s="96" t="n">
        <v>0.4381944444444444</v>
      </c>
      <c r="G131" s="92">
        <f>IF(OR($E131="",$F131=""),"",ROUND(($F131-$E131+IF($F131&lt;$E131,1,0))*1440,0))</f>
        <v/>
      </c>
      <c r="H131" s="88" t="inlineStr">
        <is>
          <t>ESS-01</t>
        </is>
      </c>
      <c r="I131" s="94">
        <f>IF($H131="","",IFERROR(INDEX(PARAMETRES!$S$7:$S$46,MATCH($H131,PARAMETRES!$R$7:$R$46,0)),"Code inconnu"))</f>
        <v/>
      </c>
      <c r="J131" s="94">
        <f>IF($H131="","",IFERROR(INDEX(PARAMETRES!$T$7:$T$46,MATCH($H131,PARAMETRES!$R$7:$R$46,0)),""))</f>
        <v/>
      </c>
      <c r="K131" s="94">
        <f>IF($H131="","",IFERROR(INDEX(PARAMETRES!$U$7:$U$46,MATCH($H131,PARAMETRES!$R$7:$R$46,0)),""))</f>
        <v/>
      </c>
      <c r="L131" s="94">
        <f>IF($H131="","",IFERROR(INDEX(PARAMETRES!$V$7:$V$46,MATCH($H131,PARAMETRES!$R$7:$R$46,0)),""))</f>
        <v/>
      </c>
      <c r="M131" s="88" t="n"/>
      <c r="N131" s="88" t="n"/>
      <c r="O131" s="88" t="n"/>
      <c r="P131" s="94">
        <f>IF($G131="","",IF($G131&gt;=60,"Arrêt majeur — analyse 5 pourquoi",IF($G131&gt;=30,"À analyser en revue quotidienne",IF($K131="Planifié","Arrêt planifié","Aléa courant"))))</f>
        <v/>
      </c>
      <c r="Q131" s="95">
        <f>IF($A131="",0,IF(AND(OR(COCKPIT!$H$4="Toutes",$C131=COCKPIT!$H$4),OR(COCKPIT!$K$4="Toutes",$B131=COCKPIT!$K$4)),1,0))</f>
        <v/>
      </c>
    </row>
    <row r="132" ht="15" customHeight="1">
      <c r="A132" s="87" t="n">
        <v>46043</v>
      </c>
      <c r="B132" s="88" t="inlineStr">
        <is>
          <t>Équipe B (après-midi)</t>
        </is>
      </c>
      <c r="C132" s="88" t="inlineStr">
        <is>
          <t>Ligne 1 - Assemblage</t>
        </is>
      </c>
      <c r="D132" s="88" t="inlineStr">
        <is>
          <t>Ligne 1</t>
        </is>
      </c>
      <c r="E132" s="96" t="n">
        <v>0.4479166666666667</v>
      </c>
      <c r="F132" s="96" t="n">
        <v>0.4805555555555556</v>
      </c>
      <c r="G132" s="92">
        <f>IF(OR($E132="",$F132=""),"",ROUND(($F132-$E132+IF($F132&lt;$E132,1,0))*1440,0))</f>
        <v/>
      </c>
      <c r="H132" s="88" t="inlineStr">
        <is>
          <t>PAN-03</t>
        </is>
      </c>
      <c r="I132" s="94">
        <f>IF($H132="","",IFERROR(INDEX(PARAMETRES!$S$7:$S$46,MATCH($H132,PARAMETRES!$R$7:$R$46,0)),"Code inconnu"))</f>
        <v/>
      </c>
      <c r="J132" s="94">
        <f>IF($H132="","",IFERROR(INDEX(PARAMETRES!$T$7:$T$46,MATCH($H132,PARAMETRES!$R$7:$R$46,0)),""))</f>
        <v/>
      </c>
      <c r="K132" s="94">
        <f>IF($H132="","",IFERROR(INDEX(PARAMETRES!$U$7:$U$46,MATCH($H132,PARAMETRES!$R$7:$R$46,0)),""))</f>
        <v/>
      </c>
      <c r="L132" s="94">
        <f>IF($H132="","",IFERROR(INDEX(PARAMETRES!$V$7:$V$46,MATCH($H132,PARAMETRES!$R$7:$R$46,0)),""))</f>
        <v/>
      </c>
      <c r="M132" s="88" t="n"/>
      <c r="N132" s="88" t="n"/>
      <c r="O132" s="88" t="n"/>
      <c r="P132" s="94">
        <f>IF($G132="","",IF($G132&gt;=60,"Arrêt majeur — analyse 5 pourquoi",IF($G132&gt;=30,"À analyser en revue quotidienne",IF($K132="Planifié","Arrêt planifié","Aléa courant"))))</f>
        <v/>
      </c>
      <c r="Q132" s="95">
        <f>IF($A132="",0,IF(AND(OR(COCKPIT!$H$4="Toutes",$C132=COCKPIT!$H$4),OR(COCKPIT!$K$4="Toutes",$B132=COCKPIT!$K$4)),1,0))</f>
        <v/>
      </c>
    </row>
    <row r="133" ht="15" customHeight="1">
      <c r="A133" s="87" t="n">
        <v>46043</v>
      </c>
      <c r="B133" s="88" t="inlineStr">
        <is>
          <t>Équipe B (après-midi)</t>
        </is>
      </c>
      <c r="C133" s="88" t="inlineStr">
        <is>
          <t>Ligne 1 - Assemblage</t>
        </is>
      </c>
      <c r="D133" s="88" t="inlineStr">
        <is>
          <t>Ligne 1</t>
        </is>
      </c>
      <c r="E133" s="96" t="n">
        <v>0.5006944444444444</v>
      </c>
      <c r="F133" s="96" t="n">
        <v>0.5104166666666666</v>
      </c>
      <c r="G133" s="92">
        <f>IF(OR($E133="",$F133=""),"",ROUND(($F133-$E133+IF($F133&lt;$E133,1,0))*1440,0))</f>
        <v/>
      </c>
      <c r="H133" s="88" t="inlineStr">
        <is>
          <t>REG-01</t>
        </is>
      </c>
      <c r="I133" s="94">
        <f>IF($H133="","",IFERROR(INDEX(PARAMETRES!$S$7:$S$46,MATCH($H133,PARAMETRES!$R$7:$R$46,0)),"Code inconnu"))</f>
        <v/>
      </c>
      <c r="J133" s="94">
        <f>IF($H133="","",IFERROR(INDEX(PARAMETRES!$T$7:$T$46,MATCH($H133,PARAMETRES!$R$7:$R$46,0)),""))</f>
        <v/>
      </c>
      <c r="K133" s="94">
        <f>IF($H133="","",IFERROR(INDEX(PARAMETRES!$U$7:$U$46,MATCH($H133,PARAMETRES!$R$7:$R$46,0)),""))</f>
        <v/>
      </c>
      <c r="L133" s="94">
        <f>IF($H133="","",IFERROR(INDEX(PARAMETRES!$V$7:$V$46,MATCH($H133,PARAMETRES!$R$7:$R$46,0)),""))</f>
        <v/>
      </c>
      <c r="M133" s="88" t="n"/>
      <c r="N133" s="88" t="n"/>
      <c r="O133" s="88" t="n"/>
      <c r="P133" s="94">
        <f>IF($G133="","",IF($G133&gt;=60,"Arrêt majeur — analyse 5 pourquoi",IF($G133&gt;=30,"À analyser en revue quotidienne",IF($K133="Planifié","Arrêt planifié","Aléa courant"))))</f>
        <v/>
      </c>
      <c r="Q133" s="95">
        <f>IF($A133="",0,IF(AND(OR(COCKPIT!$H$4="Toutes",$C133=COCKPIT!$H$4),OR(COCKPIT!$K$4="Toutes",$B133=COCKPIT!$K$4)),1,0))</f>
        <v/>
      </c>
    </row>
    <row r="134" ht="15" customHeight="1">
      <c r="A134" s="87" t="n">
        <v>46043</v>
      </c>
      <c r="B134" s="88" t="inlineStr">
        <is>
          <t>Équipe A (matin)</t>
        </is>
      </c>
      <c r="C134" s="88" t="inlineStr">
        <is>
          <t>Ligne 2 - Usinage</t>
        </is>
      </c>
      <c r="D134" s="88" t="inlineStr">
        <is>
          <t>Ligne 2</t>
        </is>
      </c>
      <c r="E134" s="96" t="n">
        <v>0.2888888888888889</v>
      </c>
      <c r="F134" s="96" t="n">
        <v>0.3166666666666667</v>
      </c>
      <c r="G134" s="92">
        <f>IF(OR($E134="",$F134=""),"",ROUND(($F134-$E134+IF($F134&lt;$E134,1,0))*1440,0))</f>
        <v/>
      </c>
      <c r="H134" s="88" t="inlineStr">
        <is>
          <t>PLA-01</t>
        </is>
      </c>
      <c r="I134" s="94">
        <f>IF($H134="","",IFERROR(INDEX(PARAMETRES!$S$7:$S$46,MATCH($H134,PARAMETRES!$R$7:$R$46,0)),"Code inconnu"))</f>
        <v/>
      </c>
      <c r="J134" s="94">
        <f>IF($H134="","",IFERROR(INDEX(PARAMETRES!$T$7:$T$46,MATCH($H134,PARAMETRES!$R$7:$R$46,0)),""))</f>
        <v/>
      </c>
      <c r="K134" s="94">
        <f>IF($H134="","",IFERROR(INDEX(PARAMETRES!$U$7:$U$46,MATCH($H134,PARAMETRES!$R$7:$R$46,0)),""))</f>
        <v/>
      </c>
      <c r="L134" s="94">
        <f>IF($H134="","",IFERROR(INDEX(PARAMETRES!$V$7:$V$46,MATCH($H134,PARAMETRES!$R$7:$R$46,0)),""))</f>
        <v/>
      </c>
      <c r="M134" s="88" t="n"/>
      <c r="N134" s="88" t="n"/>
      <c r="O134" s="88" t="n"/>
      <c r="P134" s="94">
        <f>IF($G134="","",IF($G134&gt;=60,"Arrêt majeur — analyse 5 pourquoi",IF($G134&gt;=30,"À analyser en revue quotidienne",IF($K134="Planifié","Arrêt planifié","Aléa courant"))))</f>
        <v/>
      </c>
      <c r="Q134" s="95">
        <f>IF($A134="",0,IF(AND(OR(COCKPIT!$H$4="Toutes",$C134=COCKPIT!$H$4),OR(COCKPIT!$K$4="Toutes",$B134=COCKPIT!$K$4)),1,0))</f>
        <v/>
      </c>
    </row>
    <row r="135" ht="15" customHeight="1">
      <c r="A135" s="87" t="n">
        <v>46043</v>
      </c>
      <c r="B135" s="88" t="inlineStr">
        <is>
          <t>Équipe A (matin)</t>
        </is>
      </c>
      <c r="C135" s="88" t="inlineStr">
        <is>
          <t>Ligne 2 - Usinage</t>
        </is>
      </c>
      <c r="D135" s="88" t="inlineStr">
        <is>
          <t>Ligne 2</t>
        </is>
      </c>
      <c r="E135" s="96" t="n">
        <v>0.3472222222222222</v>
      </c>
      <c r="F135" s="96" t="n">
        <v>0.3548611111111111</v>
      </c>
      <c r="G135" s="92">
        <f>IF(OR($E135="",$F135=""),"",ROUND(($F135-$E135+IF($F135&lt;$E135,1,0))*1440,0))</f>
        <v/>
      </c>
      <c r="H135" s="88" t="inlineStr">
        <is>
          <t>LOG-02</t>
        </is>
      </c>
      <c r="I135" s="94">
        <f>IF($H135="","",IFERROR(INDEX(PARAMETRES!$S$7:$S$46,MATCH($H135,PARAMETRES!$R$7:$R$46,0)),"Code inconnu"))</f>
        <v/>
      </c>
      <c r="J135" s="94">
        <f>IF($H135="","",IFERROR(INDEX(PARAMETRES!$T$7:$T$46,MATCH($H135,PARAMETRES!$R$7:$R$46,0)),""))</f>
        <v/>
      </c>
      <c r="K135" s="94">
        <f>IF($H135="","",IFERROR(INDEX(PARAMETRES!$U$7:$U$46,MATCH($H135,PARAMETRES!$R$7:$R$46,0)),""))</f>
        <v/>
      </c>
      <c r="L135" s="94">
        <f>IF($H135="","",IFERROR(INDEX(PARAMETRES!$V$7:$V$46,MATCH($H135,PARAMETRES!$R$7:$R$46,0)),""))</f>
        <v/>
      </c>
      <c r="M135" s="88" t="n"/>
      <c r="N135" s="88" t="n"/>
      <c r="O135" s="88" t="n"/>
      <c r="P135" s="94">
        <f>IF($G135="","",IF($G135&gt;=60,"Arrêt majeur — analyse 5 pourquoi",IF($G135&gt;=30,"À analyser en revue quotidienne",IF($K135="Planifié","Arrêt planifié","Aléa courant"))))</f>
        <v/>
      </c>
      <c r="Q135" s="95">
        <f>IF($A135="",0,IF(AND(OR(COCKPIT!$H$4="Toutes",$C135=COCKPIT!$H$4),OR(COCKPIT!$K$4="Toutes",$B135=COCKPIT!$K$4)),1,0))</f>
        <v/>
      </c>
    </row>
    <row r="136" ht="15" customHeight="1">
      <c r="A136" s="87" t="n">
        <v>46043</v>
      </c>
      <c r="B136" s="88" t="inlineStr">
        <is>
          <t>Équipe A (matin)</t>
        </is>
      </c>
      <c r="C136" s="88" t="inlineStr">
        <is>
          <t>Ligne 2 - Usinage</t>
        </is>
      </c>
      <c r="D136" s="88" t="inlineStr">
        <is>
          <t>Ligne 2</t>
        </is>
      </c>
      <c r="E136" s="96" t="n">
        <v>0.38125</v>
      </c>
      <c r="F136" s="96" t="n">
        <v>0.4152777777777778</v>
      </c>
      <c r="G136" s="92">
        <f>IF(OR($E136="",$F136=""),"",ROUND(($F136-$E136+IF($F136&lt;$E136,1,0))*1440,0))</f>
        <v/>
      </c>
      <c r="H136" s="88" t="inlineStr">
        <is>
          <t>PAN-02</t>
        </is>
      </c>
      <c r="I136" s="94">
        <f>IF($H136="","",IFERROR(INDEX(PARAMETRES!$S$7:$S$46,MATCH($H136,PARAMETRES!$R$7:$R$46,0)),"Code inconnu"))</f>
        <v/>
      </c>
      <c r="J136" s="94">
        <f>IF($H136="","",IFERROR(INDEX(PARAMETRES!$T$7:$T$46,MATCH($H136,PARAMETRES!$R$7:$R$46,0)),""))</f>
        <v/>
      </c>
      <c r="K136" s="94">
        <f>IF($H136="","",IFERROR(INDEX(PARAMETRES!$U$7:$U$46,MATCH($H136,PARAMETRES!$R$7:$R$46,0)),""))</f>
        <v/>
      </c>
      <c r="L136" s="94">
        <f>IF($H136="","",IFERROR(INDEX(PARAMETRES!$V$7:$V$46,MATCH($H136,PARAMETRES!$R$7:$R$46,0)),""))</f>
        <v/>
      </c>
      <c r="M136" s="88" t="n"/>
      <c r="N136" s="88" t="n"/>
      <c r="O136" s="88" t="n"/>
      <c r="P136" s="94">
        <f>IF($G136="","",IF($G136&gt;=60,"Arrêt majeur — analyse 5 pourquoi",IF($G136&gt;=30,"À analyser en revue quotidienne",IF($K136="Planifié","Arrêt planifié","Aléa courant"))))</f>
        <v/>
      </c>
      <c r="Q136" s="95">
        <f>IF($A136="",0,IF(AND(OR(COCKPIT!$H$4="Toutes",$C136=COCKPIT!$H$4),OR(COCKPIT!$K$4="Toutes",$B136=COCKPIT!$K$4)),1,0))</f>
        <v/>
      </c>
    </row>
    <row r="137" ht="15" customHeight="1">
      <c r="A137" s="87" t="n">
        <v>46044</v>
      </c>
      <c r="B137" s="88" t="inlineStr">
        <is>
          <t>Équipe A (matin)</t>
        </is>
      </c>
      <c r="C137" s="88" t="inlineStr">
        <is>
          <t>Ligne 1 - Assemblage</t>
        </is>
      </c>
      <c r="D137" s="88" t="inlineStr">
        <is>
          <t>Ligne 1</t>
        </is>
      </c>
      <c r="E137" s="96" t="n">
        <v>0.275</v>
      </c>
      <c r="F137" s="96" t="n">
        <v>0.3027777777777778</v>
      </c>
      <c r="G137" s="92">
        <f>IF(OR($E137="",$F137=""),"",ROUND(($F137-$E137+IF($F137&lt;$E137,1,0))*1440,0))</f>
        <v/>
      </c>
      <c r="H137" s="88" t="inlineStr">
        <is>
          <t>PLA-01</t>
        </is>
      </c>
      <c r="I137" s="94">
        <f>IF($H137="","",IFERROR(INDEX(PARAMETRES!$S$7:$S$46,MATCH($H137,PARAMETRES!$R$7:$R$46,0)),"Code inconnu"))</f>
        <v/>
      </c>
      <c r="J137" s="94">
        <f>IF($H137="","",IFERROR(INDEX(PARAMETRES!$T$7:$T$46,MATCH($H137,PARAMETRES!$R$7:$R$46,0)),""))</f>
        <v/>
      </c>
      <c r="K137" s="94">
        <f>IF($H137="","",IFERROR(INDEX(PARAMETRES!$U$7:$U$46,MATCH($H137,PARAMETRES!$R$7:$R$46,0)),""))</f>
        <v/>
      </c>
      <c r="L137" s="94">
        <f>IF($H137="","",IFERROR(INDEX(PARAMETRES!$V$7:$V$46,MATCH($H137,PARAMETRES!$R$7:$R$46,0)),""))</f>
        <v/>
      </c>
      <c r="M137" s="88" t="n"/>
      <c r="N137" s="88" t="n"/>
      <c r="O137" s="88" t="n"/>
      <c r="P137" s="94">
        <f>IF($G137="","",IF($G137&gt;=60,"Arrêt majeur — analyse 5 pourquoi",IF($G137&gt;=30,"À analyser en revue quotidienne",IF($K137="Planifié","Arrêt planifié","Aléa courant"))))</f>
        <v/>
      </c>
      <c r="Q137" s="95">
        <f>IF($A137="",0,IF(AND(OR(COCKPIT!$H$4="Toutes",$C137=COCKPIT!$H$4),OR(COCKPIT!$K$4="Toutes",$B137=COCKPIT!$K$4)),1,0))</f>
        <v/>
      </c>
    </row>
    <row r="138" ht="15" customHeight="1">
      <c r="A138" s="87" t="n">
        <v>46044</v>
      </c>
      <c r="B138" s="88" t="inlineStr">
        <is>
          <t>Équipe A (matin)</t>
        </is>
      </c>
      <c r="C138" s="88" t="inlineStr">
        <is>
          <t>Ligne 1 - Assemblage</t>
        </is>
      </c>
      <c r="D138" s="88" t="inlineStr">
        <is>
          <t>Ligne 1</t>
        </is>
      </c>
      <c r="E138" s="96" t="n">
        <v>0.3111111111111111</v>
      </c>
      <c r="F138" s="96" t="n">
        <v>0.3361111111111111</v>
      </c>
      <c r="G138" s="92">
        <f>IF(OR($E138="",$F138=""),"",ROUND(($F138-$E138+IF($F138&lt;$E138,1,0))*1440,0))</f>
        <v/>
      </c>
      <c r="H138" s="88" t="inlineStr">
        <is>
          <t>PAN-01</t>
        </is>
      </c>
      <c r="I138" s="94">
        <f>IF($H138="","",IFERROR(INDEX(PARAMETRES!$S$7:$S$46,MATCH($H138,PARAMETRES!$R$7:$R$46,0)),"Code inconnu"))</f>
        <v/>
      </c>
      <c r="J138" s="94">
        <f>IF($H138="","",IFERROR(INDEX(PARAMETRES!$T$7:$T$46,MATCH($H138,PARAMETRES!$R$7:$R$46,0)),""))</f>
        <v/>
      </c>
      <c r="K138" s="94">
        <f>IF($H138="","",IFERROR(INDEX(PARAMETRES!$U$7:$U$46,MATCH($H138,PARAMETRES!$R$7:$R$46,0)),""))</f>
        <v/>
      </c>
      <c r="L138" s="94">
        <f>IF($H138="","",IFERROR(INDEX(PARAMETRES!$V$7:$V$46,MATCH($H138,PARAMETRES!$R$7:$R$46,0)),""))</f>
        <v/>
      </c>
      <c r="M138" s="88" t="n"/>
      <c r="N138" s="88" t="n"/>
      <c r="O138" s="88" t="n"/>
      <c r="P138" s="94">
        <f>IF($G138="","",IF($G138&gt;=60,"Arrêt majeur — analyse 5 pourquoi",IF($G138&gt;=30,"À analyser en revue quotidienne",IF($K138="Planifié","Arrêt planifié","Aléa courant"))))</f>
        <v/>
      </c>
      <c r="Q138" s="95">
        <f>IF($A138="",0,IF(AND(OR(COCKPIT!$H$4="Toutes",$C138=COCKPIT!$H$4),OR(COCKPIT!$K$4="Toutes",$B138=COCKPIT!$K$4)),1,0))</f>
        <v/>
      </c>
    </row>
    <row r="139" ht="15" customHeight="1">
      <c r="A139" s="87" t="n">
        <v>46044</v>
      </c>
      <c r="B139" s="88" t="inlineStr">
        <is>
          <t>Équipe A (matin)</t>
        </is>
      </c>
      <c r="C139" s="88" t="inlineStr">
        <is>
          <t>Ligne 1 - Assemblage</t>
        </is>
      </c>
      <c r="D139" s="88" t="inlineStr">
        <is>
          <t>Ligne 1</t>
        </is>
      </c>
      <c r="E139" s="96" t="n">
        <v>0.3597222222222222</v>
      </c>
      <c r="F139" s="96" t="n">
        <v>0.3826388888888889</v>
      </c>
      <c r="G139" s="92">
        <f>IF(OR($E139="",$F139=""),"",ROUND(($F139-$E139+IF($F139&lt;$E139,1,0))*1440,0))</f>
        <v/>
      </c>
      <c r="H139" s="88" t="inlineStr">
        <is>
          <t>CDS-01</t>
        </is>
      </c>
      <c r="I139" s="94">
        <f>IF($H139="","",IFERROR(INDEX(PARAMETRES!$S$7:$S$46,MATCH($H139,PARAMETRES!$R$7:$R$46,0)),"Code inconnu"))</f>
        <v/>
      </c>
      <c r="J139" s="94">
        <f>IF($H139="","",IFERROR(INDEX(PARAMETRES!$T$7:$T$46,MATCH($H139,PARAMETRES!$R$7:$R$46,0)),""))</f>
        <v/>
      </c>
      <c r="K139" s="94">
        <f>IF($H139="","",IFERROR(INDEX(PARAMETRES!$U$7:$U$46,MATCH($H139,PARAMETRES!$R$7:$R$46,0)),""))</f>
        <v/>
      </c>
      <c r="L139" s="94">
        <f>IF($H139="","",IFERROR(INDEX(PARAMETRES!$V$7:$V$46,MATCH($H139,PARAMETRES!$R$7:$R$46,0)),""))</f>
        <v/>
      </c>
      <c r="M139" s="88" t="n"/>
      <c r="N139" s="88" t="n"/>
      <c r="O139" s="88" t="n"/>
      <c r="P139" s="94">
        <f>IF($G139="","",IF($G139&gt;=60,"Arrêt majeur — analyse 5 pourquoi",IF($G139&gt;=30,"À analyser en revue quotidienne",IF($K139="Planifié","Arrêt planifié","Aléa courant"))))</f>
        <v/>
      </c>
      <c r="Q139" s="95">
        <f>IF($A139="",0,IF(AND(OR(COCKPIT!$H$4="Toutes",$C139=COCKPIT!$H$4),OR(COCKPIT!$K$4="Toutes",$B139=COCKPIT!$K$4)),1,0))</f>
        <v/>
      </c>
    </row>
    <row r="140" ht="15" customHeight="1">
      <c r="A140" s="87" t="n">
        <v>46044</v>
      </c>
      <c r="B140" s="88" t="inlineStr">
        <is>
          <t>Équipe A (matin)</t>
        </is>
      </c>
      <c r="C140" s="88" t="inlineStr">
        <is>
          <t>Ligne 1 - Assemblage</t>
        </is>
      </c>
      <c r="D140" s="88" t="inlineStr">
        <is>
          <t>Ligne 1</t>
        </is>
      </c>
      <c r="E140" s="96" t="n">
        <v>0.3902777777777778</v>
      </c>
      <c r="F140" s="96" t="n">
        <v>0.3986111111111111</v>
      </c>
      <c r="G140" s="92">
        <f>IF(OR($E140="",$F140=""),"",ROUND(($F140-$E140+IF($F140&lt;$E140,1,0))*1440,0))</f>
        <v/>
      </c>
      <c r="H140" s="88" t="inlineStr">
        <is>
          <t>REG-02</t>
        </is>
      </c>
      <c r="I140" s="94">
        <f>IF($H140="","",IFERROR(INDEX(PARAMETRES!$S$7:$S$46,MATCH($H140,PARAMETRES!$R$7:$R$46,0)),"Code inconnu"))</f>
        <v/>
      </c>
      <c r="J140" s="94">
        <f>IF($H140="","",IFERROR(INDEX(PARAMETRES!$T$7:$T$46,MATCH($H140,PARAMETRES!$R$7:$R$46,0)),""))</f>
        <v/>
      </c>
      <c r="K140" s="94">
        <f>IF($H140="","",IFERROR(INDEX(PARAMETRES!$U$7:$U$46,MATCH($H140,PARAMETRES!$R$7:$R$46,0)),""))</f>
        <v/>
      </c>
      <c r="L140" s="94">
        <f>IF($H140="","",IFERROR(INDEX(PARAMETRES!$V$7:$V$46,MATCH($H140,PARAMETRES!$R$7:$R$46,0)),""))</f>
        <v/>
      </c>
      <c r="M140" s="88" t="n"/>
      <c r="N140" s="88" t="n"/>
      <c r="O140" s="88" t="n"/>
      <c r="P140" s="94">
        <f>IF($G140="","",IF($G140&gt;=60,"Arrêt majeur — analyse 5 pourquoi",IF($G140&gt;=30,"À analyser en revue quotidienne",IF($K140="Planifié","Arrêt planifié","Aléa courant"))))</f>
        <v/>
      </c>
      <c r="Q140" s="95">
        <f>IF($A140="",0,IF(AND(OR(COCKPIT!$H$4="Toutes",$C140=COCKPIT!$H$4),OR(COCKPIT!$K$4="Toutes",$B140=COCKPIT!$K$4)),1,0))</f>
        <v/>
      </c>
    </row>
    <row r="141" ht="15" customHeight="1">
      <c r="A141" s="87" t="n">
        <v>46044</v>
      </c>
      <c r="B141" s="88" t="inlineStr">
        <is>
          <t>Équipe A (matin)</t>
        </is>
      </c>
      <c r="C141" s="88" t="inlineStr">
        <is>
          <t>Ligne 1 - Assemblage</t>
        </is>
      </c>
      <c r="D141" s="88" t="inlineStr">
        <is>
          <t>Ligne 1</t>
        </is>
      </c>
      <c r="E141" s="96" t="n">
        <v>0.4243055555555555</v>
      </c>
      <c r="F141" s="96" t="n">
        <v>0.4416666666666667</v>
      </c>
      <c r="G141" s="92">
        <f>IF(OR($E141="",$F141=""),"",ROUND(($F141-$E141+IF($F141&lt;$E141,1,0))*1440,0))</f>
        <v/>
      </c>
      <c r="H141" s="88" t="inlineStr">
        <is>
          <t>PER-01</t>
        </is>
      </c>
      <c r="I141" s="94">
        <f>IF($H141="","",IFERROR(INDEX(PARAMETRES!$S$7:$S$46,MATCH($H141,PARAMETRES!$R$7:$R$46,0)),"Code inconnu"))</f>
        <v/>
      </c>
      <c r="J141" s="94">
        <f>IF($H141="","",IFERROR(INDEX(PARAMETRES!$T$7:$T$46,MATCH($H141,PARAMETRES!$R$7:$R$46,0)),""))</f>
        <v/>
      </c>
      <c r="K141" s="94">
        <f>IF($H141="","",IFERROR(INDEX(PARAMETRES!$U$7:$U$46,MATCH($H141,PARAMETRES!$R$7:$R$46,0)),""))</f>
        <v/>
      </c>
      <c r="L141" s="94">
        <f>IF($H141="","",IFERROR(INDEX(PARAMETRES!$V$7:$V$46,MATCH($H141,PARAMETRES!$R$7:$R$46,0)),""))</f>
        <v/>
      </c>
      <c r="M141" s="88" t="n"/>
      <c r="N141" s="88" t="n"/>
      <c r="O141" s="88" t="n"/>
      <c r="P141" s="94">
        <f>IF($G141="","",IF($G141&gt;=60,"Arrêt majeur — analyse 5 pourquoi",IF($G141&gt;=30,"À analyser en revue quotidienne",IF($K141="Planifié","Arrêt planifié","Aléa courant"))))</f>
        <v/>
      </c>
      <c r="Q141" s="95">
        <f>IF($A141="",0,IF(AND(OR(COCKPIT!$H$4="Toutes",$C141=COCKPIT!$H$4),OR(COCKPIT!$K$4="Toutes",$B141=COCKPIT!$K$4)),1,0))</f>
        <v/>
      </c>
    </row>
    <row r="142" ht="15" customHeight="1">
      <c r="A142" s="87" t="n">
        <v>46044</v>
      </c>
      <c r="B142" s="88" t="inlineStr">
        <is>
          <t>Équipe B (après-midi)</t>
        </is>
      </c>
      <c r="C142" s="88" t="inlineStr">
        <is>
          <t>Ligne 2 - Usinage</t>
        </is>
      </c>
      <c r="D142" s="88" t="inlineStr">
        <is>
          <t>Ligne 2</t>
        </is>
      </c>
      <c r="E142" s="96" t="n">
        <v>0.29375</v>
      </c>
      <c r="F142" s="96" t="n">
        <v>0.3215277777777778</v>
      </c>
      <c r="G142" s="92">
        <f>IF(OR($E142="",$F142=""),"",ROUND(($F142-$E142+IF($F142&lt;$E142,1,0))*1440,0))</f>
        <v/>
      </c>
      <c r="H142" s="88" t="inlineStr">
        <is>
          <t>PLA-01</t>
        </is>
      </c>
      <c r="I142" s="94">
        <f>IF($H142="","",IFERROR(INDEX(PARAMETRES!$S$7:$S$46,MATCH($H142,PARAMETRES!$R$7:$R$46,0)),"Code inconnu"))</f>
        <v/>
      </c>
      <c r="J142" s="94">
        <f>IF($H142="","",IFERROR(INDEX(PARAMETRES!$T$7:$T$46,MATCH($H142,PARAMETRES!$R$7:$R$46,0)),""))</f>
        <v/>
      </c>
      <c r="K142" s="94">
        <f>IF($H142="","",IFERROR(INDEX(PARAMETRES!$U$7:$U$46,MATCH($H142,PARAMETRES!$R$7:$R$46,0)),""))</f>
        <v/>
      </c>
      <c r="L142" s="94">
        <f>IF($H142="","",IFERROR(INDEX(PARAMETRES!$V$7:$V$46,MATCH($H142,PARAMETRES!$R$7:$R$46,0)),""))</f>
        <v/>
      </c>
      <c r="M142" s="88" t="n"/>
      <c r="N142" s="88" t="n"/>
      <c r="O142" s="88" t="n"/>
      <c r="P142" s="94">
        <f>IF($G142="","",IF($G142&gt;=60,"Arrêt majeur — analyse 5 pourquoi",IF($G142&gt;=30,"À analyser en revue quotidienne",IF($K142="Planifié","Arrêt planifié","Aléa courant"))))</f>
        <v/>
      </c>
      <c r="Q142" s="95">
        <f>IF($A142="",0,IF(AND(OR(COCKPIT!$H$4="Toutes",$C142=COCKPIT!$H$4),OR(COCKPIT!$K$4="Toutes",$B142=COCKPIT!$K$4)),1,0))</f>
        <v/>
      </c>
    </row>
    <row r="143" ht="15" customHeight="1">
      <c r="A143" s="87" t="n">
        <v>46044</v>
      </c>
      <c r="B143" s="88" t="inlineStr">
        <is>
          <t>Équipe B (après-midi)</t>
        </is>
      </c>
      <c r="C143" s="88" t="inlineStr">
        <is>
          <t>Ligne 2 - Usinage</t>
        </is>
      </c>
      <c r="D143" s="88" t="inlineStr">
        <is>
          <t>Ligne 2</t>
        </is>
      </c>
      <c r="E143" s="96" t="n">
        <v>0.3375</v>
      </c>
      <c r="F143" s="96" t="n">
        <v>0.3465277777777778</v>
      </c>
      <c r="G143" s="92">
        <f>IF(OR($E143="",$F143=""),"",ROUND(($F143-$E143+IF($F143&lt;$E143,1,0))*1440,0))</f>
        <v/>
      </c>
      <c r="H143" s="88" t="inlineStr">
        <is>
          <t>REG-01</t>
        </is>
      </c>
      <c r="I143" s="94">
        <f>IF($H143="","",IFERROR(INDEX(PARAMETRES!$S$7:$S$46,MATCH($H143,PARAMETRES!$R$7:$R$46,0)),"Code inconnu"))</f>
        <v/>
      </c>
      <c r="J143" s="94">
        <f>IF($H143="","",IFERROR(INDEX(PARAMETRES!$T$7:$T$46,MATCH($H143,PARAMETRES!$R$7:$R$46,0)),""))</f>
        <v/>
      </c>
      <c r="K143" s="94">
        <f>IF($H143="","",IFERROR(INDEX(PARAMETRES!$U$7:$U$46,MATCH($H143,PARAMETRES!$R$7:$R$46,0)),""))</f>
        <v/>
      </c>
      <c r="L143" s="94">
        <f>IF($H143="","",IFERROR(INDEX(PARAMETRES!$V$7:$V$46,MATCH($H143,PARAMETRES!$R$7:$R$46,0)),""))</f>
        <v/>
      </c>
      <c r="M143" s="88" t="n"/>
      <c r="N143" s="88" t="n"/>
      <c r="O143" s="88" t="n"/>
      <c r="P143" s="94">
        <f>IF($G143="","",IF($G143&gt;=60,"Arrêt majeur — analyse 5 pourquoi",IF($G143&gt;=30,"À analyser en revue quotidienne",IF($K143="Planifié","Arrêt planifié","Aléa courant"))))</f>
        <v/>
      </c>
      <c r="Q143" s="95">
        <f>IF($A143="",0,IF(AND(OR(COCKPIT!$H$4="Toutes",$C143=COCKPIT!$H$4),OR(COCKPIT!$K$4="Toutes",$B143=COCKPIT!$K$4)),1,0))</f>
        <v/>
      </c>
    </row>
    <row r="144" ht="15" customHeight="1">
      <c r="A144" s="87" t="n">
        <v>46044</v>
      </c>
      <c r="B144" s="88" t="inlineStr">
        <is>
          <t>Équipe B (après-midi)</t>
        </is>
      </c>
      <c r="C144" s="88" t="inlineStr">
        <is>
          <t>Ligne 2 - Usinage</t>
        </is>
      </c>
      <c r="D144" s="88" t="inlineStr">
        <is>
          <t>Ligne 2</t>
        </is>
      </c>
      <c r="E144" s="96" t="n">
        <v>0.3541666666666667</v>
      </c>
      <c r="F144" s="96" t="n">
        <v>0.3743055555555556</v>
      </c>
      <c r="G144" s="92">
        <f>IF(OR($E144="",$F144=""),"",ROUND(($F144-$E144+IF($F144&lt;$E144,1,0))*1440,0))</f>
        <v/>
      </c>
      <c r="H144" s="88" t="inlineStr">
        <is>
          <t>MAT-02</t>
        </is>
      </c>
      <c r="I144" s="94">
        <f>IF($H144="","",IFERROR(INDEX(PARAMETRES!$S$7:$S$46,MATCH($H144,PARAMETRES!$R$7:$R$46,0)),"Code inconnu"))</f>
        <v/>
      </c>
      <c r="J144" s="94">
        <f>IF($H144="","",IFERROR(INDEX(PARAMETRES!$T$7:$T$46,MATCH($H144,PARAMETRES!$R$7:$R$46,0)),""))</f>
        <v/>
      </c>
      <c r="K144" s="94">
        <f>IF($H144="","",IFERROR(INDEX(PARAMETRES!$U$7:$U$46,MATCH($H144,PARAMETRES!$R$7:$R$46,0)),""))</f>
        <v/>
      </c>
      <c r="L144" s="94">
        <f>IF($H144="","",IFERROR(INDEX(PARAMETRES!$V$7:$V$46,MATCH($H144,PARAMETRES!$R$7:$R$46,0)),""))</f>
        <v/>
      </c>
      <c r="M144" s="88" t="n"/>
      <c r="N144" s="88" t="n"/>
      <c r="O144" s="88" t="n"/>
      <c r="P144" s="94">
        <f>IF($G144="","",IF($G144&gt;=60,"Arrêt majeur — analyse 5 pourquoi",IF($G144&gt;=30,"À analyser en revue quotidienne",IF($K144="Planifié","Arrêt planifié","Aléa courant"))))</f>
        <v/>
      </c>
      <c r="Q144" s="95">
        <f>IF($A144="",0,IF(AND(OR(COCKPIT!$H$4="Toutes",$C144=COCKPIT!$H$4),OR(COCKPIT!$K$4="Toutes",$B144=COCKPIT!$K$4)),1,0))</f>
        <v/>
      </c>
    </row>
    <row r="145" ht="15" customHeight="1">
      <c r="A145" s="87" t="n">
        <v>46044</v>
      </c>
      <c r="B145" s="88" t="inlineStr">
        <is>
          <t>Équipe B (après-midi)</t>
        </is>
      </c>
      <c r="C145" s="88" t="inlineStr">
        <is>
          <t>Ligne 2 - Usinage</t>
        </is>
      </c>
      <c r="D145" s="88" t="inlineStr">
        <is>
          <t>Ligne 2</t>
        </is>
      </c>
      <c r="E145" s="96" t="n">
        <v>0.3951388888888889</v>
      </c>
      <c r="F145" s="96" t="n">
        <v>0.4013888888888889</v>
      </c>
      <c r="G145" s="92">
        <f>IF(OR($E145="",$F145=""),"",ROUND(($F145-$E145+IF($F145&lt;$E145,1,0))*1440,0))</f>
        <v/>
      </c>
      <c r="H145" s="88" t="inlineStr">
        <is>
          <t>LOG-01</t>
        </is>
      </c>
      <c r="I145" s="94">
        <f>IF($H145="","",IFERROR(INDEX(PARAMETRES!$S$7:$S$46,MATCH($H145,PARAMETRES!$R$7:$R$46,0)),"Code inconnu"))</f>
        <v/>
      </c>
      <c r="J145" s="94">
        <f>IF($H145="","",IFERROR(INDEX(PARAMETRES!$T$7:$T$46,MATCH($H145,PARAMETRES!$R$7:$R$46,0)),""))</f>
        <v/>
      </c>
      <c r="K145" s="94">
        <f>IF($H145="","",IFERROR(INDEX(PARAMETRES!$U$7:$U$46,MATCH($H145,PARAMETRES!$R$7:$R$46,0)),""))</f>
        <v/>
      </c>
      <c r="L145" s="94">
        <f>IF($H145="","",IFERROR(INDEX(PARAMETRES!$V$7:$V$46,MATCH($H145,PARAMETRES!$R$7:$R$46,0)),""))</f>
        <v/>
      </c>
      <c r="M145" s="88" t="n"/>
      <c r="N145" s="88" t="n"/>
      <c r="O145" s="88" t="n"/>
      <c r="P145" s="94">
        <f>IF($G145="","",IF($G145&gt;=60,"Arrêt majeur — analyse 5 pourquoi",IF($G145&gt;=30,"À analyser en revue quotidienne",IF($K145="Planifié","Arrêt planifié","Aléa courant"))))</f>
        <v/>
      </c>
      <c r="Q145" s="95">
        <f>IF($A145="",0,IF(AND(OR(COCKPIT!$H$4="Toutes",$C145=COCKPIT!$H$4),OR(COCKPIT!$K$4="Toutes",$B145=COCKPIT!$K$4)),1,0))</f>
        <v/>
      </c>
    </row>
    <row r="146" ht="15" customHeight="1">
      <c r="A146" s="87" t="n">
        <v>46044</v>
      </c>
      <c r="B146" s="88" t="inlineStr">
        <is>
          <t>Équipe B (après-midi)</t>
        </is>
      </c>
      <c r="C146" s="88" t="inlineStr">
        <is>
          <t>Ligne 2 - Usinage</t>
        </is>
      </c>
      <c r="D146" s="88" t="inlineStr">
        <is>
          <t>Ligne 2</t>
        </is>
      </c>
      <c r="E146" s="96" t="n">
        <v>0.4236111111111111</v>
      </c>
      <c r="F146" s="96" t="n">
        <v>0.4583333333333333</v>
      </c>
      <c r="G146" s="92">
        <f>IF(OR($E146="",$F146=""),"",ROUND(($F146-$E146+IF($F146&lt;$E146,1,0))*1440,0))</f>
        <v/>
      </c>
      <c r="H146" s="88" t="inlineStr">
        <is>
          <t>PAN-01</t>
        </is>
      </c>
      <c r="I146" s="94">
        <f>IF($H146="","",IFERROR(INDEX(PARAMETRES!$S$7:$S$46,MATCH($H146,PARAMETRES!$R$7:$R$46,0)),"Code inconnu"))</f>
        <v/>
      </c>
      <c r="J146" s="94">
        <f>IF($H146="","",IFERROR(INDEX(PARAMETRES!$T$7:$T$46,MATCH($H146,PARAMETRES!$R$7:$R$46,0)),""))</f>
        <v/>
      </c>
      <c r="K146" s="94">
        <f>IF($H146="","",IFERROR(INDEX(PARAMETRES!$U$7:$U$46,MATCH($H146,PARAMETRES!$R$7:$R$46,0)),""))</f>
        <v/>
      </c>
      <c r="L146" s="94">
        <f>IF($H146="","",IFERROR(INDEX(PARAMETRES!$V$7:$V$46,MATCH($H146,PARAMETRES!$R$7:$R$46,0)),""))</f>
        <v/>
      </c>
      <c r="M146" s="88" t="n"/>
      <c r="N146" s="88" t="n"/>
      <c r="O146" s="88" t="n"/>
      <c r="P146" s="94">
        <f>IF($G146="","",IF($G146&gt;=60,"Arrêt majeur — analyse 5 pourquoi",IF($G146&gt;=30,"À analyser en revue quotidienne",IF($K146="Planifié","Arrêt planifié","Aléa courant"))))</f>
        <v/>
      </c>
      <c r="Q146" s="95">
        <f>IF($A146="",0,IF(AND(OR(COCKPIT!$H$4="Toutes",$C146=COCKPIT!$H$4),OR(COCKPIT!$K$4="Toutes",$B146=COCKPIT!$K$4)),1,0))</f>
        <v/>
      </c>
    </row>
    <row r="147" ht="15" customHeight="1">
      <c r="A147" s="87" t="n">
        <v>46044</v>
      </c>
      <c r="B147" s="88" t="inlineStr">
        <is>
          <t>Équipe B (après-midi)</t>
        </is>
      </c>
      <c r="C147" s="88" t="inlineStr">
        <is>
          <t>Ligne 2 - Usinage</t>
        </is>
      </c>
      <c r="D147" s="88" t="inlineStr">
        <is>
          <t>Ligne 2</t>
        </is>
      </c>
      <c r="E147" s="96" t="n">
        <v>0.4861111111111111</v>
      </c>
      <c r="F147" s="96" t="n">
        <v>0.5</v>
      </c>
      <c r="G147" s="92">
        <f>IF(OR($E147="",$F147=""),"",ROUND(($F147-$E147+IF($F147&lt;$E147,1,0))*1440,0))</f>
        <v/>
      </c>
      <c r="H147" s="88" t="inlineStr">
        <is>
          <t>CDS-01</t>
        </is>
      </c>
      <c r="I147" s="94">
        <f>IF($H147="","",IFERROR(INDEX(PARAMETRES!$S$7:$S$46,MATCH($H147,PARAMETRES!$R$7:$R$46,0)),"Code inconnu"))</f>
        <v/>
      </c>
      <c r="J147" s="94">
        <f>IF($H147="","",IFERROR(INDEX(PARAMETRES!$T$7:$T$46,MATCH($H147,PARAMETRES!$R$7:$R$46,0)),""))</f>
        <v/>
      </c>
      <c r="K147" s="94">
        <f>IF($H147="","",IFERROR(INDEX(PARAMETRES!$U$7:$U$46,MATCH($H147,PARAMETRES!$R$7:$R$46,0)),""))</f>
        <v/>
      </c>
      <c r="L147" s="94">
        <f>IF($H147="","",IFERROR(INDEX(PARAMETRES!$V$7:$V$46,MATCH($H147,PARAMETRES!$R$7:$R$46,0)),""))</f>
        <v/>
      </c>
      <c r="M147" s="88" t="n"/>
      <c r="N147" s="88" t="n"/>
      <c r="O147" s="88" t="n"/>
      <c r="P147" s="94">
        <f>IF($G147="","",IF($G147&gt;=60,"Arrêt majeur — analyse 5 pourquoi",IF($G147&gt;=30,"À analyser en revue quotidienne",IF($K147="Planifié","Arrêt planifié","Aléa courant"))))</f>
        <v/>
      </c>
      <c r="Q147" s="95">
        <f>IF($A147="",0,IF(AND(OR(COCKPIT!$H$4="Toutes",$C147=COCKPIT!$H$4),OR(COCKPIT!$K$4="Toutes",$B147=COCKPIT!$K$4)),1,0))</f>
        <v/>
      </c>
    </row>
    <row r="148" ht="15" customHeight="1">
      <c r="A148" s="87" t="n">
        <v>46045</v>
      </c>
      <c r="B148" s="88" t="inlineStr">
        <is>
          <t>Équipe B (après-midi)</t>
        </is>
      </c>
      <c r="C148" s="88" t="inlineStr">
        <is>
          <t>Ligne 1 - Assemblage</t>
        </is>
      </c>
      <c r="D148" s="88" t="inlineStr">
        <is>
          <t>Ligne 1</t>
        </is>
      </c>
      <c r="E148" s="96" t="n">
        <v>0.29375</v>
      </c>
      <c r="F148" s="96" t="n">
        <v>0.3215277777777778</v>
      </c>
      <c r="G148" s="92">
        <f>IF(OR($E148="",$F148=""),"",ROUND(($F148-$E148+IF($F148&lt;$E148,1,0))*1440,0))</f>
        <v/>
      </c>
      <c r="H148" s="88" t="inlineStr">
        <is>
          <t>PLA-01</t>
        </is>
      </c>
      <c r="I148" s="94">
        <f>IF($H148="","",IFERROR(INDEX(PARAMETRES!$S$7:$S$46,MATCH($H148,PARAMETRES!$R$7:$R$46,0)),"Code inconnu"))</f>
        <v/>
      </c>
      <c r="J148" s="94">
        <f>IF($H148="","",IFERROR(INDEX(PARAMETRES!$T$7:$T$46,MATCH($H148,PARAMETRES!$R$7:$R$46,0)),""))</f>
        <v/>
      </c>
      <c r="K148" s="94">
        <f>IF($H148="","",IFERROR(INDEX(PARAMETRES!$U$7:$U$46,MATCH($H148,PARAMETRES!$R$7:$R$46,0)),""))</f>
        <v/>
      </c>
      <c r="L148" s="94">
        <f>IF($H148="","",IFERROR(INDEX(PARAMETRES!$V$7:$V$46,MATCH($H148,PARAMETRES!$R$7:$R$46,0)),""))</f>
        <v/>
      </c>
      <c r="M148" s="88" t="n"/>
      <c r="N148" s="88" t="n"/>
      <c r="O148" s="88" t="n"/>
      <c r="P148" s="94">
        <f>IF($G148="","",IF($G148&gt;=60,"Arrêt majeur — analyse 5 pourquoi",IF($G148&gt;=30,"À analyser en revue quotidienne",IF($K148="Planifié","Arrêt planifié","Aléa courant"))))</f>
        <v/>
      </c>
      <c r="Q148" s="95">
        <f>IF($A148="",0,IF(AND(OR(COCKPIT!$H$4="Toutes",$C148=COCKPIT!$H$4),OR(COCKPIT!$K$4="Toutes",$B148=COCKPIT!$K$4)),1,0))</f>
        <v/>
      </c>
    </row>
    <row r="149" ht="15" customHeight="1">
      <c r="A149" s="87" t="n">
        <v>46045</v>
      </c>
      <c r="B149" s="88" t="inlineStr">
        <is>
          <t>Équipe B (après-midi)</t>
        </is>
      </c>
      <c r="C149" s="88" t="inlineStr">
        <is>
          <t>Ligne 1 - Assemblage</t>
        </is>
      </c>
      <c r="D149" s="88" t="inlineStr">
        <is>
          <t>Ligne 1</t>
        </is>
      </c>
      <c r="E149" s="96" t="n">
        <v>0.3527777777777778</v>
      </c>
      <c r="F149" s="96" t="n">
        <v>0.3631944444444444</v>
      </c>
      <c r="G149" s="92">
        <f>IF(OR($E149="",$F149=""),"",ROUND(($F149-$E149+IF($F149&lt;$E149,1,0))*1440,0))</f>
        <v/>
      </c>
      <c r="H149" s="88" t="inlineStr">
        <is>
          <t>MAT-01</t>
        </is>
      </c>
      <c r="I149" s="94">
        <f>IF($H149="","",IFERROR(INDEX(PARAMETRES!$S$7:$S$46,MATCH($H149,PARAMETRES!$R$7:$R$46,0)),"Code inconnu"))</f>
        <v/>
      </c>
      <c r="J149" s="94">
        <f>IF($H149="","",IFERROR(INDEX(PARAMETRES!$T$7:$T$46,MATCH($H149,PARAMETRES!$R$7:$R$46,0)),""))</f>
        <v/>
      </c>
      <c r="K149" s="94">
        <f>IF($H149="","",IFERROR(INDEX(PARAMETRES!$U$7:$U$46,MATCH($H149,PARAMETRES!$R$7:$R$46,0)),""))</f>
        <v/>
      </c>
      <c r="L149" s="94">
        <f>IF($H149="","",IFERROR(INDEX(PARAMETRES!$V$7:$V$46,MATCH($H149,PARAMETRES!$R$7:$R$46,0)),""))</f>
        <v/>
      </c>
      <c r="M149" s="88" t="n"/>
      <c r="N149" s="88" t="n"/>
      <c r="O149" s="88" t="n"/>
      <c r="P149" s="94">
        <f>IF($G149="","",IF($G149&gt;=60,"Arrêt majeur — analyse 5 pourquoi",IF($G149&gt;=30,"À analyser en revue quotidienne",IF($K149="Planifié","Arrêt planifié","Aléa courant"))))</f>
        <v/>
      </c>
      <c r="Q149" s="95">
        <f>IF($A149="",0,IF(AND(OR(COCKPIT!$H$4="Toutes",$C149=COCKPIT!$H$4),OR(COCKPIT!$K$4="Toutes",$B149=COCKPIT!$K$4)),1,0))</f>
        <v/>
      </c>
    </row>
    <row r="150" ht="15" customHeight="1">
      <c r="A150" s="87" t="n">
        <v>46045</v>
      </c>
      <c r="B150" s="88" t="inlineStr">
        <is>
          <t>Équipe B (après-midi)</t>
        </is>
      </c>
      <c r="C150" s="88" t="inlineStr">
        <is>
          <t>Ligne 1 - Assemblage</t>
        </is>
      </c>
      <c r="D150" s="88" t="inlineStr">
        <is>
          <t>Ligne 1</t>
        </is>
      </c>
      <c r="E150" s="96" t="n">
        <v>0.3916666666666667</v>
      </c>
      <c r="F150" s="96" t="n">
        <v>0.4131944444444444</v>
      </c>
      <c r="G150" s="92">
        <f>IF(OR($E150="",$F150=""),"",ROUND(($F150-$E150+IF($F150&lt;$E150,1,0))*1440,0))</f>
        <v/>
      </c>
      <c r="H150" s="88" t="inlineStr">
        <is>
          <t>PER-02</t>
        </is>
      </c>
      <c r="I150" s="94">
        <f>IF($H150="","",IFERROR(INDEX(PARAMETRES!$S$7:$S$46,MATCH($H150,PARAMETRES!$R$7:$R$46,0)),"Code inconnu"))</f>
        <v/>
      </c>
      <c r="J150" s="94">
        <f>IF($H150="","",IFERROR(INDEX(PARAMETRES!$T$7:$T$46,MATCH($H150,PARAMETRES!$R$7:$R$46,0)),""))</f>
        <v/>
      </c>
      <c r="K150" s="94">
        <f>IF($H150="","",IFERROR(INDEX(PARAMETRES!$U$7:$U$46,MATCH($H150,PARAMETRES!$R$7:$R$46,0)),""))</f>
        <v/>
      </c>
      <c r="L150" s="94">
        <f>IF($H150="","",IFERROR(INDEX(PARAMETRES!$V$7:$V$46,MATCH($H150,PARAMETRES!$R$7:$R$46,0)),""))</f>
        <v/>
      </c>
      <c r="M150" s="88" t="n"/>
      <c r="N150" s="88" t="n"/>
      <c r="O150" s="88" t="n"/>
      <c r="P150" s="94">
        <f>IF($G150="","",IF($G150&gt;=60,"Arrêt majeur — analyse 5 pourquoi",IF($G150&gt;=30,"À analyser en revue quotidienne",IF($K150="Planifié","Arrêt planifié","Aléa courant"))))</f>
        <v/>
      </c>
      <c r="Q150" s="95">
        <f>IF($A150="",0,IF(AND(OR(COCKPIT!$H$4="Toutes",$C150=COCKPIT!$H$4),OR(COCKPIT!$K$4="Toutes",$B150=COCKPIT!$K$4)),1,0))</f>
        <v/>
      </c>
    </row>
    <row r="151" ht="15" customHeight="1">
      <c r="A151" s="87" t="n">
        <v>46045</v>
      </c>
      <c r="B151" s="88" t="inlineStr">
        <is>
          <t>Équipe B (après-midi)</t>
        </is>
      </c>
      <c r="C151" s="88" t="inlineStr">
        <is>
          <t>Ligne 1 - Assemblage</t>
        </is>
      </c>
      <c r="D151" s="88" t="inlineStr">
        <is>
          <t>Ligne 1</t>
        </is>
      </c>
      <c r="E151" s="96" t="n">
        <v>0.4284722222222222</v>
      </c>
      <c r="F151" s="96" t="n">
        <v>0.4416666666666667</v>
      </c>
      <c r="G151" s="92">
        <f>IF(OR($E151="",$F151=""),"",ROUND(($F151-$E151+IF($F151&lt;$E151,1,0))*1440,0))</f>
        <v/>
      </c>
      <c r="H151" s="88" t="inlineStr">
        <is>
          <t>ESS-01</t>
        </is>
      </c>
      <c r="I151" s="94">
        <f>IF($H151="","",IFERROR(INDEX(PARAMETRES!$S$7:$S$46,MATCH($H151,PARAMETRES!$R$7:$R$46,0)),"Code inconnu"))</f>
        <v/>
      </c>
      <c r="J151" s="94">
        <f>IF($H151="","",IFERROR(INDEX(PARAMETRES!$T$7:$T$46,MATCH($H151,PARAMETRES!$R$7:$R$46,0)),""))</f>
        <v/>
      </c>
      <c r="K151" s="94">
        <f>IF($H151="","",IFERROR(INDEX(PARAMETRES!$U$7:$U$46,MATCH($H151,PARAMETRES!$R$7:$R$46,0)),""))</f>
        <v/>
      </c>
      <c r="L151" s="94">
        <f>IF($H151="","",IFERROR(INDEX(PARAMETRES!$V$7:$V$46,MATCH($H151,PARAMETRES!$R$7:$R$46,0)),""))</f>
        <v/>
      </c>
      <c r="M151" s="88" t="n"/>
      <c r="N151" s="88" t="n"/>
      <c r="O151" s="88" t="n"/>
      <c r="P151" s="94">
        <f>IF($G151="","",IF($G151&gt;=60,"Arrêt majeur — analyse 5 pourquoi",IF($G151&gt;=30,"À analyser en revue quotidienne",IF($K151="Planifié","Arrêt planifié","Aléa courant"))))</f>
        <v/>
      </c>
      <c r="Q151" s="95">
        <f>IF($A151="",0,IF(AND(OR(COCKPIT!$H$4="Toutes",$C151=COCKPIT!$H$4),OR(COCKPIT!$K$4="Toutes",$B151=COCKPIT!$K$4)),1,0))</f>
        <v/>
      </c>
    </row>
    <row r="152" ht="15" customHeight="1">
      <c r="A152" s="87" t="n">
        <v>46045</v>
      </c>
      <c r="B152" s="88" t="inlineStr">
        <is>
          <t>Équipe A (matin)</t>
        </is>
      </c>
      <c r="C152" s="88" t="inlineStr">
        <is>
          <t>Ligne 2 - Usinage</t>
        </is>
      </c>
      <c r="D152" s="88" t="inlineStr">
        <is>
          <t>Ligne 2</t>
        </is>
      </c>
      <c r="E152" s="96" t="n">
        <v>0.2902777777777778</v>
      </c>
      <c r="F152" s="96" t="n">
        <v>0.3180555555555555</v>
      </c>
      <c r="G152" s="92">
        <f>IF(OR($E152="",$F152=""),"",ROUND(($F152-$E152+IF($F152&lt;$E152,1,0))*1440,0))</f>
        <v/>
      </c>
      <c r="H152" s="88" t="inlineStr">
        <is>
          <t>PLA-01</t>
        </is>
      </c>
      <c r="I152" s="94">
        <f>IF($H152="","",IFERROR(INDEX(PARAMETRES!$S$7:$S$46,MATCH($H152,PARAMETRES!$R$7:$R$46,0)),"Code inconnu"))</f>
        <v/>
      </c>
      <c r="J152" s="94">
        <f>IF($H152="","",IFERROR(INDEX(PARAMETRES!$T$7:$T$46,MATCH($H152,PARAMETRES!$R$7:$R$46,0)),""))</f>
        <v/>
      </c>
      <c r="K152" s="94">
        <f>IF($H152="","",IFERROR(INDEX(PARAMETRES!$U$7:$U$46,MATCH($H152,PARAMETRES!$R$7:$R$46,0)),""))</f>
        <v/>
      </c>
      <c r="L152" s="94">
        <f>IF($H152="","",IFERROR(INDEX(PARAMETRES!$V$7:$V$46,MATCH($H152,PARAMETRES!$R$7:$R$46,0)),""))</f>
        <v/>
      </c>
      <c r="M152" s="88" t="n"/>
      <c r="N152" s="88" t="n"/>
      <c r="O152" s="88" t="n"/>
      <c r="P152" s="94">
        <f>IF($G152="","",IF($G152&gt;=60,"Arrêt majeur — analyse 5 pourquoi",IF($G152&gt;=30,"À analyser en revue quotidienne",IF($K152="Planifié","Arrêt planifié","Aléa courant"))))</f>
        <v/>
      </c>
      <c r="Q152" s="95">
        <f>IF($A152="",0,IF(AND(OR(COCKPIT!$H$4="Toutes",$C152=COCKPIT!$H$4),OR(COCKPIT!$K$4="Toutes",$B152=COCKPIT!$K$4)),1,0))</f>
        <v/>
      </c>
    </row>
    <row r="153" ht="15" customHeight="1">
      <c r="A153" s="87" t="n">
        <v>46045</v>
      </c>
      <c r="B153" s="88" t="inlineStr">
        <is>
          <t>Équipe A (matin)</t>
        </is>
      </c>
      <c r="C153" s="88" t="inlineStr">
        <is>
          <t>Ligne 2 - Usinage</t>
        </is>
      </c>
      <c r="D153" s="88" t="inlineStr">
        <is>
          <t>Ligne 2</t>
        </is>
      </c>
      <c r="E153" s="96" t="n">
        <v>0.33125</v>
      </c>
      <c r="F153" s="96" t="n">
        <v>0.34375</v>
      </c>
      <c r="G153" s="92">
        <f>IF(OR($E153="",$F153=""),"",ROUND(($F153-$E153+IF($F153&lt;$E153,1,0))*1440,0))</f>
        <v/>
      </c>
      <c r="H153" s="88" t="inlineStr">
        <is>
          <t>LOG-02</t>
        </is>
      </c>
      <c r="I153" s="94">
        <f>IF($H153="","",IFERROR(INDEX(PARAMETRES!$S$7:$S$46,MATCH($H153,PARAMETRES!$R$7:$R$46,0)),"Code inconnu"))</f>
        <v/>
      </c>
      <c r="J153" s="94">
        <f>IF($H153="","",IFERROR(INDEX(PARAMETRES!$T$7:$T$46,MATCH($H153,PARAMETRES!$R$7:$R$46,0)),""))</f>
        <v/>
      </c>
      <c r="K153" s="94">
        <f>IF($H153="","",IFERROR(INDEX(PARAMETRES!$U$7:$U$46,MATCH($H153,PARAMETRES!$R$7:$R$46,0)),""))</f>
        <v/>
      </c>
      <c r="L153" s="94">
        <f>IF($H153="","",IFERROR(INDEX(PARAMETRES!$V$7:$V$46,MATCH($H153,PARAMETRES!$R$7:$R$46,0)),""))</f>
        <v/>
      </c>
      <c r="M153" s="88" t="n"/>
      <c r="N153" s="88" t="n"/>
      <c r="O153" s="88" t="n"/>
      <c r="P153" s="94">
        <f>IF($G153="","",IF($G153&gt;=60,"Arrêt majeur — analyse 5 pourquoi",IF($G153&gt;=30,"À analyser en revue quotidienne",IF($K153="Planifié","Arrêt planifié","Aléa courant"))))</f>
        <v/>
      </c>
      <c r="Q153" s="95">
        <f>IF($A153="",0,IF(AND(OR(COCKPIT!$H$4="Toutes",$C153=COCKPIT!$H$4),OR(COCKPIT!$K$4="Toutes",$B153=COCKPIT!$K$4)),1,0))</f>
        <v/>
      </c>
    </row>
    <row r="154" ht="15" customHeight="1">
      <c r="A154" s="87" t="n">
        <v>46045</v>
      </c>
      <c r="B154" s="88" t="inlineStr">
        <is>
          <t>Équipe A (matin)</t>
        </is>
      </c>
      <c r="C154" s="88" t="inlineStr">
        <is>
          <t>Ligne 2 - Usinage</t>
        </is>
      </c>
      <c r="D154" s="88" t="inlineStr">
        <is>
          <t>Ligne 2</t>
        </is>
      </c>
      <c r="E154" s="96" t="n">
        <v>0.3555555555555556</v>
      </c>
      <c r="F154" s="96" t="n">
        <v>0.4180555555555556</v>
      </c>
      <c r="G154" s="92">
        <f>IF(OR($E154="",$F154=""),"",ROUND(($F154-$E154+IF($F154&lt;$E154,1,0))*1440,0))</f>
        <v/>
      </c>
      <c r="H154" s="88" t="inlineStr">
        <is>
          <t>PAN-02</t>
        </is>
      </c>
      <c r="I154" s="94">
        <f>IF($H154="","",IFERROR(INDEX(PARAMETRES!$S$7:$S$46,MATCH($H154,PARAMETRES!$R$7:$R$46,0)),"Code inconnu"))</f>
        <v/>
      </c>
      <c r="J154" s="94">
        <f>IF($H154="","",IFERROR(INDEX(PARAMETRES!$T$7:$T$46,MATCH($H154,PARAMETRES!$R$7:$R$46,0)),""))</f>
        <v/>
      </c>
      <c r="K154" s="94">
        <f>IF($H154="","",IFERROR(INDEX(PARAMETRES!$U$7:$U$46,MATCH($H154,PARAMETRES!$R$7:$R$46,0)),""))</f>
        <v/>
      </c>
      <c r="L154" s="94">
        <f>IF($H154="","",IFERROR(INDEX(PARAMETRES!$V$7:$V$46,MATCH($H154,PARAMETRES!$R$7:$R$46,0)),""))</f>
        <v/>
      </c>
      <c r="M154" s="88" t="n"/>
      <c r="N154" s="88" t="n"/>
      <c r="O154" s="88" t="n"/>
      <c r="P154" s="94">
        <f>IF($G154="","",IF($G154&gt;=60,"Arrêt majeur — analyse 5 pourquoi",IF($G154&gt;=30,"À analyser en revue quotidienne",IF($K154="Planifié","Arrêt planifié","Aléa courant"))))</f>
        <v/>
      </c>
      <c r="Q154" s="95">
        <f>IF($A154="",0,IF(AND(OR(COCKPIT!$H$4="Toutes",$C154=COCKPIT!$H$4),OR(COCKPIT!$K$4="Toutes",$B154=COCKPIT!$K$4)),1,0))</f>
        <v/>
      </c>
    </row>
    <row r="155" ht="15" customHeight="1">
      <c r="A155" s="87" t="n">
        <v>46045</v>
      </c>
      <c r="B155" s="88" t="inlineStr">
        <is>
          <t>Équipe A (matin)</t>
        </is>
      </c>
      <c r="C155" s="88" t="inlineStr">
        <is>
          <t>Ligne 2 - Usinage</t>
        </is>
      </c>
      <c r="D155" s="88" t="inlineStr">
        <is>
          <t>Ligne 2</t>
        </is>
      </c>
      <c r="E155" s="96" t="n">
        <v>0.4347222222222222</v>
      </c>
      <c r="F155" s="96" t="n">
        <v>0.45</v>
      </c>
      <c r="G155" s="92">
        <f>IF(OR($E155="",$F155=""),"",ROUND(($F155-$E155+IF($F155&lt;$E155,1,0))*1440,0))</f>
        <v/>
      </c>
      <c r="H155" s="88" t="inlineStr">
        <is>
          <t>CDS-02</t>
        </is>
      </c>
      <c r="I155" s="94">
        <f>IF($H155="","",IFERROR(INDEX(PARAMETRES!$S$7:$S$46,MATCH($H155,PARAMETRES!$R$7:$R$46,0)),"Code inconnu"))</f>
        <v/>
      </c>
      <c r="J155" s="94">
        <f>IF($H155="","",IFERROR(INDEX(PARAMETRES!$T$7:$T$46,MATCH($H155,PARAMETRES!$R$7:$R$46,0)),""))</f>
        <v/>
      </c>
      <c r="K155" s="94">
        <f>IF($H155="","",IFERROR(INDEX(PARAMETRES!$U$7:$U$46,MATCH($H155,PARAMETRES!$R$7:$R$46,0)),""))</f>
        <v/>
      </c>
      <c r="L155" s="94">
        <f>IF($H155="","",IFERROR(INDEX(PARAMETRES!$V$7:$V$46,MATCH($H155,PARAMETRES!$R$7:$R$46,0)),""))</f>
        <v/>
      </c>
      <c r="M155" s="88" t="n"/>
      <c r="N155" s="88" t="n"/>
      <c r="O155" s="88" t="n"/>
      <c r="P155" s="94">
        <f>IF($G155="","",IF($G155&gt;=60,"Arrêt majeur — analyse 5 pourquoi",IF($G155&gt;=30,"À analyser en revue quotidienne",IF($K155="Planifié","Arrêt planifié","Aléa courant"))))</f>
        <v/>
      </c>
      <c r="Q155" s="95">
        <f>IF($A155="",0,IF(AND(OR(COCKPIT!$H$4="Toutes",$C155=COCKPIT!$H$4),OR(COCKPIT!$K$4="Toutes",$B155=COCKPIT!$K$4)),1,0))</f>
        <v/>
      </c>
    </row>
    <row r="156" ht="15" customHeight="1">
      <c r="A156" s="87" t="n">
        <v>46045</v>
      </c>
      <c r="B156" s="88" t="inlineStr">
        <is>
          <t>Équipe A (matin)</t>
        </is>
      </c>
      <c r="C156" s="88" t="inlineStr">
        <is>
          <t>Ligne 2 - Usinage</t>
        </is>
      </c>
      <c r="D156" s="88" t="inlineStr">
        <is>
          <t>Ligne 2</t>
        </is>
      </c>
      <c r="E156" s="96" t="n">
        <v>0.4756944444444444</v>
      </c>
      <c r="F156" s="96" t="n">
        <v>0.4833333333333333</v>
      </c>
      <c r="G156" s="92">
        <f>IF(OR($E156="",$F156=""),"",ROUND(($F156-$E156+IF($F156&lt;$E156,1,0))*1440,0))</f>
        <v/>
      </c>
      <c r="H156" s="88" t="inlineStr">
        <is>
          <t>MAT-01</t>
        </is>
      </c>
      <c r="I156" s="94">
        <f>IF($H156="","",IFERROR(INDEX(PARAMETRES!$S$7:$S$46,MATCH($H156,PARAMETRES!$R$7:$R$46,0)),"Code inconnu"))</f>
        <v/>
      </c>
      <c r="J156" s="94">
        <f>IF($H156="","",IFERROR(INDEX(PARAMETRES!$T$7:$T$46,MATCH($H156,PARAMETRES!$R$7:$R$46,0)),""))</f>
        <v/>
      </c>
      <c r="K156" s="94">
        <f>IF($H156="","",IFERROR(INDEX(PARAMETRES!$U$7:$U$46,MATCH($H156,PARAMETRES!$R$7:$R$46,0)),""))</f>
        <v/>
      </c>
      <c r="L156" s="94">
        <f>IF($H156="","",IFERROR(INDEX(PARAMETRES!$V$7:$V$46,MATCH($H156,PARAMETRES!$R$7:$R$46,0)),""))</f>
        <v/>
      </c>
      <c r="M156" s="88" t="n"/>
      <c r="N156" s="88" t="n"/>
      <c r="O156" s="88" t="n"/>
      <c r="P156" s="94">
        <f>IF($G156="","",IF($G156&gt;=60,"Arrêt majeur — analyse 5 pourquoi",IF($G156&gt;=30,"À analyser en revue quotidienne",IF($K156="Planifié","Arrêt planifié","Aléa courant"))))</f>
        <v/>
      </c>
      <c r="Q156" s="95">
        <f>IF($A156="",0,IF(AND(OR(COCKPIT!$H$4="Toutes",$C156=COCKPIT!$H$4),OR(COCKPIT!$K$4="Toutes",$B156=COCKPIT!$K$4)),1,0))</f>
        <v/>
      </c>
    </row>
    <row r="157" ht="15" customHeight="1">
      <c r="A157" s="87" t="n">
        <v>46048</v>
      </c>
      <c r="B157" s="88" t="inlineStr">
        <is>
          <t>Équipe A (matin)</t>
        </is>
      </c>
      <c r="C157" s="88" t="inlineStr">
        <is>
          <t>Ligne 1 - Assemblage</t>
        </is>
      </c>
      <c r="D157" s="88" t="inlineStr">
        <is>
          <t>Ligne 1</t>
        </is>
      </c>
      <c r="E157" s="96" t="n">
        <v>0.2833333333333333</v>
      </c>
      <c r="F157" s="96" t="n">
        <v>0.3111111111111111</v>
      </c>
      <c r="G157" s="92">
        <f>IF(OR($E157="",$F157=""),"",ROUND(($F157-$E157+IF($F157&lt;$E157,1,0))*1440,0))</f>
        <v/>
      </c>
      <c r="H157" s="88" t="inlineStr">
        <is>
          <t>PLA-01</t>
        </is>
      </c>
      <c r="I157" s="94">
        <f>IF($H157="","",IFERROR(INDEX(PARAMETRES!$S$7:$S$46,MATCH($H157,PARAMETRES!$R$7:$R$46,0)),"Code inconnu"))</f>
        <v/>
      </c>
      <c r="J157" s="94">
        <f>IF($H157="","",IFERROR(INDEX(PARAMETRES!$T$7:$T$46,MATCH($H157,PARAMETRES!$R$7:$R$46,0)),""))</f>
        <v/>
      </c>
      <c r="K157" s="94">
        <f>IF($H157="","",IFERROR(INDEX(PARAMETRES!$U$7:$U$46,MATCH($H157,PARAMETRES!$R$7:$R$46,0)),""))</f>
        <v/>
      </c>
      <c r="L157" s="94">
        <f>IF($H157="","",IFERROR(INDEX(PARAMETRES!$V$7:$V$46,MATCH($H157,PARAMETRES!$R$7:$R$46,0)),""))</f>
        <v/>
      </c>
      <c r="M157" s="88" t="n"/>
      <c r="N157" s="88" t="n"/>
      <c r="O157" s="88" t="n"/>
      <c r="P157" s="94">
        <f>IF($G157="","",IF($G157&gt;=60,"Arrêt majeur — analyse 5 pourquoi",IF($G157&gt;=30,"À analyser en revue quotidienne",IF($K157="Planifié","Arrêt planifié","Aléa courant"))))</f>
        <v/>
      </c>
      <c r="Q157" s="95">
        <f>IF($A157="",0,IF(AND(OR(COCKPIT!$H$4="Toutes",$C157=COCKPIT!$H$4),OR(COCKPIT!$K$4="Toutes",$B157=COCKPIT!$K$4)),1,0))</f>
        <v/>
      </c>
    </row>
    <row r="158" ht="15" customHeight="1">
      <c r="A158" s="87" t="n">
        <v>46048</v>
      </c>
      <c r="B158" s="88" t="inlineStr">
        <is>
          <t>Équipe A (matin)</t>
        </is>
      </c>
      <c r="C158" s="88" t="inlineStr">
        <is>
          <t>Ligne 1 - Assemblage</t>
        </is>
      </c>
      <c r="D158" s="88" t="inlineStr">
        <is>
          <t>Ligne 1</t>
        </is>
      </c>
      <c r="E158" s="96" t="n">
        <v>0.3222222222222222</v>
      </c>
      <c r="F158" s="96" t="n">
        <v>0.3534722222222222</v>
      </c>
      <c r="G158" s="92">
        <f>IF(OR($E158="",$F158=""),"",ROUND(($F158-$E158+IF($F158&lt;$E158,1,0))*1440,0))</f>
        <v/>
      </c>
      <c r="H158" s="88" t="inlineStr">
        <is>
          <t>PLA-03</t>
        </is>
      </c>
      <c r="I158" s="94">
        <f>IF($H158="","",IFERROR(INDEX(PARAMETRES!$S$7:$S$46,MATCH($H158,PARAMETRES!$R$7:$R$46,0)),"Code inconnu"))</f>
        <v/>
      </c>
      <c r="J158" s="94">
        <f>IF($H158="","",IFERROR(INDEX(PARAMETRES!$T$7:$T$46,MATCH($H158,PARAMETRES!$R$7:$R$46,0)),""))</f>
        <v/>
      </c>
      <c r="K158" s="94">
        <f>IF($H158="","",IFERROR(INDEX(PARAMETRES!$U$7:$U$46,MATCH($H158,PARAMETRES!$R$7:$R$46,0)),""))</f>
        <v/>
      </c>
      <c r="L158" s="94">
        <f>IF($H158="","",IFERROR(INDEX(PARAMETRES!$V$7:$V$46,MATCH($H158,PARAMETRES!$R$7:$R$46,0)),""))</f>
        <v/>
      </c>
      <c r="M158" s="88" t="n"/>
      <c r="N158" s="88" t="n"/>
      <c r="O158" s="88" t="n"/>
      <c r="P158" s="94">
        <f>IF($G158="","",IF($G158&gt;=60,"Arrêt majeur — analyse 5 pourquoi",IF($G158&gt;=30,"À analyser en revue quotidienne",IF($K158="Planifié","Arrêt planifié","Aléa courant"))))</f>
        <v/>
      </c>
      <c r="Q158" s="95">
        <f>IF($A158="",0,IF(AND(OR(COCKPIT!$H$4="Toutes",$C158=COCKPIT!$H$4),OR(COCKPIT!$K$4="Toutes",$B158=COCKPIT!$K$4)),1,0))</f>
        <v/>
      </c>
    </row>
    <row r="159" ht="15" customHeight="1">
      <c r="A159" s="87" t="n">
        <v>46048</v>
      </c>
      <c r="B159" s="88" t="inlineStr">
        <is>
          <t>Équipe A (matin)</t>
        </is>
      </c>
      <c r="C159" s="88" t="inlineStr">
        <is>
          <t>Ligne 1 - Assemblage</t>
        </is>
      </c>
      <c r="D159" s="88" t="inlineStr">
        <is>
          <t>Ligne 1</t>
        </is>
      </c>
      <c r="E159" s="96" t="n">
        <v>0.3798611111111111</v>
      </c>
      <c r="F159" s="96" t="n">
        <v>0.40625</v>
      </c>
      <c r="G159" s="92">
        <f>IF(OR($E159="",$F159=""),"",ROUND(($F159-$E159+IF($F159&lt;$E159,1,0))*1440,0))</f>
        <v/>
      </c>
      <c r="H159" s="88" t="inlineStr">
        <is>
          <t>PAN-01</t>
        </is>
      </c>
      <c r="I159" s="94">
        <f>IF($H159="","",IFERROR(INDEX(PARAMETRES!$S$7:$S$46,MATCH($H159,PARAMETRES!$R$7:$R$46,0)),"Code inconnu"))</f>
        <v/>
      </c>
      <c r="J159" s="94">
        <f>IF($H159="","",IFERROR(INDEX(PARAMETRES!$T$7:$T$46,MATCH($H159,PARAMETRES!$R$7:$R$46,0)),""))</f>
        <v/>
      </c>
      <c r="K159" s="94">
        <f>IF($H159="","",IFERROR(INDEX(PARAMETRES!$U$7:$U$46,MATCH($H159,PARAMETRES!$R$7:$R$46,0)),""))</f>
        <v/>
      </c>
      <c r="L159" s="94">
        <f>IF($H159="","",IFERROR(INDEX(PARAMETRES!$V$7:$V$46,MATCH($H159,PARAMETRES!$R$7:$R$46,0)),""))</f>
        <v/>
      </c>
      <c r="M159" s="88" t="n"/>
      <c r="N159" s="88" t="n"/>
      <c r="O159" s="88" t="n"/>
      <c r="P159" s="94">
        <f>IF($G159="","",IF($G159&gt;=60,"Arrêt majeur — analyse 5 pourquoi",IF($G159&gt;=30,"À analyser en revue quotidienne",IF($K159="Planifié","Arrêt planifié","Aléa courant"))))</f>
        <v/>
      </c>
      <c r="Q159" s="95">
        <f>IF($A159="",0,IF(AND(OR(COCKPIT!$H$4="Toutes",$C159=COCKPIT!$H$4),OR(COCKPIT!$K$4="Toutes",$B159=COCKPIT!$K$4)),1,0))</f>
        <v/>
      </c>
    </row>
    <row r="160" ht="15" customHeight="1">
      <c r="A160" s="87" t="n">
        <v>46048</v>
      </c>
      <c r="B160" s="88" t="inlineStr">
        <is>
          <t>Équipe A (matin)</t>
        </is>
      </c>
      <c r="C160" s="88" t="inlineStr">
        <is>
          <t>Ligne 1 - Assemblage</t>
        </is>
      </c>
      <c r="D160" s="88" t="inlineStr">
        <is>
          <t>Ligne 1</t>
        </is>
      </c>
      <c r="E160" s="96" t="n">
        <v>0.4333333333333333</v>
      </c>
      <c r="F160" s="96" t="n">
        <v>0.4472222222222222</v>
      </c>
      <c r="G160" s="92">
        <f>IF(OR($E160="",$F160=""),"",ROUND(($F160-$E160+IF($F160&lt;$E160,1,0))*1440,0))</f>
        <v/>
      </c>
      <c r="H160" s="88" t="inlineStr">
        <is>
          <t>CDS-01</t>
        </is>
      </c>
      <c r="I160" s="94">
        <f>IF($H160="","",IFERROR(INDEX(PARAMETRES!$S$7:$S$46,MATCH($H160,PARAMETRES!$R$7:$R$46,0)),"Code inconnu"))</f>
        <v/>
      </c>
      <c r="J160" s="94">
        <f>IF($H160="","",IFERROR(INDEX(PARAMETRES!$T$7:$T$46,MATCH($H160,PARAMETRES!$R$7:$R$46,0)),""))</f>
        <v/>
      </c>
      <c r="K160" s="94">
        <f>IF($H160="","",IFERROR(INDEX(PARAMETRES!$U$7:$U$46,MATCH($H160,PARAMETRES!$R$7:$R$46,0)),""))</f>
        <v/>
      </c>
      <c r="L160" s="94">
        <f>IF($H160="","",IFERROR(INDEX(PARAMETRES!$V$7:$V$46,MATCH($H160,PARAMETRES!$R$7:$R$46,0)),""))</f>
        <v/>
      </c>
      <c r="M160" s="88" t="n"/>
      <c r="N160" s="88" t="n"/>
      <c r="O160" s="88" t="n"/>
      <c r="P160" s="94">
        <f>IF($G160="","",IF($G160&gt;=60,"Arrêt majeur — analyse 5 pourquoi",IF($G160&gt;=30,"À analyser en revue quotidienne",IF($K160="Planifié","Arrêt planifié","Aléa courant"))))</f>
        <v/>
      </c>
      <c r="Q160" s="95">
        <f>IF($A160="",0,IF(AND(OR(COCKPIT!$H$4="Toutes",$C160=COCKPIT!$H$4),OR(COCKPIT!$K$4="Toutes",$B160=COCKPIT!$K$4)),1,0))</f>
        <v/>
      </c>
    </row>
    <row r="161" ht="15" customHeight="1">
      <c r="A161" s="87" t="n">
        <v>46048</v>
      </c>
      <c r="B161" s="88" t="inlineStr">
        <is>
          <t>Équipe B (après-midi)</t>
        </is>
      </c>
      <c r="C161" s="88" t="inlineStr">
        <is>
          <t>Ligne 2 - Usinage</t>
        </is>
      </c>
      <c r="D161" s="88" t="inlineStr">
        <is>
          <t>Ligne 2</t>
        </is>
      </c>
      <c r="E161" s="96" t="n">
        <v>0.29375</v>
      </c>
      <c r="F161" s="96" t="n">
        <v>0.3215277777777778</v>
      </c>
      <c r="G161" s="92">
        <f>IF(OR($E161="",$F161=""),"",ROUND(($F161-$E161+IF($F161&lt;$E161,1,0))*1440,0))</f>
        <v/>
      </c>
      <c r="H161" s="88" t="inlineStr">
        <is>
          <t>PLA-01</t>
        </is>
      </c>
      <c r="I161" s="94">
        <f>IF($H161="","",IFERROR(INDEX(PARAMETRES!$S$7:$S$46,MATCH($H161,PARAMETRES!$R$7:$R$46,0)),"Code inconnu"))</f>
        <v/>
      </c>
      <c r="J161" s="94">
        <f>IF($H161="","",IFERROR(INDEX(PARAMETRES!$T$7:$T$46,MATCH($H161,PARAMETRES!$R$7:$R$46,0)),""))</f>
        <v/>
      </c>
      <c r="K161" s="94">
        <f>IF($H161="","",IFERROR(INDEX(PARAMETRES!$U$7:$U$46,MATCH($H161,PARAMETRES!$R$7:$R$46,0)),""))</f>
        <v/>
      </c>
      <c r="L161" s="94">
        <f>IF($H161="","",IFERROR(INDEX(PARAMETRES!$V$7:$V$46,MATCH($H161,PARAMETRES!$R$7:$R$46,0)),""))</f>
        <v/>
      </c>
      <c r="M161" s="88" t="n"/>
      <c r="N161" s="88" t="n"/>
      <c r="O161" s="88" t="n"/>
      <c r="P161" s="94">
        <f>IF($G161="","",IF($G161&gt;=60,"Arrêt majeur — analyse 5 pourquoi",IF($G161&gt;=30,"À analyser en revue quotidienne",IF($K161="Planifié","Arrêt planifié","Aléa courant"))))</f>
        <v/>
      </c>
      <c r="Q161" s="95">
        <f>IF($A161="",0,IF(AND(OR(COCKPIT!$H$4="Toutes",$C161=COCKPIT!$H$4),OR(COCKPIT!$K$4="Toutes",$B161=COCKPIT!$K$4)),1,0))</f>
        <v/>
      </c>
    </row>
    <row r="162" ht="15" customHeight="1">
      <c r="A162" s="87" t="n">
        <v>46048</v>
      </c>
      <c r="B162" s="88" t="inlineStr">
        <is>
          <t>Équipe B (après-midi)</t>
        </is>
      </c>
      <c r="C162" s="88" t="inlineStr">
        <is>
          <t>Ligne 2 - Usinage</t>
        </is>
      </c>
      <c r="D162" s="88" t="inlineStr">
        <is>
          <t>Ligne 2</t>
        </is>
      </c>
      <c r="E162" s="96" t="n">
        <v>0.3465277777777778</v>
      </c>
      <c r="F162" s="96" t="n">
        <v>0.3777777777777778</v>
      </c>
      <c r="G162" s="92">
        <f>IF(OR($E162="",$F162=""),"",ROUND(($F162-$E162+IF($F162&lt;$E162,1,0))*1440,0))</f>
        <v/>
      </c>
      <c r="H162" s="88" t="inlineStr">
        <is>
          <t>PLA-03</t>
        </is>
      </c>
      <c r="I162" s="94">
        <f>IF($H162="","",IFERROR(INDEX(PARAMETRES!$S$7:$S$46,MATCH($H162,PARAMETRES!$R$7:$R$46,0)),"Code inconnu"))</f>
        <v/>
      </c>
      <c r="J162" s="94">
        <f>IF($H162="","",IFERROR(INDEX(PARAMETRES!$T$7:$T$46,MATCH($H162,PARAMETRES!$R$7:$R$46,0)),""))</f>
        <v/>
      </c>
      <c r="K162" s="94">
        <f>IF($H162="","",IFERROR(INDEX(PARAMETRES!$U$7:$U$46,MATCH($H162,PARAMETRES!$R$7:$R$46,0)),""))</f>
        <v/>
      </c>
      <c r="L162" s="94">
        <f>IF($H162="","",IFERROR(INDEX(PARAMETRES!$V$7:$V$46,MATCH($H162,PARAMETRES!$R$7:$R$46,0)),""))</f>
        <v/>
      </c>
      <c r="M162" s="88" t="n"/>
      <c r="N162" s="88" t="n"/>
      <c r="O162" s="88" t="n"/>
      <c r="P162" s="94">
        <f>IF($G162="","",IF($G162&gt;=60,"Arrêt majeur — analyse 5 pourquoi",IF($G162&gt;=30,"À analyser en revue quotidienne",IF($K162="Planifié","Arrêt planifié","Aléa courant"))))</f>
        <v/>
      </c>
      <c r="Q162" s="95">
        <f>IF($A162="",0,IF(AND(OR(COCKPIT!$H$4="Toutes",$C162=COCKPIT!$H$4),OR(COCKPIT!$K$4="Toutes",$B162=COCKPIT!$K$4)),1,0))</f>
        <v/>
      </c>
    </row>
    <row r="163" ht="15" customHeight="1">
      <c r="A163" s="87" t="n">
        <v>46048</v>
      </c>
      <c r="B163" s="88" t="inlineStr">
        <is>
          <t>Équipe B (après-midi)</t>
        </is>
      </c>
      <c r="C163" s="88" t="inlineStr">
        <is>
          <t>Ligne 2 - Usinage</t>
        </is>
      </c>
      <c r="D163" s="88" t="inlineStr">
        <is>
          <t>Ligne 2</t>
        </is>
      </c>
      <c r="E163" s="96" t="n">
        <v>0.39375</v>
      </c>
      <c r="F163" s="96" t="n">
        <v>0.4020833333333333</v>
      </c>
      <c r="G163" s="92">
        <f>IF(OR($E163="",$F163=""),"",ROUND(($F163-$E163+IF($F163&lt;$E163,1,0))*1440,0))</f>
        <v/>
      </c>
      <c r="H163" s="88" t="inlineStr">
        <is>
          <t>REG-01</t>
        </is>
      </c>
      <c r="I163" s="94">
        <f>IF($H163="","",IFERROR(INDEX(PARAMETRES!$S$7:$S$46,MATCH($H163,PARAMETRES!$R$7:$R$46,0)),"Code inconnu"))</f>
        <v/>
      </c>
      <c r="J163" s="94">
        <f>IF($H163="","",IFERROR(INDEX(PARAMETRES!$T$7:$T$46,MATCH($H163,PARAMETRES!$R$7:$R$46,0)),""))</f>
        <v/>
      </c>
      <c r="K163" s="94">
        <f>IF($H163="","",IFERROR(INDEX(PARAMETRES!$U$7:$U$46,MATCH($H163,PARAMETRES!$R$7:$R$46,0)),""))</f>
        <v/>
      </c>
      <c r="L163" s="94">
        <f>IF($H163="","",IFERROR(INDEX(PARAMETRES!$V$7:$V$46,MATCH($H163,PARAMETRES!$R$7:$R$46,0)),""))</f>
        <v/>
      </c>
      <c r="M163" s="88" t="n"/>
      <c r="N163" s="88" t="n"/>
      <c r="O163" s="88" t="n"/>
      <c r="P163" s="94">
        <f>IF($G163="","",IF($G163&gt;=60,"Arrêt majeur — analyse 5 pourquoi",IF($G163&gt;=30,"À analyser en revue quotidienne",IF($K163="Planifié","Arrêt planifié","Aléa courant"))))</f>
        <v/>
      </c>
      <c r="Q163" s="95">
        <f>IF($A163="",0,IF(AND(OR(COCKPIT!$H$4="Toutes",$C163=COCKPIT!$H$4),OR(COCKPIT!$K$4="Toutes",$B163=COCKPIT!$K$4)),1,0))</f>
        <v/>
      </c>
    </row>
    <row r="164" ht="15" customHeight="1">
      <c r="A164" s="87" t="n">
        <v>46048</v>
      </c>
      <c r="B164" s="88" t="inlineStr">
        <is>
          <t>Équipe B (après-midi)</t>
        </is>
      </c>
      <c r="C164" s="88" t="inlineStr">
        <is>
          <t>Ligne 2 - Usinage</t>
        </is>
      </c>
      <c r="D164" s="88" t="inlineStr">
        <is>
          <t>Ligne 2</t>
        </is>
      </c>
      <c r="E164" s="96" t="n">
        <v>0.4090277777777778</v>
      </c>
      <c r="F164" s="96" t="n">
        <v>0.4215277777777778</v>
      </c>
      <c r="G164" s="92">
        <f>IF(OR($E164="",$F164=""),"",ROUND(($F164-$E164+IF($F164&lt;$E164,1,0))*1440,0))</f>
        <v/>
      </c>
      <c r="H164" s="88" t="inlineStr">
        <is>
          <t>MAT-02</t>
        </is>
      </c>
      <c r="I164" s="94">
        <f>IF($H164="","",IFERROR(INDEX(PARAMETRES!$S$7:$S$46,MATCH($H164,PARAMETRES!$R$7:$R$46,0)),"Code inconnu"))</f>
        <v/>
      </c>
      <c r="J164" s="94">
        <f>IF($H164="","",IFERROR(INDEX(PARAMETRES!$T$7:$T$46,MATCH($H164,PARAMETRES!$R$7:$R$46,0)),""))</f>
        <v/>
      </c>
      <c r="K164" s="94">
        <f>IF($H164="","",IFERROR(INDEX(PARAMETRES!$U$7:$U$46,MATCH($H164,PARAMETRES!$R$7:$R$46,0)),""))</f>
        <v/>
      </c>
      <c r="L164" s="94">
        <f>IF($H164="","",IFERROR(INDEX(PARAMETRES!$V$7:$V$46,MATCH($H164,PARAMETRES!$R$7:$R$46,0)),""))</f>
        <v/>
      </c>
      <c r="M164" s="88" t="n"/>
      <c r="N164" s="88" t="n"/>
      <c r="O164" s="88" t="n"/>
      <c r="P164" s="94">
        <f>IF($G164="","",IF($G164&gt;=60,"Arrêt majeur — analyse 5 pourquoi",IF($G164&gt;=30,"À analyser en revue quotidienne",IF($K164="Planifié","Arrêt planifié","Aléa courant"))))</f>
        <v/>
      </c>
      <c r="Q164" s="95">
        <f>IF($A164="",0,IF(AND(OR(COCKPIT!$H$4="Toutes",$C164=COCKPIT!$H$4),OR(COCKPIT!$K$4="Toutes",$B164=COCKPIT!$K$4)),1,0))</f>
        <v/>
      </c>
    </row>
    <row r="165" ht="15" customHeight="1">
      <c r="A165" s="87" t="n">
        <v>46048</v>
      </c>
      <c r="B165" s="88" t="inlineStr">
        <is>
          <t>Équipe B (après-midi)</t>
        </is>
      </c>
      <c r="C165" s="88" t="inlineStr">
        <is>
          <t>Ligne 2 - Usinage</t>
        </is>
      </c>
      <c r="D165" s="88" t="inlineStr">
        <is>
          <t>Ligne 2</t>
        </is>
      </c>
      <c r="E165" s="96" t="n">
        <v>0.4423611111111111</v>
      </c>
      <c r="F165" s="96" t="n">
        <v>0.4541666666666667</v>
      </c>
      <c r="G165" s="92">
        <f>IF(OR($E165="",$F165=""),"",ROUND(($F165-$E165+IF($F165&lt;$E165,1,0))*1440,0))</f>
        <v/>
      </c>
      <c r="H165" s="88" t="inlineStr">
        <is>
          <t>LOG-01</t>
        </is>
      </c>
      <c r="I165" s="94">
        <f>IF($H165="","",IFERROR(INDEX(PARAMETRES!$S$7:$S$46,MATCH($H165,PARAMETRES!$R$7:$R$46,0)),"Code inconnu"))</f>
        <v/>
      </c>
      <c r="J165" s="94">
        <f>IF($H165="","",IFERROR(INDEX(PARAMETRES!$T$7:$T$46,MATCH($H165,PARAMETRES!$R$7:$R$46,0)),""))</f>
        <v/>
      </c>
      <c r="K165" s="94">
        <f>IF($H165="","",IFERROR(INDEX(PARAMETRES!$U$7:$U$46,MATCH($H165,PARAMETRES!$R$7:$R$46,0)),""))</f>
        <v/>
      </c>
      <c r="L165" s="94">
        <f>IF($H165="","",IFERROR(INDEX(PARAMETRES!$V$7:$V$46,MATCH($H165,PARAMETRES!$R$7:$R$46,0)),""))</f>
        <v/>
      </c>
      <c r="M165" s="88" t="n"/>
      <c r="N165" s="88" t="n"/>
      <c r="O165" s="88" t="n"/>
      <c r="P165" s="94">
        <f>IF($G165="","",IF($G165&gt;=60,"Arrêt majeur — analyse 5 pourquoi",IF($G165&gt;=30,"À analyser en revue quotidienne",IF($K165="Planifié","Arrêt planifié","Aléa courant"))))</f>
        <v/>
      </c>
      <c r="Q165" s="95">
        <f>IF($A165="",0,IF(AND(OR(COCKPIT!$H$4="Toutes",$C165=COCKPIT!$H$4),OR(COCKPIT!$K$4="Toutes",$B165=COCKPIT!$K$4)),1,0))</f>
        <v/>
      </c>
    </row>
    <row r="166" ht="15" customHeight="1">
      <c r="A166" s="87" t="n">
        <v>46049</v>
      </c>
      <c r="B166" s="88" t="inlineStr">
        <is>
          <t>Équipe B (après-midi)</t>
        </is>
      </c>
      <c r="C166" s="88" t="inlineStr">
        <is>
          <t>Ligne 1 - Assemblage</t>
        </is>
      </c>
      <c r="D166" s="88" t="inlineStr">
        <is>
          <t>Ligne 1</t>
        </is>
      </c>
      <c r="E166" s="96" t="n">
        <v>0.2861111111111111</v>
      </c>
      <c r="F166" s="96" t="n">
        <v>0.3138888888888889</v>
      </c>
      <c r="G166" s="92">
        <f>IF(OR($E166="",$F166=""),"",ROUND(($F166-$E166+IF($F166&lt;$E166,1,0))*1440,0))</f>
        <v/>
      </c>
      <c r="H166" s="88" t="inlineStr">
        <is>
          <t>PLA-01</t>
        </is>
      </c>
      <c r="I166" s="94">
        <f>IF($H166="","",IFERROR(INDEX(PARAMETRES!$S$7:$S$46,MATCH($H166,PARAMETRES!$R$7:$R$46,0)),"Code inconnu"))</f>
        <v/>
      </c>
      <c r="J166" s="94">
        <f>IF($H166="","",IFERROR(INDEX(PARAMETRES!$T$7:$T$46,MATCH($H166,PARAMETRES!$R$7:$R$46,0)),""))</f>
        <v/>
      </c>
      <c r="K166" s="94">
        <f>IF($H166="","",IFERROR(INDEX(PARAMETRES!$U$7:$U$46,MATCH($H166,PARAMETRES!$R$7:$R$46,0)),""))</f>
        <v/>
      </c>
      <c r="L166" s="94">
        <f>IF($H166="","",IFERROR(INDEX(PARAMETRES!$V$7:$V$46,MATCH($H166,PARAMETRES!$R$7:$R$46,0)),""))</f>
        <v/>
      </c>
      <c r="M166" s="88" t="n"/>
      <c r="N166" s="88" t="n"/>
      <c r="O166" s="88" t="n"/>
      <c r="P166" s="94">
        <f>IF($G166="","",IF($G166&gt;=60,"Arrêt majeur — analyse 5 pourquoi",IF($G166&gt;=30,"À analyser en revue quotidienne",IF($K166="Planifié","Arrêt planifié","Aléa courant"))))</f>
        <v/>
      </c>
      <c r="Q166" s="95">
        <f>IF($A166="",0,IF(AND(OR(COCKPIT!$H$4="Toutes",$C166=COCKPIT!$H$4),OR(COCKPIT!$K$4="Toutes",$B166=COCKPIT!$K$4)),1,0))</f>
        <v/>
      </c>
    </row>
    <row r="167" ht="15" customHeight="1">
      <c r="A167" s="87" t="n">
        <v>46049</v>
      </c>
      <c r="B167" s="88" t="inlineStr">
        <is>
          <t>Équipe B (après-midi)</t>
        </is>
      </c>
      <c r="C167" s="88" t="inlineStr">
        <is>
          <t>Ligne 1 - Assemblage</t>
        </is>
      </c>
      <c r="D167" s="88" t="inlineStr">
        <is>
          <t>Ligne 1</t>
        </is>
      </c>
      <c r="E167" s="96" t="n">
        <v>0.3215277777777778</v>
      </c>
      <c r="F167" s="96" t="n">
        <v>0.3631944444444444</v>
      </c>
      <c r="G167" s="92">
        <f>IF(OR($E167="",$F167=""),"",ROUND(($F167-$E167+IF($F167&lt;$E167,1,0))*1440,0))</f>
        <v/>
      </c>
      <c r="H167" s="88" t="inlineStr">
        <is>
          <t>PLA-02</t>
        </is>
      </c>
      <c r="I167" s="94">
        <f>IF($H167="","",IFERROR(INDEX(PARAMETRES!$S$7:$S$46,MATCH($H167,PARAMETRES!$R$7:$R$46,0)),"Code inconnu"))</f>
        <v/>
      </c>
      <c r="J167" s="94">
        <f>IF($H167="","",IFERROR(INDEX(PARAMETRES!$T$7:$T$46,MATCH($H167,PARAMETRES!$R$7:$R$46,0)),""))</f>
        <v/>
      </c>
      <c r="K167" s="94">
        <f>IF($H167="","",IFERROR(INDEX(PARAMETRES!$U$7:$U$46,MATCH($H167,PARAMETRES!$R$7:$R$46,0)),""))</f>
        <v/>
      </c>
      <c r="L167" s="94">
        <f>IF($H167="","",IFERROR(INDEX(PARAMETRES!$V$7:$V$46,MATCH($H167,PARAMETRES!$R$7:$R$46,0)),""))</f>
        <v/>
      </c>
      <c r="M167" s="88" t="n"/>
      <c r="N167" s="88" t="n"/>
      <c r="O167" s="88" t="n"/>
      <c r="P167" s="94">
        <f>IF($G167="","",IF($G167&gt;=60,"Arrêt majeur — analyse 5 pourquoi",IF($G167&gt;=30,"À analyser en revue quotidienne",IF($K167="Planifié","Arrêt planifié","Aléa courant"))))</f>
        <v/>
      </c>
      <c r="Q167" s="95">
        <f>IF($A167="",0,IF(AND(OR(COCKPIT!$H$4="Toutes",$C167=COCKPIT!$H$4),OR(COCKPIT!$K$4="Toutes",$B167=COCKPIT!$K$4)),1,0))</f>
        <v/>
      </c>
    </row>
    <row r="168" ht="15" customHeight="1">
      <c r="A168" s="87" t="n">
        <v>46049</v>
      </c>
      <c r="B168" s="88" t="inlineStr">
        <is>
          <t>Équipe B (après-midi)</t>
        </is>
      </c>
      <c r="C168" s="88" t="inlineStr">
        <is>
          <t>Ligne 1 - Assemblage</t>
        </is>
      </c>
      <c r="D168" s="88" t="inlineStr">
        <is>
          <t>Ligne 1</t>
        </is>
      </c>
      <c r="E168" s="96" t="n">
        <v>0.3819444444444444</v>
      </c>
      <c r="F168" s="96" t="n">
        <v>0.4</v>
      </c>
      <c r="G168" s="92">
        <f>IF(OR($E168="",$F168=""),"",ROUND(($F168-$E168+IF($F168&lt;$E168,1,0))*1440,0))</f>
        <v/>
      </c>
      <c r="H168" s="88" t="inlineStr">
        <is>
          <t>MAT-01</t>
        </is>
      </c>
      <c r="I168" s="94">
        <f>IF($H168="","",IFERROR(INDEX(PARAMETRES!$S$7:$S$46,MATCH($H168,PARAMETRES!$R$7:$R$46,0)),"Code inconnu"))</f>
        <v/>
      </c>
      <c r="J168" s="94">
        <f>IF($H168="","",IFERROR(INDEX(PARAMETRES!$T$7:$T$46,MATCH($H168,PARAMETRES!$R$7:$R$46,0)),""))</f>
        <v/>
      </c>
      <c r="K168" s="94">
        <f>IF($H168="","",IFERROR(INDEX(PARAMETRES!$U$7:$U$46,MATCH($H168,PARAMETRES!$R$7:$R$46,0)),""))</f>
        <v/>
      </c>
      <c r="L168" s="94">
        <f>IF($H168="","",IFERROR(INDEX(PARAMETRES!$V$7:$V$46,MATCH($H168,PARAMETRES!$R$7:$R$46,0)),""))</f>
        <v/>
      </c>
      <c r="M168" s="88" t="n"/>
      <c r="N168" s="88" t="n"/>
      <c r="O168" s="88" t="n"/>
      <c r="P168" s="94">
        <f>IF($G168="","",IF($G168&gt;=60,"Arrêt majeur — analyse 5 pourquoi",IF($G168&gt;=30,"À analyser en revue quotidienne",IF($K168="Planifié","Arrêt planifié","Aléa courant"))))</f>
        <v/>
      </c>
      <c r="Q168" s="95">
        <f>IF($A168="",0,IF(AND(OR(COCKPIT!$H$4="Toutes",$C168=COCKPIT!$H$4),OR(COCKPIT!$K$4="Toutes",$B168=COCKPIT!$K$4)),1,0))</f>
        <v/>
      </c>
    </row>
    <row r="169" ht="15" customHeight="1">
      <c r="A169" s="87" t="n">
        <v>46049</v>
      </c>
      <c r="B169" s="88" t="inlineStr">
        <is>
          <t>Équipe B (après-midi)</t>
        </is>
      </c>
      <c r="C169" s="88" t="inlineStr">
        <is>
          <t>Ligne 1 - Assemblage</t>
        </is>
      </c>
      <c r="D169" s="88" t="inlineStr">
        <is>
          <t>Ligne 1</t>
        </is>
      </c>
      <c r="E169" s="96" t="n">
        <v>0.4145833333333334</v>
      </c>
      <c r="F169" s="96" t="n">
        <v>0.4361111111111111</v>
      </c>
      <c r="G169" s="92">
        <f>IF(OR($E169="",$F169=""),"",ROUND(($F169-$E169+IF($F169&lt;$E169,1,0))*1440,0))</f>
        <v/>
      </c>
      <c r="H169" s="88" t="inlineStr">
        <is>
          <t>PER-02</t>
        </is>
      </c>
      <c r="I169" s="94">
        <f>IF($H169="","",IFERROR(INDEX(PARAMETRES!$S$7:$S$46,MATCH($H169,PARAMETRES!$R$7:$R$46,0)),"Code inconnu"))</f>
        <v/>
      </c>
      <c r="J169" s="94">
        <f>IF($H169="","",IFERROR(INDEX(PARAMETRES!$T$7:$T$46,MATCH($H169,PARAMETRES!$R$7:$R$46,0)),""))</f>
        <v/>
      </c>
      <c r="K169" s="94">
        <f>IF($H169="","",IFERROR(INDEX(PARAMETRES!$U$7:$U$46,MATCH($H169,PARAMETRES!$R$7:$R$46,0)),""))</f>
        <v/>
      </c>
      <c r="L169" s="94">
        <f>IF($H169="","",IFERROR(INDEX(PARAMETRES!$V$7:$V$46,MATCH($H169,PARAMETRES!$R$7:$R$46,0)),""))</f>
        <v/>
      </c>
      <c r="M169" s="88" t="n"/>
      <c r="N169" s="88" t="n"/>
      <c r="O169" s="88" t="n"/>
      <c r="P169" s="94">
        <f>IF($G169="","",IF($G169&gt;=60,"Arrêt majeur — analyse 5 pourquoi",IF($G169&gt;=30,"À analyser en revue quotidienne",IF($K169="Planifié","Arrêt planifié","Aléa courant"))))</f>
        <v/>
      </c>
      <c r="Q169" s="95">
        <f>IF($A169="",0,IF(AND(OR(COCKPIT!$H$4="Toutes",$C169=COCKPIT!$H$4),OR(COCKPIT!$K$4="Toutes",$B169=COCKPIT!$K$4)),1,0))</f>
        <v/>
      </c>
    </row>
    <row r="170" ht="15" customHeight="1">
      <c r="A170" s="87" t="n">
        <v>46049</v>
      </c>
      <c r="B170" s="88" t="inlineStr">
        <is>
          <t>Équipe B (après-midi)</t>
        </is>
      </c>
      <c r="C170" s="88" t="inlineStr">
        <is>
          <t>Ligne 1 - Assemblage</t>
        </is>
      </c>
      <c r="D170" s="88" t="inlineStr">
        <is>
          <t>Ligne 1</t>
        </is>
      </c>
      <c r="E170" s="96" t="n">
        <v>0.4493055555555556</v>
      </c>
      <c r="F170" s="96" t="n">
        <v>0.4583333333333333</v>
      </c>
      <c r="G170" s="92">
        <f>IF(OR($E170="",$F170=""),"",ROUND(($F170-$E170+IF($F170&lt;$E170,1,0))*1440,0))</f>
        <v/>
      </c>
      <c r="H170" s="88" t="inlineStr">
        <is>
          <t>ESS-01</t>
        </is>
      </c>
      <c r="I170" s="94">
        <f>IF($H170="","",IFERROR(INDEX(PARAMETRES!$S$7:$S$46,MATCH($H170,PARAMETRES!$R$7:$R$46,0)),"Code inconnu"))</f>
        <v/>
      </c>
      <c r="J170" s="94">
        <f>IF($H170="","",IFERROR(INDEX(PARAMETRES!$T$7:$T$46,MATCH($H170,PARAMETRES!$R$7:$R$46,0)),""))</f>
        <v/>
      </c>
      <c r="K170" s="94">
        <f>IF($H170="","",IFERROR(INDEX(PARAMETRES!$U$7:$U$46,MATCH($H170,PARAMETRES!$R$7:$R$46,0)),""))</f>
        <v/>
      </c>
      <c r="L170" s="94">
        <f>IF($H170="","",IFERROR(INDEX(PARAMETRES!$V$7:$V$46,MATCH($H170,PARAMETRES!$R$7:$R$46,0)),""))</f>
        <v/>
      </c>
      <c r="M170" s="88" t="n"/>
      <c r="N170" s="88" t="n"/>
      <c r="O170" s="88" t="n"/>
      <c r="P170" s="94">
        <f>IF($G170="","",IF($G170&gt;=60,"Arrêt majeur — analyse 5 pourquoi",IF($G170&gt;=30,"À analyser en revue quotidienne",IF($K170="Planifié","Arrêt planifié","Aléa courant"))))</f>
        <v/>
      </c>
      <c r="Q170" s="95">
        <f>IF($A170="",0,IF(AND(OR(COCKPIT!$H$4="Toutes",$C170=COCKPIT!$H$4),OR(COCKPIT!$K$4="Toutes",$B170=COCKPIT!$K$4)),1,0))</f>
        <v/>
      </c>
    </row>
    <row r="171" ht="15" customHeight="1">
      <c r="A171" s="87" t="n">
        <v>46049</v>
      </c>
      <c r="B171" s="88" t="inlineStr">
        <is>
          <t>Équipe B (après-midi)</t>
        </is>
      </c>
      <c r="C171" s="88" t="inlineStr">
        <is>
          <t>Ligne 1 - Assemblage</t>
        </is>
      </c>
      <c r="D171" s="88" t="inlineStr">
        <is>
          <t>Ligne 1</t>
        </is>
      </c>
      <c r="E171" s="96" t="n">
        <v>0.4868055555555555</v>
      </c>
      <c r="F171" s="96" t="n">
        <v>0.5</v>
      </c>
      <c r="G171" s="92">
        <f>IF(OR($E171="",$F171=""),"",ROUND(($F171-$E171+IF($F171&lt;$E171,1,0))*1440,0))</f>
        <v/>
      </c>
      <c r="H171" s="88" t="inlineStr">
        <is>
          <t>PAN-03</t>
        </is>
      </c>
      <c r="I171" s="94">
        <f>IF($H171="","",IFERROR(INDEX(PARAMETRES!$S$7:$S$46,MATCH($H171,PARAMETRES!$R$7:$R$46,0)),"Code inconnu"))</f>
        <v/>
      </c>
      <c r="J171" s="94">
        <f>IF($H171="","",IFERROR(INDEX(PARAMETRES!$T$7:$T$46,MATCH($H171,PARAMETRES!$R$7:$R$46,0)),""))</f>
        <v/>
      </c>
      <c r="K171" s="94">
        <f>IF($H171="","",IFERROR(INDEX(PARAMETRES!$U$7:$U$46,MATCH($H171,PARAMETRES!$R$7:$R$46,0)),""))</f>
        <v/>
      </c>
      <c r="L171" s="94">
        <f>IF($H171="","",IFERROR(INDEX(PARAMETRES!$V$7:$V$46,MATCH($H171,PARAMETRES!$R$7:$R$46,0)),""))</f>
        <v/>
      </c>
      <c r="M171" s="88" t="n"/>
      <c r="N171" s="88" t="n"/>
      <c r="O171" s="88" t="n"/>
      <c r="P171" s="94">
        <f>IF($G171="","",IF($G171&gt;=60,"Arrêt majeur — analyse 5 pourquoi",IF($G171&gt;=30,"À analyser en revue quotidienne",IF($K171="Planifié","Arrêt planifié","Aléa courant"))))</f>
        <v/>
      </c>
      <c r="Q171" s="95">
        <f>IF($A171="",0,IF(AND(OR(COCKPIT!$H$4="Toutes",$C171=COCKPIT!$H$4),OR(COCKPIT!$K$4="Toutes",$B171=COCKPIT!$K$4)),1,0))</f>
        <v/>
      </c>
    </row>
    <row r="172" ht="15" customHeight="1">
      <c r="A172" s="87" t="n">
        <v>46049</v>
      </c>
      <c r="B172" s="88" t="inlineStr">
        <is>
          <t>Équipe B (après-midi)</t>
        </is>
      </c>
      <c r="C172" s="88" t="inlineStr">
        <is>
          <t>Ligne 1 - Assemblage</t>
        </is>
      </c>
      <c r="D172" s="88" t="inlineStr">
        <is>
          <t>Ligne 1</t>
        </is>
      </c>
      <c r="E172" s="96" t="n">
        <v>0.5083333333333333</v>
      </c>
      <c r="F172" s="96" t="n">
        <v>0.5180555555555556</v>
      </c>
      <c r="G172" s="92">
        <f>IF(OR($E172="",$F172=""),"",ROUND(($F172-$E172+IF($F172&lt;$E172,1,0))*1440,0))</f>
        <v/>
      </c>
      <c r="H172" s="88" t="inlineStr">
        <is>
          <t>REG-01</t>
        </is>
      </c>
      <c r="I172" s="94">
        <f>IF($H172="","",IFERROR(INDEX(PARAMETRES!$S$7:$S$46,MATCH($H172,PARAMETRES!$R$7:$R$46,0)),"Code inconnu"))</f>
        <v/>
      </c>
      <c r="J172" s="94">
        <f>IF($H172="","",IFERROR(INDEX(PARAMETRES!$T$7:$T$46,MATCH($H172,PARAMETRES!$R$7:$R$46,0)),""))</f>
        <v/>
      </c>
      <c r="K172" s="94">
        <f>IF($H172="","",IFERROR(INDEX(PARAMETRES!$U$7:$U$46,MATCH($H172,PARAMETRES!$R$7:$R$46,0)),""))</f>
        <v/>
      </c>
      <c r="L172" s="94">
        <f>IF($H172="","",IFERROR(INDEX(PARAMETRES!$V$7:$V$46,MATCH($H172,PARAMETRES!$R$7:$R$46,0)),""))</f>
        <v/>
      </c>
      <c r="M172" s="88" t="n"/>
      <c r="N172" s="88" t="n"/>
      <c r="O172" s="88" t="n"/>
      <c r="P172" s="94">
        <f>IF($G172="","",IF($G172&gt;=60,"Arrêt majeur — analyse 5 pourquoi",IF($G172&gt;=30,"À analyser en revue quotidienne",IF($K172="Planifié","Arrêt planifié","Aléa courant"))))</f>
        <v/>
      </c>
      <c r="Q172" s="95">
        <f>IF($A172="",0,IF(AND(OR(COCKPIT!$H$4="Toutes",$C172=COCKPIT!$H$4),OR(COCKPIT!$K$4="Toutes",$B172=COCKPIT!$K$4)),1,0))</f>
        <v/>
      </c>
    </row>
    <row r="173" ht="15" customHeight="1">
      <c r="A173" s="87" t="n">
        <v>46049</v>
      </c>
      <c r="B173" s="88" t="inlineStr">
        <is>
          <t>Équipe A (matin)</t>
        </is>
      </c>
      <c r="C173" s="88" t="inlineStr">
        <is>
          <t>Ligne 2 - Usinage</t>
        </is>
      </c>
      <c r="D173" s="88" t="inlineStr">
        <is>
          <t>Ligne 2</t>
        </is>
      </c>
      <c r="E173" s="96" t="n">
        <v>0.2951388888888889</v>
      </c>
      <c r="F173" s="96" t="n">
        <v>0.3229166666666667</v>
      </c>
      <c r="G173" s="92">
        <f>IF(OR($E173="",$F173=""),"",ROUND(($F173-$E173+IF($F173&lt;$E173,1,0))*1440,0))</f>
        <v/>
      </c>
      <c r="H173" s="88" t="inlineStr">
        <is>
          <t>PLA-01</t>
        </is>
      </c>
      <c r="I173" s="94">
        <f>IF($H173="","",IFERROR(INDEX(PARAMETRES!$S$7:$S$46,MATCH($H173,PARAMETRES!$R$7:$R$46,0)),"Code inconnu"))</f>
        <v/>
      </c>
      <c r="J173" s="94">
        <f>IF($H173="","",IFERROR(INDEX(PARAMETRES!$T$7:$T$46,MATCH($H173,PARAMETRES!$R$7:$R$46,0)),""))</f>
        <v/>
      </c>
      <c r="K173" s="94">
        <f>IF($H173="","",IFERROR(INDEX(PARAMETRES!$U$7:$U$46,MATCH($H173,PARAMETRES!$R$7:$R$46,0)),""))</f>
        <v/>
      </c>
      <c r="L173" s="94">
        <f>IF($H173="","",IFERROR(INDEX(PARAMETRES!$V$7:$V$46,MATCH($H173,PARAMETRES!$R$7:$R$46,0)),""))</f>
        <v/>
      </c>
      <c r="M173" s="88" t="n"/>
      <c r="N173" s="88" t="n"/>
      <c r="O173" s="88" t="n"/>
      <c r="P173" s="94">
        <f>IF($G173="","",IF($G173&gt;=60,"Arrêt majeur — analyse 5 pourquoi",IF($G173&gt;=30,"À analyser en revue quotidienne",IF($K173="Planifié","Arrêt planifié","Aléa courant"))))</f>
        <v/>
      </c>
      <c r="Q173" s="95">
        <f>IF($A173="",0,IF(AND(OR(COCKPIT!$H$4="Toutes",$C173=COCKPIT!$H$4),OR(COCKPIT!$K$4="Toutes",$B173=COCKPIT!$K$4)),1,0))</f>
        <v/>
      </c>
    </row>
    <row r="174" ht="15" customHeight="1">
      <c r="A174" s="87" t="n">
        <v>46049</v>
      </c>
      <c r="B174" s="88" t="inlineStr">
        <is>
          <t>Équipe A (matin)</t>
        </is>
      </c>
      <c r="C174" s="88" t="inlineStr">
        <is>
          <t>Ligne 2 - Usinage</t>
        </is>
      </c>
      <c r="D174" s="88" t="inlineStr">
        <is>
          <t>Ligne 2</t>
        </is>
      </c>
      <c r="E174" s="96" t="n">
        <v>0.3534722222222222</v>
      </c>
      <c r="F174" s="96" t="n">
        <v>0.3951388888888889</v>
      </c>
      <c r="G174" s="92">
        <f>IF(OR($E174="",$F174=""),"",ROUND(($F174-$E174+IF($F174&lt;$E174,1,0))*1440,0))</f>
        <v/>
      </c>
      <c r="H174" s="88" t="inlineStr">
        <is>
          <t>PLA-02</t>
        </is>
      </c>
      <c r="I174" s="94">
        <f>IF($H174="","",IFERROR(INDEX(PARAMETRES!$S$7:$S$46,MATCH($H174,PARAMETRES!$R$7:$R$46,0)),"Code inconnu"))</f>
        <v/>
      </c>
      <c r="J174" s="94">
        <f>IF($H174="","",IFERROR(INDEX(PARAMETRES!$T$7:$T$46,MATCH($H174,PARAMETRES!$R$7:$R$46,0)),""))</f>
        <v/>
      </c>
      <c r="K174" s="94">
        <f>IF($H174="","",IFERROR(INDEX(PARAMETRES!$U$7:$U$46,MATCH($H174,PARAMETRES!$R$7:$R$46,0)),""))</f>
        <v/>
      </c>
      <c r="L174" s="94">
        <f>IF($H174="","",IFERROR(INDEX(PARAMETRES!$V$7:$V$46,MATCH($H174,PARAMETRES!$R$7:$R$46,0)),""))</f>
        <v/>
      </c>
      <c r="M174" s="88" t="n"/>
      <c r="N174" s="88" t="n"/>
      <c r="O174" s="88" t="n"/>
      <c r="P174" s="94">
        <f>IF($G174="","",IF($G174&gt;=60,"Arrêt majeur — analyse 5 pourquoi",IF($G174&gt;=30,"À analyser en revue quotidienne",IF($K174="Planifié","Arrêt planifié","Aléa courant"))))</f>
        <v/>
      </c>
      <c r="Q174" s="95">
        <f>IF($A174="",0,IF(AND(OR(COCKPIT!$H$4="Toutes",$C174=COCKPIT!$H$4),OR(COCKPIT!$K$4="Toutes",$B174=COCKPIT!$K$4)),1,0))</f>
        <v/>
      </c>
    </row>
    <row r="175" ht="15" customHeight="1">
      <c r="A175" s="87" t="n">
        <v>46049</v>
      </c>
      <c r="B175" s="88" t="inlineStr">
        <is>
          <t>Équipe A (matin)</t>
        </is>
      </c>
      <c r="C175" s="88" t="inlineStr">
        <is>
          <t>Ligne 2 - Usinage</t>
        </is>
      </c>
      <c r="D175" s="88" t="inlineStr">
        <is>
          <t>Ligne 2</t>
        </is>
      </c>
      <c r="E175" s="96" t="n">
        <v>0.4138888888888889</v>
      </c>
      <c r="F175" s="96" t="n">
        <v>0.4236111111111111</v>
      </c>
      <c r="G175" s="92">
        <f>IF(OR($E175="",$F175=""),"",ROUND(($F175-$E175+IF($F175&lt;$E175,1,0))*1440,0))</f>
        <v/>
      </c>
      <c r="H175" s="88" t="inlineStr">
        <is>
          <t>LOG-02</t>
        </is>
      </c>
      <c r="I175" s="94">
        <f>IF($H175="","",IFERROR(INDEX(PARAMETRES!$S$7:$S$46,MATCH($H175,PARAMETRES!$R$7:$R$46,0)),"Code inconnu"))</f>
        <v/>
      </c>
      <c r="J175" s="94">
        <f>IF($H175="","",IFERROR(INDEX(PARAMETRES!$T$7:$T$46,MATCH($H175,PARAMETRES!$R$7:$R$46,0)),""))</f>
        <v/>
      </c>
      <c r="K175" s="94">
        <f>IF($H175="","",IFERROR(INDEX(PARAMETRES!$U$7:$U$46,MATCH($H175,PARAMETRES!$R$7:$R$46,0)),""))</f>
        <v/>
      </c>
      <c r="L175" s="94">
        <f>IF($H175="","",IFERROR(INDEX(PARAMETRES!$V$7:$V$46,MATCH($H175,PARAMETRES!$R$7:$R$46,0)),""))</f>
        <v/>
      </c>
      <c r="M175" s="88" t="n"/>
      <c r="N175" s="88" t="n"/>
      <c r="O175" s="88" t="n"/>
      <c r="P175" s="94">
        <f>IF($G175="","",IF($G175&gt;=60,"Arrêt majeur — analyse 5 pourquoi",IF($G175&gt;=30,"À analyser en revue quotidienne",IF($K175="Planifié","Arrêt planifié","Aléa courant"))))</f>
        <v/>
      </c>
      <c r="Q175" s="95">
        <f>IF($A175="",0,IF(AND(OR(COCKPIT!$H$4="Toutes",$C175=COCKPIT!$H$4),OR(COCKPIT!$K$4="Toutes",$B175=COCKPIT!$K$4)),1,0))</f>
        <v/>
      </c>
    </row>
    <row r="176" ht="15" customHeight="1">
      <c r="A176" s="87" t="n">
        <v>46049</v>
      </c>
      <c r="B176" s="88" t="inlineStr">
        <is>
          <t>Équipe A (matin)</t>
        </is>
      </c>
      <c r="C176" s="88" t="inlineStr">
        <is>
          <t>Ligne 2 - Usinage</t>
        </is>
      </c>
      <c r="D176" s="88" t="inlineStr">
        <is>
          <t>Ligne 2</t>
        </is>
      </c>
      <c r="E176" s="96" t="n">
        <v>0.44375</v>
      </c>
      <c r="F176" s="96" t="n">
        <v>0.4611111111111111</v>
      </c>
      <c r="G176" s="92">
        <f>IF(OR($E176="",$F176=""),"",ROUND(($F176-$E176+IF($F176&lt;$E176,1,0))*1440,0))</f>
        <v/>
      </c>
      <c r="H176" s="88" t="inlineStr">
        <is>
          <t>PAN-02</t>
        </is>
      </c>
      <c r="I176" s="94">
        <f>IF($H176="","",IFERROR(INDEX(PARAMETRES!$S$7:$S$46,MATCH($H176,PARAMETRES!$R$7:$R$46,0)),"Code inconnu"))</f>
        <v/>
      </c>
      <c r="J176" s="94">
        <f>IF($H176="","",IFERROR(INDEX(PARAMETRES!$T$7:$T$46,MATCH($H176,PARAMETRES!$R$7:$R$46,0)),""))</f>
        <v/>
      </c>
      <c r="K176" s="94">
        <f>IF($H176="","",IFERROR(INDEX(PARAMETRES!$U$7:$U$46,MATCH($H176,PARAMETRES!$R$7:$R$46,0)),""))</f>
        <v/>
      </c>
      <c r="L176" s="94">
        <f>IF($H176="","",IFERROR(INDEX(PARAMETRES!$V$7:$V$46,MATCH($H176,PARAMETRES!$R$7:$R$46,0)),""))</f>
        <v/>
      </c>
      <c r="M176" s="88" t="n"/>
      <c r="N176" s="88" t="n"/>
      <c r="O176" s="88" t="n"/>
      <c r="P176" s="94">
        <f>IF($G176="","",IF($G176&gt;=60,"Arrêt majeur — analyse 5 pourquoi",IF($G176&gt;=30,"À analyser en revue quotidienne",IF($K176="Planifié","Arrêt planifié","Aléa courant"))))</f>
        <v/>
      </c>
      <c r="Q176" s="95">
        <f>IF($A176="",0,IF(AND(OR(COCKPIT!$H$4="Toutes",$C176=COCKPIT!$H$4),OR(COCKPIT!$K$4="Toutes",$B176=COCKPIT!$K$4)),1,0))</f>
        <v/>
      </c>
    </row>
    <row r="177" ht="15" customHeight="1">
      <c r="A177" s="87" t="n">
        <v>46050</v>
      </c>
      <c r="B177" s="88" t="inlineStr">
        <is>
          <t>Équipe A (matin)</t>
        </is>
      </c>
      <c r="C177" s="88" t="inlineStr">
        <is>
          <t>Ligne 1 - Assemblage</t>
        </is>
      </c>
      <c r="D177" s="88" t="inlineStr">
        <is>
          <t>Ligne 1</t>
        </is>
      </c>
      <c r="E177" s="96" t="n">
        <v>0.2965277777777778</v>
      </c>
      <c r="F177" s="96" t="n">
        <v>0.3243055555555556</v>
      </c>
      <c r="G177" s="92">
        <f>IF(OR($E177="",$F177=""),"",ROUND(($F177-$E177+IF($F177&lt;$E177,1,0))*1440,0))</f>
        <v/>
      </c>
      <c r="H177" s="88" t="inlineStr">
        <is>
          <t>PLA-01</t>
        </is>
      </c>
      <c r="I177" s="94">
        <f>IF($H177="","",IFERROR(INDEX(PARAMETRES!$S$7:$S$46,MATCH($H177,PARAMETRES!$R$7:$R$46,0)),"Code inconnu"))</f>
        <v/>
      </c>
      <c r="J177" s="94">
        <f>IF($H177="","",IFERROR(INDEX(PARAMETRES!$T$7:$T$46,MATCH($H177,PARAMETRES!$R$7:$R$46,0)),""))</f>
        <v/>
      </c>
      <c r="K177" s="94">
        <f>IF($H177="","",IFERROR(INDEX(PARAMETRES!$U$7:$U$46,MATCH($H177,PARAMETRES!$R$7:$R$46,0)),""))</f>
        <v/>
      </c>
      <c r="L177" s="94">
        <f>IF($H177="","",IFERROR(INDEX(PARAMETRES!$V$7:$V$46,MATCH($H177,PARAMETRES!$R$7:$R$46,0)),""))</f>
        <v/>
      </c>
      <c r="M177" s="88" t="n"/>
      <c r="N177" s="88" t="n"/>
      <c r="O177" s="88" t="n"/>
      <c r="P177" s="94">
        <f>IF($G177="","",IF($G177&gt;=60,"Arrêt majeur — analyse 5 pourquoi",IF($G177&gt;=30,"À analyser en revue quotidienne",IF($K177="Planifié","Arrêt planifié","Aléa courant"))))</f>
        <v/>
      </c>
      <c r="Q177" s="95">
        <f>IF($A177="",0,IF(AND(OR(COCKPIT!$H$4="Toutes",$C177=COCKPIT!$H$4),OR(COCKPIT!$K$4="Toutes",$B177=COCKPIT!$K$4)),1,0))</f>
        <v/>
      </c>
    </row>
    <row r="178" ht="15" customHeight="1">
      <c r="A178" s="87" t="n">
        <v>46050</v>
      </c>
      <c r="B178" s="88" t="inlineStr">
        <is>
          <t>Équipe A (matin)</t>
        </is>
      </c>
      <c r="C178" s="88" t="inlineStr">
        <is>
          <t>Ligne 1 - Assemblage</t>
        </is>
      </c>
      <c r="D178" s="88" t="inlineStr">
        <is>
          <t>Ligne 1</t>
        </is>
      </c>
      <c r="E178" s="96" t="n">
        <v>0.3333333333333333</v>
      </c>
      <c r="F178" s="96" t="n">
        <v>0.3479166666666667</v>
      </c>
      <c r="G178" s="92">
        <f>IF(OR($E178="",$F178=""),"",ROUND(($F178-$E178+IF($F178&lt;$E178,1,0))*1440,0))</f>
        <v/>
      </c>
      <c r="H178" s="88" t="inlineStr">
        <is>
          <t>PAN-01</t>
        </is>
      </c>
      <c r="I178" s="94">
        <f>IF($H178="","",IFERROR(INDEX(PARAMETRES!$S$7:$S$46,MATCH($H178,PARAMETRES!$R$7:$R$46,0)),"Code inconnu"))</f>
        <v/>
      </c>
      <c r="J178" s="94">
        <f>IF($H178="","",IFERROR(INDEX(PARAMETRES!$T$7:$T$46,MATCH($H178,PARAMETRES!$R$7:$R$46,0)),""))</f>
        <v/>
      </c>
      <c r="K178" s="94">
        <f>IF($H178="","",IFERROR(INDEX(PARAMETRES!$U$7:$U$46,MATCH($H178,PARAMETRES!$R$7:$R$46,0)),""))</f>
        <v/>
      </c>
      <c r="L178" s="94">
        <f>IF($H178="","",IFERROR(INDEX(PARAMETRES!$V$7:$V$46,MATCH($H178,PARAMETRES!$R$7:$R$46,0)),""))</f>
        <v/>
      </c>
      <c r="M178" s="88" t="n"/>
      <c r="N178" s="88" t="n"/>
      <c r="O178" s="88" t="n"/>
      <c r="P178" s="94">
        <f>IF($G178="","",IF($G178&gt;=60,"Arrêt majeur — analyse 5 pourquoi",IF($G178&gt;=30,"À analyser en revue quotidienne",IF($K178="Planifié","Arrêt planifié","Aléa courant"))))</f>
        <v/>
      </c>
      <c r="Q178" s="95">
        <f>IF($A178="",0,IF(AND(OR(COCKPIT!$H$4="Toutes",$C178=COCKPIT!$H$4),OR(COCKPIT!$K$4="Toutes",$B178=COCKPIT!$K$4)),1,0))</f>
        <v/>
      </c>
    </row>
    <row r="179" ht="15" customHeight="1">
      <c r="A179" s="87" t="n">
        <v>46050</v>
      </c>
      <c r="B179" s="88" t="inlineStr">
        <is>
          <t>Équipe A (matin)</t>
        </is>
      </c>
      <c r="C179" s="88" t="inlineStr">
        <is>
          <t>Ligne 1 - Assemblage</t>
        </is>
      </c>
      <c r="D179" s="88" t="inlineStr">
        <is>
          <t>Ligne 1</t>
        </is>
      </c>
      <c r="E179" s="96" t="n">
        <v>0.3666666666666666</v>
      </c>
      <c r="F179" s="96" t="n">
        <v>0.3923611111111111</v>
      </c>
      <c r="G179" s="92">
        <f>IF(OR($E179="",$F179=""),"",ROUND(($F179-$E179+IF($F179&lt;$E179,1,0))*1440,0))</f>
        <v/>
      </c>
      <c r="H179" s="88" t="inlineStr">
        <is>
          <t>CDS-01</t>
        </is>
      </c>
      <c r="I179" s="94">
        <f>IF($H179="","",IFERROR(INDEX(PARAMETRES!$S$7:$S$46,MATCH($H179,PARAMETRES!$R$7:$R$46,0)),"Code inconnu"))</f>
        <v/>
      </c>
      <c r="J179" s="94">
        <f>IF($H179="","",IFERROR(INDEX(PARAMETRES!$T$7:$T$46,MATCH($H179,PARAMETRES!$R$7:$R$46,0)),""))</f>
        <v/>
      </c>
      <c r="K179" s="94">
        <f>IF($H179="","",IFERROR(INDEX(PARAMETRES!$U$7:$U$46,MATCH($H179,PARAMETRES!$R$7:$R$46,0)),""))</f>
        <v/>
      </c>
      <c r="L179" s="94">
        <f>IF($H179="","",IFERROR(INDEX(PARAMETRES!$V$7:$V$46,MATCH($H179,PARAMETRES!$R$7:$R$46,0)),""))</f>
        <v/>
      </c>
      <c r="M179" s="88" t="n"/>
      <c r="N179" s="88" t="n"/>
      <c r="O179" s="88" t="n"/>
      <c r="P179" s="94">
        <f>IF($G179="","",IF($G179&gt;=60,"Arrêt majeur — analyse 5 pourquoi",IF($G179&gt;=30,"À analyser en revue quotidienne",IF($K179="Planifié","Arrêt planifié","Aléa courant"))))</f>
        <v/>
      </c>
      <c r="Q179" s="95">
        <f>IF($A179="",0,IF(AND(OR(COCKPIT!$H$4="Toutes",$C179=COCKPIT!$H$4),OR(COCKPIT!$K$4="Toutes",$B179=COCKPIT!$K$4)),1,0))</f>
        <v/>
      </c>
    </row>
    <row r="180" ht="15" customHeight="1">
      <c r="A180" s="87" t="n">
        <v>46050</v>
      </c>
      <c r="B180" s="88" t="inlineStr">
        <is>
          <t>Équipe A (matin)</t>
        </is>
      </c>
      <c r="C180" s="88" t="inlineStr">
        <is>
          <t>Ligne 1 - Assemblage</t>
        </is>
      </c>
      <c r="D180" s="88" t="inlineStr">
        <is>
          <t>Ligne 1</t>
        </is>
      </c>
      <c r="E180" s="96" t="n">
        <v>0.4229166666666667</v>
      </c>
      <c r="F180" s="96" t="n">
        <v>0.4305555555555556</v>
      </c>
      <c r="G180" s="92">
        <f>IF(OR($E180="",$F180=""),"",ROUND(($F180-$E180+IF($F180&lt;$E180,1,0))*1440,0))</f>
        <v/>
      </c>
      <c r="H180" s="88" t="inlineStr">
        <is>
          <t>REG-02</t>
        </is>
      </c>
      <c r="I180" s="94">
        <f>IF($H180="","",IFERROR(INDEX(PARAMETRES!$S$7:$S$46,MATCH($H180,PARAMETRES!$R$7:$R$46,0)),"Code inconnu"))</f>
        <v/>
      </c>
      <c r="J180" s="94">
        <f>IF($H180="","",IFERROR(INDEX(PARAMETRES!$T$7:$T$46,MATCH($H180,PARAMETRES!$R$7:$R$46,0)),""))</f>
        <v/>
      </c>
      <c r="K180" s="94">
        <f>IF($H180="","",IFERROR(INDEX(PARAMETRES!$U$7:$U$46,MATCH($H180,PARAMETRES!$R$7:$R$46,0)),""))</f>
        <v/>
      </c>
      <c r="L180" s="94">
        <f>IF($H180="","",IFERROR(INDEX(PARAMETRES!$V$7:$V$46,MATCH($H180,PARAMETRES!$R$7:$R$46,0)),""))</f>
        <v/>
      </c>
      <c r="M180" s="88" t="n"/>
      <c r="N180" s="88" t="n"/>
      <c r="O180" s="88" t="n"/>
      <c r="P180" s="94">
        <f>IF($G180="","",IF($G180&gt;=60,"Arrêt majeur — analyse 5 pourquoi",IF($G180&gt;=30,"À analyser en revue quotidienne",IF($K180="Planifié","Arrêt planifié","Aléa courant"))))</f>
        <v/>
      </c>
      <c r="Q180" s="95">
        <f>IF($A180="",0,IF(AND(OR(COCKPIT!$H$4="Toutes",$C180=COCKPIT!$H$4),OR(COCKPIT!$K$4="Toutes",$B180=COCKPIT!$K$4)),1,0))</f>
        <v/>
      </c>
    </row>
    <row r="181" ht="15" customHeight="1">
      <c r="A181" s="87" t="n">
        <v>46050</v>
      </c>
      <c r="B181" s="88" t="inlineStr">
        <is>
          <t>Équipe A (matin)</t>
        </is>
      </c>
      <c r="C181" s="88" t="inlineStr">
        <is>
          <t>Ligne 1 - Assemblage</t>
        </is>
      </c>
      <c r="D181" s="88" t="inlineStr">
        <is>
          <t>Ligne 1</t>
        </is>
      </c>
      <c r="E181" s="96" t="n">
        <v>0.4534722222222222</v>
      </c>
      <c r="F181" s="96" t="n">
        <v>0.4625</v>
      </c>
      <c r="G181" s="92">
        <f>IF(OR($E181="",$F181=""),"",ROUND(($F181-$E181+IF($F181&lt;$E181,1,0))*1440,0))</f>
        <v/>
      </c>
      <c r="H181" s="88" t="inlineStr">
        <is>
          <t>PER-01</t>
        </is>
      </c>
      <c r="I181" s="94">
        <f>IF($H181="","",IFERROR(INDEX(PARAMETRES!$S$7:$S$46,MATCH($H181,PARAMETRES!$R$7:$R$46,0)),"Code inconnu"))</f>
        <v/>
      </c>
      <c r="J181" s="94">
        <f>IF($H181="","",IFERROR(INDEX(PARAMETRES!$T$7:$T$46,MATCH($H181,PARAMETRES!$R$7:$R$46,0)),""))</f>
        <v/>
      </c>
      <c r="K181" s="94">
        <f>IF($H181="","",IFERROR(INDEX(PARAMETRES!$U$7:$U$46,MATCH($H181,PARAMETRES!$R$7:$R$46,0)),""))</f>
        <v/>
      </c>
      <c r="L181" s="94">
        <f>IF($H181="","",IFERROR(INDEX(PARAMETRES!$V$7:$V$46,MATCH($H181,PARAMETRES!$R$7:$R$46,0)),""))</f>
        <v/>
      </c>
      <c r="M181" s="88" t="n"/>
      <c r="N181" s="88" t="n"/>
      <c r="O181" s="88" t="n"/>
      <c r="P181" s="94">
        <f>IF($G181="","",IF($G181&gt;=60,"Arrêt majeur — analyse 5 pourquoi",IF($G181&gt;=30,"À analyser en revue quotidienne",IF($K181="Planifié","Arrêt planifié","Aléa courant"))))</f>
        <v/>
      </c>
      <c r="Q181" s="95">
        <f>IF($A181="",0,IF(AND(OR(COCKPIT!$H$4="Toutes",$C181=COCKPIT!$H$4),OR(COCKPIT!$K$4="Toutes",$B181=COCKPIT!$K$4)),1,0))</f>
        <v/>
      </c>
    </row>
    <row r="182" ht="15" customHeight="1">
      <c r="A182" s="87" t="n">
        <v>46050</v>
      </c>
      <c r="B182" s="88" t="inlineStr">
        <is>
          <t>Équipe B (après-midi)</t>
        </is>
      </c>
      <c r="C182" s="88" t="inlineStr">
        <is>
          <t>Ligne 2 - Usinage</t>
        </is>
      </c>
      <c r="D182" s="88" t="inlineStr">
        <is>
          <t>Ligne 2</t>
        </is>
      </c>
      <c r="E182" s="96" t="n">
        <v>0.28125</v>
      </c>
      <c r="F182" s="96" t="n">
        <v>0.3090277777777778</v>
      </c>
      <c r="G182" s="92">
        <f>IF(OR($E182="",$F182=""),"",ROUND(($F182-$E182+IF($F182&lt;$E182,1,0))*1440,0))</f>
        <v/>
      </c>
      <c r="H182" s="88" t="inlineStr">
        <is>
          <t>PLA-01</t>
        </is>
      </c>
      <c r="I182" s="94">
        <f>IF($H182="","",IFERROR(INDEX(PARAMETRES!$S$7:$S$46,MATCH($H182,PARAMETRES!$R$7:$R$46,0)),"Code inconnu"))</f>
        <v/>
      </c>
      <c r="J182" s="94">
        <f>IF($H182="","",IFERROR(INDEX(PARAMETRES!$T$7:$T$46,MATCH($H182,PARAMETRES!$R$7:$R$46,0)),""))</f>
        <v/>
      </c>
      <c r="K182" s="94">
        <f>IF($H182="","",IFERROR(INDEX(PARAMETRES!$U$7:$U$46,MATCH($H182,PARAMETRES!$R$7:$R$46,0)),""))</f>
        <v/>
      </c>
      <c r="L182" s="94">
        <f>IF($H182="","",IFERROR(INDEX(PARAMETRES!$V$7:$V$46,MATCH($H182,PARAMETRES!$R$7:$R$46,0)),""))</f>
        <v/>
      </c>
      <c r="M182" s="88" t="n"/>
      <c r="N182" s="88" t="n"/>
      <c r="O182" s="88" t="n"/>
      <c r="P182" s="94">
        <f>IF($G182="","",IF($G182&gt;=60,"Arrêt majeur — analyse 5 pourquoi",IF($G182&gt;=30,"À analyser en revue quotidienne",IF($K182="Planifié","Arrêt planifié","Aléa courant"))))</f>
        <v/>
      </c>
      <c r="Q182" s="95">
        <f>IF($A182="",0,IF(AND(OR(COCKPIT!$H$4="Toutes",$C182=COCKPIT!$H$4),OR(COCKPIT!$K$4="Toutes",$B182=COCKPIT!$K$4)),1,0))</f>
        <v/>
      </c>
    </row>
    <row r="183" ht="15" customHeight="1">
      <c r="A183" s="87" t="n">
        <v>46050</v>
      </c>
      <c r="B183" s="88" t="inlineStr">
        <is>
          <t>Équipe B (après-midi)</t>
        </is>
      </c>
      <c r="C183" s="88" t="inlineStr">
        <is>
          <t>Ligne 2 - Usinage</t>
        </is>
      </c>
      <c r="D183" s="88" t="inlineStr">
        <is>
          <t>Ligne 2</t>
        </is>
      </c>
      <c r="E183" s="96" t="n">
        <v>0.325</v>
      </c>
      <c r="F183" s="96" t="n">
        <v>0.3284722222222222</v>
      </c>
      <c r="G183" s="92">
        <f>IF(OR($E183="",$F183=""),"",ROUND(($F183-$E183+IF($F183&lt;$E183,1,0))*1440,0))</f>
        <v/>
      </c>
      <c r="H183" s="88" t="inlineStr">
        <is>
          <t>REG-01</t>
        </is>
      </c>
      <c r="I183" s="94">
        <f>IF($H183="","",IFERROR(INDEX(PARAMETRES!$S$7:$S$46,MATCH($H183,PARAMETRES!$R$7:$R$46,0)),"Code inconnu"))</f>
        <v/>
      </c>
      <c r="J183" s="94">
        <f>IF($H183="","",IFERROR(INDEX(PARAMETRES!$T$7:$T$46,MATCH($H183,PARAMETRES!$R$7:$R$46,0)),""))</f>
        <v/>
      </c>
      <c r="K183" s="94">
        <f>IF($H183="","",IFERROR(INDEX(PARAMETRES!$U$7:$U$46,MATCH($H183,PARAMETRES!$R$7:$R$46,0)),""))</f>
        <v/>
      </c>
      <c r="L183" s="94">
        <f>IF($H183="","",IFERROR(INDEX(PARAMETRES!$V$7:$V$46,MATCH($H183,PARAMETRES!$R$7:$R$46,0)),""))</f>
        <v/>
      </c>
      <c r="M183" s="88" t="n"/>
      <c r="N183" s="88" t="n"/>
      <c r="O183" s="88" t="n"/>
      <c r="P183" s="94">
        <f>IF($G183="","",IF($G183&gt;=60,"Arrêt majeur — analyse 5 pourquoi",IF($G183&gt;=30,"À analyser en revue quotidienne",IF($K183="Planifié","Arrêt planifié","Aléa courant"))))</f>
        <v/>
      </c>
      <c r="Q183" s="95">
        <f>IF($A183="",0,IF(AND(OR(COCKPIT!$H$4="Toutes",$C183=COCKPIT!$H$4),OR(COCKPIT!$K$4="Toutes",$B183=COCKPIT!$K$4)),1,0))</f>
        <v/>
      </c>
    </row>
    <row r="184" ht="15" customHeight="1">
      <c r="A184" s="87" t="n">
        <v>46050</v>
      </c>
      <c r="B184" s="88" t="inlineStr">
        <is>
          <t>Équipe B (après-midi)</t>
        </is>
      </c>
      <c r="C184" s="88" t="inlineStr">
        <is>
          <t>Ligne 2 - Usinage</t>
        </is>
      </c>
      <c r="D184" s="88" t="inlineStr">
        <is>
          <t>Ligne 2</t>
        </is>
      </c>
      <c r="E184" s="96" t="n">
        <v>0.35</v>
      </c>
      <c r="F184" s="96" t="n">
        <v>0.3604166666666667</v>
      </c>
      <c r="G184" s="92">
        <f>IF(OR($E184="",$F184=""),"",ROUND(($F184-$E184+IF($F184&lt;$E184,1,0))*1440,0))</f>
        <v/>
      </c>
      <c r="H184" s="88" t="inlineStr">
        <is>
          <t>MAT-02</t>
        </is>
      </c>
      <c r="I184" s="94">
        <f>IF($H184="","",IFERROR(INDEX(PARAMETRES!$S$7:$S$46,MATCH($H184,PARAMETRES!$R$7:$R$46,0)),"Code inconnu"))</f>
        <v/>
      </c>
      <c r="J184" s="94">
        <f>IF($H184="","",IFERROR(INDEX(PARAMETRES!$T$7:$T$46,MATCH($H184,PARAMETRES!$R$7:$R$46,0)),""))</f>
        <v/>
      </c>
      <c r="K184" s="94">
        <f>IF($H184="","",IFERROR(INDEX(PARAMETRES!$U$7:$U$46,MATCH($H184,PARAMETRES!$R$7:$R$46,0)),""))</f>
        <v/>
      </c>
      <c r="L184" s="94">
        <f>IF($H184="","",IFERROR(INDEX(PARAMETRES!$V$7:$V$46,MATCH($H184,PARAMETRES!$R$7:$R$46,0)),""))</f>
        <v/>
      </c>
      <c r="M184" s="88" t="n"/>
      <c r="N184" s="88" t="n"/>
      <c r="O184" s="88" t="n"/>
      <c r="P184" s="94">
        <f>IF($G184="","",IF($G184&gt;=60,"Arrêt majeur — analyse 5 pourquoi",IF($G184&gt;=30,"À analyser en revue quotidienne",IF($K184="Planifié","Arrêt planifié","Aléa courant"))))</f>
        <v/>
      </c>
      <c r="Q184" s="95">
        <f>IF($A184="",0,IF(AND(OR(COCKPIT!$H$4="Toutes",$C184=COCKPIT!$H$4),OR(COCKPIT!$K$4="Toutes",$B184=COCKPIT!$K$4)),1,0))</f>
        <v/>
      </c>
    </row>
    <row r="185" ht="15" customHeight="1">
      <c r="A185" s="87" t="n">
        <v>46050</v>
      </c>
      <c r="B185" s="88" t="inlineStr">
        <is>
          <t>Équipe B (après-midi)</t>
        </is>
      </c>
      <c r="C185" s="88" t="inlineStr">
        <is>
          <t>Ligne 2 - Usinage</t>
        </is>
      </c>
      <c r="D185" s="88" t="inlineStr">
        <is>
          <t>Ligne 2</t>
        </is>
      </c>
      <c r="E185" s="96" t="n">
        <v>0.3868055555555556</v>
      </c>
      <c r="F185" s="96" t="n">
        <v>0.4</v>
      </c>
      <c r="G185" s="92">
        <f>IF(OR($E185="",$F185=""),"",ROUND(($F185-$E185+IF($F185&lt;$E185,1,0))*1440,0))</f>
        <v/>
      </c>
      <c r="H185" s="88" t="inlineStr">
        <is>
          <t>LOG-01</t>
        </is>
      </c>
      <c r="I185" s="94">
        <f>IF($H185="","",IFERROR(INDEX(PARAMETRES!$S$7:$S$46,MATCH($H185,PARAMETRES!$R$7:$R$46,0)),"Code inconnu"))</f>
        <v/>
      </c>
      <c r="J185" s="94">
        <f>IF($H185="","",IFERROR(INDEX(PARAMETRES!$T$7:$T$46,MATCH($H185,PARAMETRES!$R$7:$R$46,0)),""))</f>
        <v/>
      </c>
      <c r="K185" s="94">
        <f>IF($H185="","",IFERROR(INDEX(PARAMETRES!$U$7:$U$46,MATCH($H185,PARAMETRES!$R$7:$R$46,0)),""))</f>
        <v/>
      </c>
      <c r="L185" s="94">
        <f>IF($H185="","",IFERROR(INDEX(PARAMETRES!$V$7:$V$46,MATCH($H185,PARAMETRES!$R$7:$R$46,0)),""))</f>
        <v/>
      </c>
      <c r="M185" s="88" t="n"/>
      <c r="N185" s="88" t="n"/>
      <c r="O185" s="88" t="n"/>
      <c r="P185" s="94">
        <f>IF($G185="","",IF($G185&gt;=60,"Arrêt majeur — analyse 5 pourquoi",IF($G185&gt;=30,"À analyser en revue quotidienne",IF($K185="Planifié","Arrêt planifié","Aléa courant"))))</f>
        <v/>
      </c>
      <c r="Q185" s="95">
        <f>IF($A185="",0,IF(AND(OR(COCKPIT!$H$4="Toutes",$C185=COCKPIT!$H$4),OR(COCKPIT!$K$4="Toutes",$B185=COCKPIT!$K$4)),1,0))</f>
        <v/>
      </c>
    </row>
    <row r="186" ht="15" customHeight="1">
      <c r="A186" s="87" t="n">
        <v>46050</v>
      </c>
      <c r="B186" s="88" t="inlineStr">
        <is>
          <t>Équipe B (après-midi)</t>
        </is>
      </c>
      <c r="C186" s="88" t="inlineStr">
        <is>
          <t>Ligne 2 - Usinage</t>
        </is>
      </c>
      <c r="D186" s="88" t="inlineStr">
        <is>
          <t>Ligne 2</t>
        </is>
      </c>
      <c r="E186" s="96" t="n">
        <v>0.4166666666666667</v>
      </c>
      <c r="F186" s="96" t="n">
        <v>0.4409722222222222</v>
      </c>
      <c r="G186" s="92">
        <f>IF(OR($E186="",$F186=""),"",ROUND(($F186-$E186+IF($F186&lt;$E186,1,0))*1440,0))</f>
        <v/>
      </c>
      <c r="H186" s="88" t="inlineStr">
        <is>
          <t>PAN-01</t>
        </is>
      </c>
      <c r="I186" s="94">
        <f>IF($H186="","",IFERROR(INDEX(PARAMETRES!$S$7:$S$46,MATCH($H186,PARAMETRES!$R$7:$R$46,0)),"Code inconnu"))</f>
        <v/>
      </c>
      <c r="J186" s="94">
        <f>IF($H186="","",IFERROR(INDEX(PARAMETRES!$T$7:$T$46,MATCH($H186,PARAMETRES!$R$7:$R$46,0)),""))</f>
        <v/>
      </c>
      <c r="K186" s="94">
        <f>IF($H186="","",IFERROR(INDEX(PARAMETRES!$U$7:$U$46,MATCH($H186,PARAMETRES!$R$7:$R$46,0)),""))</f>
        <v/>
      </c>
      <c r="L186" s="94">
        <f>IF($H186="","",IFERROR(INDEX(PARAMETRES!$V$7:$V$46,MATCH($H186,PARAMETRES!$R$7:$R$46,0)),""))</f>
        <v/>
      </c>
      <c r="M186" s="88" t="n"/>
      <c r="N186" s="88" t="n"/>
      <c r="O186" s="88" t="n"/>
      <c r="P186" s="94">
        <f>IF($G186="","",IF($G186&gt;=60,"Arrêt majeur — analyse 5 pourquoi",IF($G186&gt;=30,"À analyser en revue quotidienne",IF($K186="Planifié","Arrêt planifié","Aléa courant"))))</f>
        <v/>
      </c>
      <c r="Q186" s="95">
        <f>IF($A186="",0,IF(AND(OR(COCKPIT!$H$4="Toutes",$C186=COCKPIT!$H$4),OR(COCKPIT!$K$4="Toutes",$B186=COCKPIT!$K$4)),1,0))</f>
        <v/>
      </c>
    </row>
    <row r="187" ht="15" customHeight="1">
      <c r="A187" s="87" t="n">
        <v>46050</v>
      </c>
      <c r="B187" s="88" t="inlineStr">
        <is>
          <t>Équipe B (après-midi)</t>
        </is>
      </c>
      <c r="C187" s="88" t="inlineStr">
        <is>
          <t>Ligne 2 - Usinage</t>
        </is>
      </c>
      <c r="D187" s="88" t="inlineStr">
        <is>
          <t>Ligne 2</t>
        </is>
      </c>
      <c r="E187" s="96" t="n">
        <v>0.4715277777777778</v>
      </c>
      <c r="F187" s="96" t="n">
        <v>0.4854166666666667</v>
      </c>
      <c r="G187" s="92">
        <f>IF(OR($E187="",$F187=""),"",ROUND(($F187-$E187+IF($F187&lt;$E187,1,0))*1440,0))</f>
        <v/>
      </c>
      <c r="H187" s="88" t="inlineStr">
        <is>
          <t>CDS-01</t>
        </is>
      </c>
      <c r="I187" s="94">
        <f>IF($H187="","",IFERROR(INDEX(PARAMETRES!$S$7:$S$46,MATCH($H187,PARAMETRES!$R$7:$R$46,0)),"Code inconnu"))</f>
        <v/>
      </c>
      <c r="J187" s="94">
        <f>IF($H187="","",IFERROR(INDEX(PARAMETRES!$T$7:$T$46,MATCH($H187,PARAMETRES!$R$7:$R$46,0)),""))</f>
        <v/>
      </c>
      <c r="K187" s="94">
        <f>IF($H187="","",IFERROR(INDEX(PARAMETRES!$U$7:$U$46,MATCH($H187,PARAMETRES!$R$7:$R$46,0)),""))</f>
        <v/>
      </c>
      <c r="L187" s="94">
        <f>IF($H187="","",IFERROR(INDEX(PARAMETRES!$V$7:$V$46,MATCH($H187,PARAMETRES!$R$7:$R$46,0)),""))</f>
        <v/>
      </c>
      <c r="M187" s="88" t="n"/>
      <c r="N187" s="88" t="n"/>
      <c r="O187" s="88" t="n"/>
      <c r="P187" s="94">
        <f>IF($G187="","",IF($G187&gt;=60,"Arrêt majeur — analyse 5 pourquoi",IF($G187&gt;=30,"À analyser en revue quotidienne",IF($K187="Planifié","Arrêt planifié","Aléa courant"))))</f>
        <v/>
      </c>
      <c r="Q187" s="95">
        <f>IF($A187="",0,IF(AND(OR(COCKPIT!$H$4="Toutes",$C187=COCKPIT!$H$4),OR(COCKPIT!$K$4="Toutes",$B187=COCKPIT!$K$4)),1,0))</f>
        <v/>
      </c>
    </row>
    <row r="188" ht="15" customHeight="1">
      <c r="A188" s="87" t="n">
        <v>46051</v>
      </c>
      <c r="B188" s="88" t="inlineStr">
        <is>
          <t>Équipe B (après-midi)</t>
        </is>
      </c>
      <c r="C188" s="88" t="inlineStr">
        <is>
          <t>Ligne 1 - Assemblage</t>
        </is>
      </c>
      <c r="D188" s="88" t="inlineStr">
        <is>
          <t>Ligne 1</t>
        </is>
      </c>
      <c r="E188" s="96" t="n">
        <v>0.2819444444444444</v>
      </c>
      <c r="F188" s="96" t="n">
        <v>0.3097222222222222</v>
      </c>
      <c r="G188" s="92">
        <f>IF(OR($E188="",$F188=""),"",ROUND(($F188-$E188+IF($F188&lt;$E188,1,0))*1440,0))</f>
        <v/>
      </c>
      <c r="H188" s="88" t="inlineStr">
        <is>
          <t>PLA-01</t>
        </is>
      </c>
      <c r="I188" s="94">
        <f>IF($H188="","",IFERROR(INDEX(PARAMETRES!$S$7:$S$46,MATCH($H188,PARAMETRES!$R$7:$R$46,0)),"Code inconnu"))</f>
        <v/>
      </c>
      <c r="J188" s="94">
        <f>IF($H188="","",IFERROR(INDEX(PARAMETRES!$T$7:$T$46,MATCH($H188,PARAMETRES!$R$7:$R$46,0)),""))</f>
        <v/>
      </c>
      <c r="K188" s="94">
        <f>IF($H188="","",IFERROR(INDEX(PARAMETRES!$U$7:$U$46,MATCH($H188,PARAMETRES!$R$7:$R$46,0)),""))</f>
        <v/>
      </c>
      <c r="L188" s="94">
        <f>IF($H188="","",IFERROR(INDEX(PARAMETRES!$V$7:$V$46,MATCH($H188,PARAMETRES!$R$7:$R$46,0)),""))</f>
        <v/>
      </c>
      <c r="M188" s="88" t="n"/>
      <c r="N188" s="88" t="n"/>
      <c r="O188" s="88" t="n"/>
      <c r="P188" s="94">
        <f>IF($G188="","",IF($G188&gt;=60,"Arrêt majeur — analyse 5 pourquoi",IF($G188&gt;=30,"À analyser en revue quotidienne",IF($K188="Planifié","Arrêt planifié","Aléa courant"))))</f>
        <v/>
      </c>
      <c r="Q188" s="95">
        <f>IF($A188="",0,IF(AND(OR(COCKPIT!$H$4="Toutes",$C188=COCKPIT!$H$4),OR(COCKPIT!$K$4="Toutes",$B188=COCKPIT!$K$4)),1,0))</f>
        <v/>
      </c>
    </row>
    <row r="189" ht="15" customHeight="1">
      <c r="A189" s="87" t="n">
        <v>46051</v>
      </c>
      <c r="B189" s="88" t="inlineStr">
        <is>
          <t>Équipe B (après-midi)</t>
        </is>
      </c>
      <c r="C189" s="88" t="inlineStr">
        <is>
          <t>Ligne 1 - Assemblage</t>
        </is>
      </c>
      <c r="D189" s="88" t="inlineStr">
        <is>
          <t>Ligne 1</t>
        </is>
      </c>
      <c r="E189" s="96" t="n">
        <v>0.3375</v>
      </c>
      <c r="F189" s="96" t="n">
        <v>0.3513888888888889</v>
      </c>
      <c r="G189" s="92">
        <f>IF(OR($E189="",$F189=""),"",ROUND(($F189-$E189+IF($F189&lt;$E189,1,0))*1440,0))</f>
        <v/>
      </c>
      <c r="H189" s="88" t="inlineStr">
        <is>
          <t>MAT-01</t>
        </is>
      </c>
      <c r="I189" s="94">
        <f>IF($H189="","",IFERROR(INDEX(PARAMETRES!$S$7:$S$46,MATCH($H189,PARAMETRES!$R$7:$R$46,0)),"Code inconnu"))</f>
        <v/>
      </c>
      <c r="J189" s="94">
        <f>IF($H189="","",IFERROR(INDEX(PARAMETRES!$T$7:$T$46,MATCH($H189,PARAMETRES!$R$7:$R$46,0)),""))</f>
        <v/>
      </c>
      <c r="K189" s="94">
        <f>IF($H189="","",IFERROR(INDEX(PARAMETRES!$U$7:$U$46,MATCH($H189,PARAMETRES!$R$7:$R$46,0)),""))</f>
        <v/>
      </c>
      <c r="L189" s="94">
        <f>IF($H189="","",IFERROR(INDEX(PARAMETRES!$V$7:$V$46,MATCH($H189,PARAMETRES!$R$7:$R$46,0)),""))</f>
        <v/>
      </c>
      <c r="M189" s="88" t="n"/>
      <c r="N189" s="88" t="n"/>
      <c r="O189" s="88" t="n"/>
      <c r="P189" s="94">
        <f>IF($G189="","",IF($G189&gt;=60,"Arrêt majeur — analyse 5 pourquoi",IF($G189&gt;=30,"À analyser en revue quotidienne",IF($K189="Planifié","Arrêt planifié","Aléa courant"))))</f>
        <v/>
      </c>
      <c r="Q189" s="95">
        <f>IF($A189="",0,IF(AND(OR(COCKPIT!$H$4="Toutes",$C189=COCKPIT!$H$4),OR(COCKPIT!$K$4="Toutes",$B189=COCKPIT!$K$4)),1,0))</f>
        <v/>
      </c>
    </row>
    <row r="190" ht="15" customHeight="1">
      <c r="A190" s="87" t="n">
        <v>46051</v>
      </c>
      <c r="B190" s="88" t="inlineStr">
        <is>
          <t>Équipe B (après-midi)</t>
        </is>
      </c>
      <c r="C190" s="88" t="inlineStr">
        <is>
          <t>Ligne 1 - Assemblage</t>
        </is>
      </c>
      <c r="D190" s="88" t="inlineStr">
        <is>
          <t>Ligne 1</t>
        </is>
      </c>
      <c r="E190" s="96" t="n">
        <v>0.3708333333333333</v>
      </c>
      <c r="F190" s="96" t="n">
        <v>0.3875</v>
      </c>
      <c r="G190" s="92">
        <f>IF(OR($E190="",$F190=""),"",ROUND(($F190-$E190+IF($F190&lt;$E190,1,0))*1440,0))</f>
        <v/>
      </c>
      <c r="H190" s="88" t="inlineStr">
        <is>
          <t>PER-02</t>
        </is>
      </c>
      <c r="I190" s="94">
        <f>IF($H190="","",IFERROR(INDEX(PARAMETRES!$S$7:$S$46,MATCH($H190,PARAMETRES!$R$7:$R$46,0)),"Code inconnu"))</f>
        <v/>
      </c>
      <c r="J190" s="94">
        <f>IF($H190="","",IFERROR(INDEX(PARAMETRES!$T$7:$T$46,MATCH($H190,PARAMETRES!$R$7:$R$46,0)),""))</f>
        <v/>
      </c>
      <c r="K190" s="94">
        <f>IF($H190="","",IFERROR(INDEX(PARAMETRES!$U$7:$U$46,MATCH($H190,PARAMETRES!$R$7:$R$46,0)),""))</f>
        <v/>
      </c>
      <c r="L190" s="94">
        <f>IF($H190="","",IFERROR(INDEX(PARAMETRES!$V$7:$V$46,MATCH($H190,PARAMETRES!$R$7:$R$46,0)),""))</f>
        <v/>
      </c>
      <c r="M190" s="88" t="n"/>
      <c r="N190" s="88" t="n"/>
      <c r="O190" s="88" t="n"/>
      <c r="P190" s="94">
        <f>IF($G190="","",IF($G190&gt;=60,"Arrêt majeur — analyse 5 pourquoi",IF($G190&gt;=30,"À analyser en revue quotidienne",IF($K190="Planifié","Arrêt planifié","Aléa courant"))))</f>
        <v/>
      </c>
      <c r="Q190" s="95">
        <f>IF($A190="",0,IF(AND(OR(COCKPIT!$H$4="Toutes",$C190=COCKPIT!$H$4),OR(COCKPIT!$K$4="Toutes",$B190=COCKPIT!$K$4)),1,0))</f>
        <v/>
      </c>
    </row>
    <row r="191" ht="15" customHeight="1">
      <c r="A191" s="87" t="n">
        <v>46051</v>
      </c>
      <c r="B191" s="88" t="inlineStr">
        <is>
          <t>Équipe B (après-midi)</t>
        </is>
      </c>
      <c r="C191" s="88" t="inlineStr">
        <is>
          <t>Ligne 1 - Assemblage</t>
        </is>
      </c>
      <c r="D191" s="88" t="inlineStr">
        <is>
          <t>Ligne 1</t>
        </is>
      </c>
      <c r="E191" s="96" t="n">
        <v>0.4097222222222222</v>
      </c>
      <c r="F191" s="96" t="n">
        <v>0.4256944444444444</v>
      </c>
      <c r="G191" s="92">
        <f>IF(OR($E191="",$F191=""),"",ROUND(($F191-$E191+IF($F191&lt;$E191,1,0))*1440,0))</f>
        <v/>
      </c>
      <c r="H191" s="88" t="inlineStr">
        <is>
          <t>ESS-01</t>
        </is>
      </c>
      <c r="I191" s="94">
        <f>IF($H191="","",IFERROR(INDEX(PARAMETRES!$S$7:$S$46,MATCH($H191,PARAMETRES!$R$7:$R$46,0)),"Code inconnu"))</f>
        <v/>
      </c>
      <c r="J191" s="94">
        <f>IF($H191="","",IFERROR(INDEX(PARAMETRES!$T$7:$T$46,MATCH($H191,PARAMETRES!$R$7:$R$46,0)),""))</f>
        <v/>
      </c>
      <c r="K191" s="94">
        <f>IF($H191="","",IFERROR(INDEX(PARAMETRES!$U$7:$U$46,MATCH($H191,PARAMETRES!$R$7:$R$46,0)),""))</f>
        <v/>
      </c>
      <c r="L191" s="94">
        <f>IF($H191="","",IFERROR(INDEX(PARAMETRES!$V$7:$V$46,MATCH($H191,PARAMETRES!$R$7:$R$46,0)),""))</f>
        <v/>
      </c>
      <c r="M191" s="88" t="n"/>
      <c r="N191" s="88" t="n"/>
      <c r="O191" s="88" t="n"/>
      <c r="P191" s="94">
        <f>IF($G191="","",IF($G191&gt;=60,"Arrêt majeur — analyse 5 pourquoi",IF($G191&gt;=30,"À analyser en revue quotidienne",IF($K191="Planifié","Arrêt planifié","Aléa courant"))))</f>
        <v/>
      </c>
      <c r="Q191" s="95">
        <f>IF($A191="",0,IF(AND(OR(COCKPIT!$H$4="Toutes",$C191=COCKPIT!$H$4),OR(COCKPIT!$K$4="Toutes",$B191=COCKPIT!$K$4)),1,0))</f>
        <v/>
      </c>
    </row>
    <row r="192" ht="15" customHeight="1">
      <c r="A192" s="87" t="n">
        <v>46051</v>
      </c>
      <c r="B192" s="88" t="inlineStr">
        <is>
          <t>Équipe A (matin)</t>
        </is>
      </c>
      <c r="C192" s="88" t="inlineStr">
        <is>
          <t>Ligne 2 - Usinage</t>
        </is>
      </c>
      <c r="D192" s="88" t="inlineStr">
        <is>
          <t>Ligne 2</t>
        </is>
      </c>
      <c r="E192" s="96" t="n">
        <v>0.2819444444444444</v>
      </c>
      <c r="F192" s="96" t="n">
        <v>0.3097222222222222</v>
      </c>
      <c r="G192" s="92">
        <f>IF(OR($E192="",$F192=""),"",ROUND(($F192-$E192+IF($F192&lt;$E192,1,0))*1440,0))</f>
        <v/>
      </c>
      <c r="H192" s="88" t="inlineStr">
        <is>
          <t>PLA-01</t>
        </is>
      </c>
      <c r="I192" s="94">
        <f>IF($H192="","",IFERROR(INDEX(PARAMETRES!$S$7:$S$46,MATCH($H192,PARAMETRES!$R$7:$R$46,0)),"Code inconnu"))</f>
        <v/>
      </c>
      <c r="J192" s="94">
        <f>IF($H192="","",IFERROR(INDEX(PARAMETRES!$T$7:$T$46,MATCH($H192,PARAMETRES!$R$7:$R$46,0)),""))</f>
        <v/>
      </c>
      <c r="K192" s="94">
        <f>IF($H192="","",IFERROR(INDEX(PARAMETRES!$U$7:$U$46,MATCH($H192,PARAMETRES!$R$7:$R$46,0)),""))</f>
        <v/>
      </c>
      <c r="L192" s="94">
        <f>IF($H192="","",IFERROR(INDEX(PARAMETRES!$V$7:$V$46,MATCH($H192,PARAMETRES!$R$7:$R$46,0)),""))</f>
        <v/>
      </c>
      <c r="M192" s="88" t="n"/>
      <c r="N192" s="88" t="n"/>
      <c r="O192" s="88" t="n"/>
      <c r="P192" s="94">
        <f>IF($G192="","",IF($G192&gt;=60,"Arrêt majeur — analyse 5 pourquoi",IF($G192&gt;=30,"À analyser en revue quotidienne",IF($K192="Planifié","Arrêt planifié","Aléa courant"))))</f>
        <v/>
      </c>
      <c r="Q192" s="95">
        <f>IF($A192="",0,IF(AND(OR(COCKPIT!$H$4="Toutes",$C192=COCKPIT!$H$4),OR(COCKPIT!$K$4="Toutes",$B192=COCKPIT!$K$4)),1,0))</f>
        <v/>
      </c>
    </row>
    <row r="193" ht="15" customHeight="1">
      <c r="A193" s="87" t="n">
        <v>46051</v>
      </c>
      <c r="B193" s="88" t="inlineStr">
        <is>
          <t>Équipe A (matin)</t>
        </is>
      </c>
      <c r="C193" s="88" t="inlineStr">
        <is>
          <t>Ligne 2 - Usinage</t>
        </is>
      </c>
      <c r="D193" s="88" t="inlineStr">
        <is>
          <t>Ligne 2</t>
        </is>
      </c>
      <c r="E193" s="96" t="n">
        <v>0.3354166666666666</v>
      </c>
      <c r="F193" s="96" t="n">
        <v>0.3444444444444444</v>
      </c>
      <c r="G193" s="92">
        <f>IF(OR($E193="",$F193=""),"",ROUND(($F193-$E193+IF($F193&lt;$E193,1,0))*1440,0))</f>
        <v/>
      </c>
      <c r="H193" s="88" t="inlineStr">
        <is>
          <t>LOG-02</t>
        </is>
      </c>
      <c r="I193" s="94">
        <f>IF($H193="","",IFERROR(INDEX(PARAMETRES!$S$7:$S$46,MATCH($H193,PARAMETRES!$R$7:$R$46,0)),"Code inconnu"))</f>
        <v/>
      </c>
      <c r="J193" s="94">
        <f>IF($H193="","",IFERROR(INDEX(PARAMETRES!$T$7:$T$46,MATCH($H193,PARAMETRES!$R$7:$R$46,0)),""))</f>
        <v/>
      </c>
      <c r="K193" s="94">
        <f>IF($H193="","",IFERROR(INDEX(PARAMETRES!$U$7:$U$46,MATCH($H193,PARAMETRES!$R$7:$R$46,0)),""))</f>
        <v/>
      </c>
      <c r="L193" s="94">
        <f>IF($H193="","",IFERROR(INDEX(PARAMETRES!$V$7:$V$46,MATCH($H193,PARAMETRES!$R$7:$R$46,0)),""))</f>
        <v/>
      </c>
      <c r="M193" s="88" t="n"/>
      <c r="N193" s="88" t="n"/>
      <c r="O193" s="88" t="n"/>
      <c r="P193" s="94">
        <f>IF($G193="","",IF($G193&gt;=60,"Arrêt majeur — analyse 5 pourquoi",IF($G193&gt;=30,"À analyser en revue quotidienne",IF($K193="Planifié","Arrêt planifié","Aléa courant"))))</f>
        <v/>
      </c>
      <c r="Q193" s="95">
        <f>IF($A193="",0,IF(AND(OR(COCKPIT!$H$4="Toutes",$C193=COCKPIT!$H$4),OR(COCKPIT!$K$4="Toutes",$B193=COCKPIT!$K$4)),1,0))</f>
        <v/>
      </c>
    </row>
    <row r="194" ht="15" customHeight="1">
      <c r="A194" s="87" t="n">
        <v>46051</v>
      </c>
      <c r="B194" s="88" t="inlineStr">
        <is>
          <t>Équipe A (matin)</t>
        </is>
      </c>
      <c r="C194" s="88" t="inlineStr">
        <is>
          <t>Ligne 2 - Usinage</t>
        </is>
      </c>
      <c r="D194" s="88" t="inlineStr">
        <is>
          <t>Ligne 2</t>
        </is>
      </c>
      <c r="E194" s="96" t="n">
        <v>0.3597222222222222</v>
      </c>
      <c r="F194" s="96" t="n">
        <v>0.38125</v>
      </c>
      <c r="G194" s="92">
        <f>IF(OR($E194="",$F194=""),"",ROUND(($F194-$E194+IF($F194&lt;$E194,1,0))*1440,0))</f>
        <v/>
      </c>
      <c r="H194" s="88" t="inlineStr">
        <is>
          <t>PAN-02</t>
        </is>
      </c>
      <c r="I194" s="94">
        <f>IF($H194="","",IFERROR(INDEX(PARAMETRES!$S$7:$S$46,MATCH($H194,PARAMETRES!$R$7:$R$46,0)),"Code inconnu"))</f>
        <v/>
      </c>
      <c r="J194" s="94">
        <f>IF($H194="","",IFERROR(INDEX(PARAMETRES!$T$7:$T$46,MATCH($H194,PARAMETRES!$R$7:$R$46,0)),""))</f>
        <v/>
      </c>
      <c r="K194" s="94">
        <f>IF($H194="","",IFERROR(INDEX(PARAMETRES!$U$7:$U$46,MATCH($H194,PARAMETRES!$R$7:$R$46,0)),""))</f>
        <v/>
      </c>
      <c r="L194" s="94">
        <f>IF($H194="","",IFERROR(INDEX(PARAMETRES!$V$7:$V$46,MATCH($H194,PARAMETRES!$R$7:$R$46,0)),""))</f>
        <v/>
      </c>
      <c r="M194" s="88" t="n"/>
      <c r="N194" s="88" t="n"/>
      <c r="O194" s="88" t="n"/>
      <c r="P194" s="94">
        <f>IF($G194="","",IF($G194&gt;=60,"Arrêt majeur — analyse 5 pourquoi",IF($G194&gt;=30,"À analyser en revue quotidienne",IF($K194="Planifié","Arrêt planifié","Aléa courant"))))</f>
        <v/>
      </c>
      <c r="Q194" s="95">
        <f>IF($A194="",0,IF(AND(OR(COCKPIT!$H$4="Toutes",$C194=COCKPIT!$H$4),OR(COCKPIT!$K$4="Toutes",$B194=COCKPIT!$K$4)),1,0))</f>
        <v/>
      </c>
    </row>
    <row r="195" ht="15" customHeight="1">
      <c r="A195" s="87" t="n">
        <v>46051</v>
      </c>
      <c r="B195" s="88" t="inlineStr">
        <is>
          <t>Équipe A (matin)</t>
        </is>
      </c>
      <c r="C195" s="88" t="inlineStr">
        <is>
          <t>Ligne 2 - Usinage</t>
        </is>
      </c>
      <c r="D195" s="88" t="inlineStr">
        <is>
          <t>Ligne 2</t>
        </is>
      </c>
      <c r="E195" s="96" t="n">
        <v>0.4111111111111111</v>
      </c>
      <c r="F195" s="96" t="n">
        <v>0.4340277777777778</v>
      </c>
      <c r="G195" s="92">
        <f>IF(OR($E195="",$F195=""),"",ROUND(($F195-$E195+IF($F195&lt;$E195,1,0))*1440,0))</f>
        <v/>
      </c>
      <c r="H195" s="88" t="inlineStr">
        <is>
          <t>CDS-02</t>
        </is>
      </c>
      <c r="I195" s="94">
        <f>IF($H195="","",IFERROR(INDEX(PARAMETRES!$S$7:$S$46,MATCH($H195,PARAMETRES!$R$7:$R$46,0)),"Code inconnu"))</f>
        <v/>
      </c>
      <c r="J195" s="94">
        <f>IF($H195="","",IFERROR(INDEX(PARAMETRES!$T$7:$T$46,MATCH($H195,PARAMETRES!$R$7:$R$46,0)),""))</f>
        <v/>
      </c>
      <c r="K195" s="94">
        <f>IF($H195="","",IFERROR(INDEX(PARAMETRES!$U$7:$U$46,MATCH($H195,PARAMETRES!$R$7:$R$46,0)),""))</f>
        <v/>
      </c>
      <c r="L195" s="94">
        <f>IF($H195="","",IFERROR(INDEX(PARAMETRES!$V$7:$V$46,MATCH($H195,PARAMETRES!$R$7:$R$46,0)),""))</f>
        <v/>
      </c>
      <c r="M195" s="88" t="n"/>
      <c r="N195" s="88" t="n"/>
      <c r="O195" s="88" t="n"/>
      <c r="P195" s="94">
        <f>IF($G195="","",IF($G195&gt;=60,"Arrêt majeur — analyse 5 pourquoi",IF($G195&gt;=30,"À analyser en revue quotidienne",IF($K195="Planifié","Arrêt planifié","Aléa courant"))))</f>
        <v/>
      </c>
      <c r="Q195" s="95">
        <f>IF($A195="",0,IF(AND(OR(COCKPIT!$H$4="Toutes",$C195=COCKPIT!$H$4),OR(COCKPIT!$K$4="Toutes",$B195=COCKPIT!$K$4)),1,0))</f>
        <v/>
      </c>
    </row>
    <row r="196" ht="15" customHeight="1">
      <c r="A196" s="87" t="n">
        <v>46051</v>
      </c>
      <c r="B196" s="88" t="inlineStr">
        <is>
          <t>Équipe A (matin)</t>
        </is>
      </c>
      <c r="C196" s="88" t="inlineStr">
        <is>
          <t>Ligne 2 - Usinage</t>
        </is>
      </c>
      <c r="D196" s="88" t="inlineStr">
        <is>
          <t>Ligne 2</t>
        </is>
      </c>
      <c r="E196" s="96" t="n">
        <v>0.4576388888888889</v>
      </c>
      <c r="F196" s="96" t="n">
        <v>0.4694444444444444</v>
      </c>
      <c r="G196" s="92">
        <f>IF(OR($E196="",$F196=""),"",ROUND(($F196-$E196+IF($F196&lt;$E196,1,0))*1440,0))</f>
        <v/>
      </c>
      <c r="H196" s="88" t="inlineStr">
        <is>
          <t>MAT-01</t>
        </is>
      </c>
      <c r="I196" s="94">
        <f>IF($H196="","",IFERROR(INDEX(PARAMETRES!$S$7:$S$46,MATCH($H196,PARAMETRES!$R$7:$R$46,0)),"Code inconnu"))</f>
        <v/>
      </c>
      <c r="J196" s="94">
        <f>IF($H196="","",IFERROR(INDEX(PARAMETRES!$T$7:$T$46,MATCH($H196,PARAMETRES!$R$7:$R$46,0)),""))</f>
        <v/>
      </c>
      <c r="K196" s="94">
        <f>IF($H196="","",IFERROR(INDEX(PARAMETRES!$U$7:$U$46,MATCH($H196,PARAMETRES!$R$7:$R$46,0)),""))</f>
        <v/>
      </c>
      <c r="L196" s="94">
        <f>IF($H196="","",IFERROR(INDEX(PARAMETRES!$V$7:$V$46,MATCH($H196,PARAMETRES!$R$7:$R$46,0)),""))</f>
        <v/>
      </c>
      <c r="M196" s="88" t="n"/>
      <c r="N196" s="88" t="n"/>
      <c r="O196" s="88" t="n"/>
      <c r="P196" s="94">
        <f>IF($G196="","",IF($G196&gt;=60,"Arrêt majeur — analyse 5 pourquoi",IF($G196&gt;=30,"À analyser en revue quotidienne",IF($K196="Planifié","Arrêt planifié","Aléa courant"))))</f>
        <v/>
      </c>
      <c r="Q196" s="95">
        <f>IF($A196="",0,IF(AND(OR(COCKPIT!$H$4="Toutes",$C196=COCKPIT!$H$4),OR(COCKPIT!$K$4="Toutes",$B196=COCKPIT!$K$4)),1,0))</f>
        <v/>
      </c>
    </row>
    <row r="197" ht="15" customHeight="1">
      <c r="A197" s="87" t="n">
        <v>46052</v>
      </c>
      <c r="B197" s="88" t="inlineStr">
        <is>
          <t>Équipe A (matin)</t>
        </is>
      </c>
      <c r="C197" s="88" t="inlineStr">
        <is>
          <t>Ligne 1 - Assemblage</t>
        </is>
      </c>
      <c r="D197" s="88" t="inlineStr">
        <is>
          <t>Ligne 1</t>
        </is>
      </c>
      <c r="E197" s="96" t="n">
        <v>0.2743055555555556</v>
      </c>
      <c r="F197" s="96" t="n">
        <v>0.3020833333333333</v>
      </c>
      <c r="G197" s="92">
        <f>IF(OR($E197="",$F197=""),"",ROUND(($F197-$E197+IF($F197&lt;$E197,1,0))*1440,0))</f>
        <v/>
      </c>
      <c r="H197" s="88" t="inlineStr">
        <is>
          <t>PLA-01</t>
        </is>
      </c>
      <c r="I197" s="94">
        <f>IF($H197="","",IFERROR(INDEX(PARAMETRES!$S$7:$S$46,MATCH($H197,PARAMETRES!$R$7:$R$46,0)),"Code inconnu"))</f>
        <v/>
      </c>
      <c r="J197" s="94">
        <f>IF($H197="","",IFERROR(INDEX(PARAMETRES!$T$7:$T$46,MATCH($H197,PARAMETRES!$R$7:$R$46,0)),""))</f>
        <v/>
      </c>
      <c r="K197" s="94">
        <f>IF($H197="","",IFERROR(INDEX(PARAMETRES!$U$7:$U$46,MATCH($H197,PARAMETRES!$R$7:$R$46,0)),""))</f>
        <v/>
      </c>
      <c r="L197" s="94">
        <f>IF($H197="","",IFERROR(INDEX(PARAMETRES!$V$7:$V$46,MATCH($H197,PARAMETRES!$R$7:$R$46,0)),""))</f>
        <v/>
      </c>
      <c r="M197" s="88" t="n"/>
      <c r="N197" s="88" t="n"/>
      <c r="O197" s="88" t="n"/>
      <c r="P197" s="94">
        <f>IF($G197="","",IF($G197&gt;=60,"Arrêt majeur — analyse 5 pourquoi",IF($G197&gt;=30,"À analyser en revue quotidienne",IF($K197="Planifié","Arrêt planifié","Aléa courant"))))</f>
        <v/>
      </c>
      <c r="Q197" s="95">
        <f>IF($A197="",0,IF(AND(OR(COCKPIT!$H$4="Toutes",$C197=COCKPIT!$H$4),OR(COCKPIT!$K$4="Toutes",$B197=COCKPIT!$K$4)),1,0))</f>
        <v/>
      </c>
    </row>
    <row r="198" ht="15" customHeight="1">
      <c r="A198" s="87" t="n">
        <v>46052</v>
      </c>
      <c r="B198" s="88" t="inlineStr">
        <is>
          <t>Équipe A (matin)</t>
        </is>
      </c>
      <c r="C198" s="88" t="inlineStr">
        <is>
          <t>Ligne 1 - Assemblage</t>
        </is>
      </c>
      <c r="D198" s="88" t="inlineStr">
        <is>
          <t>Ligne 1</t>
        </is>
      </c>
      <c r="E198" s="96" t="n">
        <v>0.3270833333333333</v>
      </c>
      <c r="F198" s="96" t="n">
        <v>0.3638888888888889</v>
      </c>
      <c r="G198" s="92">
        <f>IF(OR($E198="",$F198=""),"",ROUND(($F198-$E198+IF($F198&lt;$E198,1,0))*1440,0))</f>
        <v/>
      </c>
      <c r="H198" s="88" t="inlineStr">
        <is>
          <t>PAN-01</t>
        </is>
      </c>
      <c r="I198" s="94">
        <f>IF($H198="","",IFERROR(INDEX(PARAMETRES!$S$7:$S$46,MATCH($H198,PARAMETRES!$R$7:$R$46,0)),"Code inconnu"))</f>
        <v/>
      </c>
      <c r="J198" s="94">
        <f>IF($H198="","",IFERROR(INDEX(PARAMETRES!$T$7:$T$46,MATCH($H198,PARAMETRES!$R$7:$R$46,0)),""))</f>
        <v/>
      </c>
      <c r="K198" s="94">
        <f>IF($H198="","",IFERROR(INDEX(PARAMETRES!$U$7:$U$46,MATCH($H198,PARAMETRES!$R$7:$R$46,0)),""))</f>
        <v/>
      </c>
      <c r="L198" s="94">
        <f>IF($H198="","",IFERROR(INDEX(PARAMETRES!$V$7:$V$46,MATCH($H198,PARAMETRES!$R$7:$R$46,0)),""))</f>
        <v/>
      </c>
      <c r="M198" s="88" t="n"/>
      <c r="N198" s="88" t="n"/>
      <c r="O198" s="88" t="n"/>
      <c r="P198" s="94">
        <f>IF($G198="","",IF($G198&gt;=60,"Arrêt majeur — analyse 5 pourquoi",IF($G198&gt;=30,"À analyser en revue quotidienne",IF($K198="Planifié","Arrêt planifié","Aléa courant"))))</f>
        <v/>
      </c>
      <c r="Q198" s="95">
        <f>IF($A198="",0,IF(AND(OR(COCKPIT!$H$4="Toutes",$C198=COCKPIT!$H$4),OR(COCKPIT!$K$4="Toutes",$B198=COCKPIT!$K$4)),1,0))</f>
        <v/>
      </c>
    </row>
    <row r="199" ht="15" customHeight="1">
      <c r="A199" s="87" t="n">
        <v>46052</v>
      </c>
      <c r="B199" s="88" t="inlineStr">
        <is>
          <t>Équipe A (matin)</t>
        </is>
      </c>
      <c r="C199" s="88" t="inlineStr">
        <is>
          <t>Ligne 1 - Assemblage</t>
        </is>
      </c>
      <c r="D199" s="88" t="inlineStr">
        <is>
          <t>Ligne 1</t>
        </is>
      </c>
      <c r="E199" s="96" t="n">
        <v>0.3833333333333334</v>
      </c>
      <c r="F199" s="96" t="n">
        <v>0.4020833333333333</v>
      </c>
      <c r="G199" s="92">
        <f>IF(OR($E199="",$F199=""),"",ROUND(($F199-$E199+IF($F199&lt;$E199,1,0))*1440,0))</f>
        <v/>
      </c>
      <c r="H199" s="88" t="inlineStr">
        <is>
          <t>CDS-01</t>
        </is>
      </c>
      <c r="I199" s="94">
        <f>IF($H199="","",IFERROR(INDEX(PARAMETRES!$S$7:$S$46,MATCH($H199,PARAMETRES!$R$7:$R$46,0)),"Code inconnu"))</f>
        <v/>
      </c>
      <c r="J199" s="94">
        <f>IF($H199="","",IFERROR(INDEX(PARAMETRES!$T$7:$T$46,MATCH($H199,PARAMETRES!$R$7:$R$46,0)),""))</f>
        <v/>
      </c>
      <c r="K199" s="94">
        <f>IF($H199="","",IFERROR(INDEX(PARAMETRES!$U$7:$U$46,MATCH($H199,PARAMETRES!$R$7:$R$46,0)),""))</f>
        <v/>
      </c>
      <c r="L199" s="94">
        <f>IF($H199="","",IFERROR(INDEX(PARAMETRES!$V$7:$V$46,MATCH($H199,PARAMETRES!$R$7:$R$46,0)),""))</f>
        <v/>
      </c>
      <c r="M199" s="88" t="n"/>
      <c r="N199" s="88" t="n"/>
      <c r="O199" s="88" t="n"/>
      <c r="P199" s="94">
        <f>IF($G199="","",IF($G199&gt;=60,"Arrêt majeur — analyse 5 pourquoi",IF($G199&gt;=30,"À analyser en revue quotidienne",IF($K199="Planifié","Arrêt planifié","Aléa courant"))))</f>
        <v/>
      </c>
      <c r="Q199" s="95">
        <f>IF($A199="",0,IF(AND(OR(COCKPIT!$H$4="Toutes",$C199=COCKPIT!$H$4),OR(COCKPIT!$K$4="Toutes",$B199=COCKPIT!$K$4)),1,0))</f>
        <v/>
      </c>
    </row>
    <row r="200" ht="15" customHeight="1">
      <c r="A200" s="87" t="n">
        <v>46052</v>
      </c>
      <c r="B200" s="88" t="inlineStr">
        <is>
          <t>Équipe B (après-midi)</t>
        </is>
      </c>
      <c r="C200" s="88" t="inlineStr">
        <is>
          <t>Ligne 2 - Usinage</t>
        </is>
      </c>
      <c r="D200" s="88" t="inlineStr">
        <is>
          <t>Ligne 2</t>
        </is>
      </c>
      <c r="E200" s="96" t="n">
        <v>0.2944444444444445</v>
      </c>
      <c r="F200" s="96" t="n">
        <v>0.3222222222222222</v>
      </c>
      <c r="G200" s="92">
        <f>IF(OR($E200="",$F200=""),"",ROUND(($F200-$E200+IF($F200&lt;$E200,1,0))*1440,0))</f>
        <v/>
      </c>
      <c r="H200" s="88" t="inlineStr">
        <is>
          <t>PLA-01</t>
        </is>
      </c>
      <c r="I200" s="94">
        <f>IF($H200="","",IFERROR(INDEX(PARAMETRES!$S$7:$S$46,MATCH($H200,PARAMETRES!$R$7:$R$46,0)),"Code inconnu"))</f>
        <v/>
      </c>
      <c r="J200" s="94">
        <f>IF($H200="","",IFERROR(INDEX(PARAMETRES!$T$7:$T$46,MATCH($H200,PARAMETRES!$R$7:$R$46,0)),""))</f>
        <v/>
      </c>
      <c r="K200" s="94">
        <f>IF($H200="","",IFERROR(INDEX(PARAMETRES!$U$7:$U$46,MATCH($H200,PARAMETRES!$R$7:$R$46,0)),""))</f>
        <v/>
      </c>
      <c r="L200" s="94">
        <f>IF($H200="","",IFERROR(INDEX(PARAMETRES!$V$7:$V$46,MATCH($H200,PARAMETRES!$R$7:$R$46,0)),""))</f>
        <v/>
      </c>
      <c r="M200" s="88" t="n"/>
      <c r="N200" s="88" t="n"/>
      <c r="O200" s="88" t="n"/>
      <c r="P200" s="94">
        <f>IF($G200="","",IF($G200&gt;=60,"Arrêt majeur — analyse 5 pourquoi",IF($G200&gt;=30,"À analyser en revue quotidienne",IF($K200="Planifié","Arrêt planifié","Aléa courant"))))</f>
        <v/>
      </c>
      <c r="Q200" s="95">
        <f>IF($A200="",0,IF(AND(OR(COCKPIT!$H$4="Toutes",$C200=COCKPIT!$H$4),OR(COCKPIT!$K$4="Toutes",$B200=COCKPIT!$K$4)),1,0))</f>
        <v/>
      </c>
    </row>
    <row r="201" ht="15" customHeight="1">
      <c r="A201" s="87" t="n">
        <v>46052</v>
      </c>
      <c r="B201" s="88" t="inlineStr">
        <is>
          <t>Équipe B (après-midi)</t>
        </is>
      </c>
      <c r="C201" s="88" t="inlineStr">
        <is>
          <t>Ligne 2 - Usinage</t>
        </is>
      </c>
      <c r="D201" s="88" t="inlineStr">
        <is>
          <t>Ligne 2</t>
        </is>
      </c>
      <c r="E201" s="96" t="n">
        <v>0.3333333333333333</v>
      </c>
      <c r="F201" s="96" t="n">
        <v>0.3388888888888889</v>
      </c>
      <c r="G201" s="92">
        <f>IF(OR($E201="",$F201=""),"",ROUND(($F201-$E201+IF($F201&lt;$E201,1,0))*1440,0))</f>
        <v/>
      </c>
      <c r="H201" s="88" t="inlineStr">
        <is>
          <t>REG-01</t>
        </is>
      </c>
      <c r="I201" s="94">
        <f>IF($H201="","",IFERROR(INDEX(PARAMETRES!$S$7:$S$46,MATCH($H201,PARAMETRES!$R$7:$R$46,0)),"Code inconnu"))</f>
        <v/>
      </c>
      <c r="J201" s="94">
        <f>IF($H201="","",IFERROR(INDEX(PARAMETRES!$T$7:$T$46,MATCH($H201,PARAMETRES!$R$7:$R$46,0)),""))</f>
        <v/>
      </c>
      <c r="K201" s="94">
        <f>IF($H201="","",IFERROR(INDEX(PARAMETRES!$U$7:$U$46,MATCH($H201,PARAMETRES!$R$7:$R$46,0)),""))</f>
        <v/>
      </c>
      <c r="L201" s="94">
        <f>IF($H201="","",IFERROR(INDEX(PARAMETRES!$V$7:$V$46,MATCH($H201,PARAMETRES!$R$7:$R$46,0)),""))</f>
        <v/>
      </c>
      <c r="M201" s="88" t="n"/>
      <c r="N201" s="88" t="n"/>
      <c r="O201" s="88" t="n"/>
      <c r="P201" s="94">
        <f>IF($G201="","",IF($G201&gt;=60,"Arrêt majeur — analyse 5 pourquoi",IF($G201&gt;=30,"À analyser en revue quotidienne",IF($K201="Planifié","Arrêt planifié","Aléa courant"))))</f>
        <v/>
      </c>
      <c r="Q201" s="95">
        <f>IF($A201="",0,IF(AND(OR(COCKPIT!$H$4="Toutes",$C201=COCKPIT!$H$4),OR(COCKPIT!$K$4="Toutes",$B201=COCKPIT!$K$4)),1,0))</f>
        <v/>
      </c>
    </row>
    <row r="202" ht="15" customHeight="1">
      <c r="A202" s="87" t="n">
        <v>46052</v>
      </c>
      <c r="B202" s="88" t="inlineStr">
        <is>
          <t>Équipe B (après-midi)</t>
        </is>
      </c>
      <c r="C202" s="88" t="inlineStr">
        <is>
          <t>Ligne 2 - Usinage</t>
        </is>
      </c>
      <c r="D202" s="88" t="inlineStr">
        <is>
          <t>Ligne 2</t>
        </is>
      </c>
      <c r="E202" s="96" t="n">
        <v>0.3458333333333333</v>
      </c>
      <c r="F202" s="96" t="n">
        <v>0.3597222222222222</v>
      </c>
      <c r="G202" s="92">
        <f>IF(OR($E202="",$F202=""),"",ROUND(($F202-$E202+IF($F202&lt;$E202,1,0))*1440,0))</f>
        <v/>
      </c>
      <c r="H202" s="88" t="inlineStr">
        <is>
          <t>MAT-02</t>
        </is>
      </c>
      <c r="I202" s="94">
        <f>IF($H202="","",IFERROR(INDEX(PARAMETRES!$S$7:$S$46,MATCH($H202,PARAMETRES!$R$7:$R$46,0)),"Code inconnu"))</f>
        <v/>
      </c>
      <c r="J202" s="94">
        <f>IF($H202="","",IFERROR(INDEX(PARAMETRES!$T$7:$T$46,MATCH($H202,PARAMETRES!$R$7:$R$46,0)),""))</f>
        <v/>
      </c>
      <c r="K202" s="94">
        <f>IF($H202="","",IFERROR(INDEX(PARAMETRES!$U$7:$U$46,MATCH($H202,PARAMETRES!$R$7:$R$46,0)),""))</f>
        <v/>
      </c>
      <c r="L202" s="94">
        <f>IF($H202="","",IFERROR(INDEX(PARAMETRES!$V$7:$V$46,MATCH($H202,PARAMETRES!$R$7:$R$46,0)),""))</f>
        <v/>
      </c>
      <c r="M202" s="88" t="n"/>
      <c r="N202" s="88" t="n"/>
      <c r="O202" s="88" t="n"/>
      <c r="P202" s="94">
        <f>IF($G202="","",IF($G202&gt;=60,"Arrêt majeur — analyse 5 pourquoi",IF($G202&gt;=30,"À analyser en revue quotidienne",IF($K202="Planifié","Arrêt planifié","Aléa courant"))))</f>
        <v/>
      </c>
      <c r="Q202" s="95">
        <f>IF($A202="",0,IF(AND(OR(COCKPIT!$H$4="Toutes",$C202=COCKPIT!$H$4),OR(COCKPIT!$K$4="Toutes",$B202=COCKPIT!$K$4)),1,0))</f>
        <v/>
      </c>
    </row>
    <row r="203" ht="15" customHeight="1">
      <c r="A203" s="87" t="n">
        <v>46052</v>
      </c>
      <c r="B203" s="88" t="inlineStr">
        <is>
          <t>Équipe B (après-midi)</t>
        </is>
      </c>
      <c r="C203" s="88" t="inlineStr">
        <is>
          <t>Ligne 2 - Usinage</t>
        </is>
      </c>
      <c r="D203" s="88" t="inlineStr">
        <is>
          <t>Ligne 2</t>
        </is>
      </c>
      <c r="E203" s="96" t="n">
        <v>0.3673611111111111</v>
      </c>
      <c r="F203" s="96" t="n">
        <v>0.375</v>
      </c>
      <c r="G203" s="92">
        <f>IF(OR($E203="",$F203=""),"",ROUND(($F203-$E203+IF($F203&lt;$E203,1,0))*1440,0))</f>
        <v/>
      </c>
      <c r="H203" s="88" t="inlineStr">
        <is>
          <t>LOG-01</t>
        </is>
      </c>
      <c r="I203" s="94">
        <f>IF($H203="","",IFERROR(INDEX(PARAMETRES!$S$7:$S$46,MATCH($H203,PARAMETRES!$R$7:$R$46,0)),"Code inconnu"))</f>
        <v/>
      </c>
      <c r="J203" s="94">
        <f>IF($H203="","",IFERROR(INDEX(PARAMETRES!$T$7:$T$46,MATCH($H203,PARAMETRES!$R$7:$R$46,0)),""))</f>
        <v/>
      </c>
      <c r="K203" s="94">
        <f>IF($H203="","",IFERROR(INDEX(PARAMETRES!$U$7:$U$46,MATCH($H203,PARAMETRES!$R$7:$R$46,0)),""))</f>
        <v/>
      </c>
      <c r="L203" s="94">
        <f>IF($H203="","",IFERROR(INDEX(PARAMETRES!$V$7:$V$46,MATCH($H203,PARAMETRES!$R$7:$R$46,0)),""))</f>
        <v/>
      </c>
      <c r="M203" s="88" t="n"/>
      <c r="N203" s="88" t="n"/>
      <c r="O203" s="88" t="n"/>
      <c r="P203" s="94">
        <f>IF($G203="","",IF($G203&gt;=60,"Arrêt majeur — analyse 5 pourquoi",IF($G203&gt;=30,"À analyser en revue quotidienne",IF($K203="Planifié","Arrêt planifié","Aléa courant"))))</f>
        <v/>
      </c>
      <c r="Q203" s="95">
        <f>IF($A203="",0,IF(AND(OR(COCKPIT!$H$4="Toutes",$C203=COCKPIT!$H$4),OR(COCKPIT!$K$4="Toutes",$B203=COCKPIT!$K$4)),1,0))</f>
        <v/>
      </c>
    </row>
    <row r="204" ht="15" customHeight="1">
      <c r="A204" s="87" t="n"/>
      <c r="B204" s="88" t="n"/>
      <c r="C204" s="88" t="n"/>
      <c r="D204" s="88" t="n"/>
      <c r="E204" s="96" t="n"/>
      <c r="F204" s="96" t="n"/>
      <c r="G204" s="92">
        <f>IF(OR($E204="",$F204=""),"",ROUND(($F204-$E204+IF($F204&lt;$E204,1,0))*1440,0))</f>
        <v/>
      </c>
      <c r="H204" s="88" t="n"/>
      <c r="I204" s="94">
        <f>IF($H204="","",IFERROR(INDEX(PARAMETRES!$S$7:$S$46,MATCH($H204,PARAMETRES!$R$7:$R$46,0)),"Code inconnu"))</f>
        <v/>
      </c>
      <c r="J204" s="94">
        <f>IF($H204="","",IFERROR(INDEX(PARAMETRES!$T$7:$T$46,MATCH($H204,PARAMETRES!$R$7:$R$46,0)),""))</f>
        <v/>
      </c>
      <c r="K204" s="94">
        <f>IF($H204="","",IFERROR(INDEX(PARAMETRES!$U$7:$U$46,MATCH($H204,PARAMETRES!$R$7:$R$46,0)),""))</f>
        <v/>
      </c>
      <c r="L204" s="94">
        <f>IF($H204="","",IFERROR(INDEX(PARAMETRES!$V$7:$V$46,MATCH($H204,PARAMETRES!$R$7:$R$46,0)),""))</f>
        <v/>
      </c>
      <c r="M204" s="88" t="n"/>
      <c r="N204" s="88" t="n"/>
      <c r="O204" s="88" t="n"/>
      <c r="P204" s="94">
        <f>IF($G204="","",IF($G204&gt;=60,"Arrêt majeur — analyse 5 pourquoi",IF($G204&gt;=30,"À analyser en revue quotidienne",IF($K204="Planifié","Arrêt planifié","Aléa courant"))))</f>
        <v/>
      </c>
      <c r="Q204" s="95">
        <f>IF($A204="",0,IF(AND(OR(COCKPIT!$H$4="Toutes",$C204=COCKPIT!$H$4),OR(COCKPIT!$K$4="Toutes",$B204=COCKPIT!$K$4)),1,0))</f>
        <v/>
      </c>
    </row>
    <row r="205" ht="15" customHeight="1">
      <c r="A205" s="87" t="n"/>
      <c r="B205" s="88" t="n"/>
      <c r="C205" s="88" t="n"/>
      <c r="D205" s="88" t="n"/>
      <c r="E205" s="96" t="n"/>
      <c r="F205" s="96" t="n"/>
      <c r="G205" s="92">
        <f>IF(OR($E205="",$F205=""),"",ROUND(($F205-$E205+IF($F205&lt;$E205,1,0))*1440,0))</f>
        <v/>
      </c>
      <c r="H205" s="88" t="n"/>
      <c r="I205" s="94">
        <f>IF($H205="","",IFERROR(INDEX(PARAMETRES!$S$7:$S$46,MATCH($H205,PARAMETRES!$R$7:$R$46,0)),"Code inconnu"))</f>
        <v/>
      </c>
      <c r="J205" s="94">
        <f>IF($H205="","",IFERROR(INDEX(PARAMETRES!$T$7:$T$46,MATCH($H205,PARAMETRES!$R$7:$R$46,0)),""))</f>
        <v/>
      </c>
      <c r="K205" s="94">
        <f>IF($H205="","",IFERROR(INDEX(PARAMETRES!$U$7:$U$46,MATCH($H205,PARAMETRES!$R$7:$R$46,0)),""))</f>
        <v/>
      </c>
      <c r="L205" s="94">
        <f>IF($H205="","",IFERROR(INDEX(PARAMETRES!$V$7:$V$46,MATCH($H205,PARAMETRES!$R$7:$R$46,0)),""))</f>
        <v/>
      </c>
      <c r="M205" s="88" t="n"/>
      <c r="N205" s="88" t="n"/>
      <c r="O205" s="88" t="n"/>
      <c r="P205" s="94">
        <f>IF($G205="","",IF($G205&gt;=60,"Arrêt majeur — analyse 5 pourquoi",IF($G205&gt;=30,"À analyser en revue quotidienne",IF($K205="Planifié","Arrêt planifié","Aléa courant"))))</f>
        <v/>
      </c>
      <c r="Q205" s="95">
        <f>IF($A205="",0,IF(AND(OR(COCKPIT!$H$4="Toutes",$C205=COCKPIT!$H$4),OR(COCKPIT!$K$4="Toutes",$B205=COCKPIT!$K$4)),1,0))</f>
        <v/>
      </c>
    </row>
    <row r="206" ht="15" customHeight="1">
      <c r="A206" s="87" t="n"/>
      <c r="B206" s="88" t="n"/>
      <c r="C206" s="88" t="n"/>
      <c r="D206" s="88" t="n"/>
      <c r="E206" s="96" t="n"/>
      <c r="F206" s="96" t="n"/>
      <c r="G206" s="92">
        <f>IF(OR($E206="",$F206=""),"",ROUND(($F206-$E206+IF($F206&lt;$E206,1,0))*1440,0))</f>
        <v/>
      </c>
      <c r="H206" s="88" t="n"/>
      <c r="I206" s="94">
        <f>IF($H206="","",IFERROR(INDEX(PARAMETRES!$S$7:$S$46,MATCH($H206,PARAMETRES!$R$7:$R$46,0)),"Code inconnu"))</f>
        <v/>
      </c>
      <c r="J206" s="94">
        <f>IF($H206="","",IFERROR(INDEX(PARAMETRES!$T$7:$T$46,MATCH($H206,PARAMETRES!$R$7:$R$46,0)),""))</f>
        <v/>
      </c>
      <c r="K206" s="94">
        <f>IF($H206="","",IFERROR(INDEX(PARAMETRES!$U$7:$U$46,MATCH($H206,PARAMETRES!$R$7:$R$46,0)),""))</f>
        <v/>
      </c>
      <c r="L206" s="94">
        <f>IF($H206="","",IFERROR(INDEX(PARAMETRES!$V$7:$V$46,MATCH($H206,PARAMETRES!$R$7:$R$46,0)),""))</f>
        <v/>
      </c>
      <c r="M206" s="88" t="n"/>
      <c r="N206" s="88" t="n"/>
      <c r="O206" s="88" t="n"/>
      <c r="P206" s="94">
        <f>IF($G206="","",IF($G206&gt;=60,"Arrêt majeur — analyse 5 pourquoi",IF($G206&gt;=30,"À analyser en revue quotidienne",IF($K206="Planifié","Arrêt planifié","Aléa courant"))))</f>
        <v/>
      </c>
      <c r="Q206" s="95">
        <f>IF($A206="",0,IF(AND(OR(COCKPIT!$H$4="Toutes",$C206=COCKPIT!$H$4),OR(COCKPIT!$K$4="Toutes",$B206=COCKPIT!$K$4)),1,0))</f>
        <v/>
      </c>
    </row>
    <row r="207" ht="15" customHeight="1">
      <c r="A207" s="87" t="n"/>
      <c r="B207" s="88" t="n"/>
      <c r="C207" s="88" t="n"/>
      <c r="D207" s="88" t="n"/>
      <c r="E207" s="96" t="n"/>
      <c r="F207" s="96" t="n"/>
      <c r="G207" s="92">
        <f>IF(OR($E207="",$F207=""),"",ROUND(($F207-$E207+IF($F207&lt;$E207,1,0))*1440,0))</f>
        <v/>
      </c>
      <c r="H207" s="88" t="n"/>
      <c r="I207" s="94">
        <f>IF($H207="","",IFERROR(INDEX(PARAMETRES!$S$7:$S$46,MATCH($H207,PARAMETRES!$R$7:$R$46,0)),"Code inconnu"))</f>
        <v/>
      </c>
      <c r="J207" s="94">
        <f>IF($H207="","",IFERROR(INDEX(PARAMETRES!$T$7:$T$46,MATCH($H207,PARAMETRES!$R$7:$R$46,0)),""))</f>
        <v/>
      </c>
      <c r="K207" s="94">
        <f>IF($H207="","",IFERROR(INDEX(PARAMETRES!$U$7:$U$46,MATCH($H207,PARAMETRES!$R$7:$R$46,0)),""))</f>
        <v/>
      </c>
      <c r="L207" s="94">
        <f>IF($H207="","",IFERROR(INDEX(PARAMETRES!$V$7:$V$46,MATCH($H207,PARAMETRES!$R$7:$R$46,0)),""))</f>
        <v/>
      </c>
      <c r="M207" s="88" t="n"/>
      <c r="N207" s="88" t="n"/>
      <c r="O207" s="88" t="n"/>
      <c r="P207" s="94">
        <f>IF($G207="","",IF($G207&gt;=60,"Arrêt majeur — analyse 5 pourquoi",IF($G207&gt;=30,"À analyser en revue quotidienne",IF($K207="Planifié","Arrêt planifié","Aléa courant"))))</f>
        <v/>
      </c>
      <c r="Q207" s="95">
        <f>IF($A207="",0,IF(AND(OR(COCKPIT!$H$4="Toutes",$C207=COCKPIT!$H$4),OR(COCKPIT!$K$4="Toutes",$B207=COCKPIT!$K$4)),1,0))</f>
        <v/>
      </c>
    </row>
    <row r="208" ht="15" customHeight="1">
      <c r="A208" s="87" t="n"/>
      <c r="B208" s="88" t="n"/>
      <c r="C208" s="88" t="n"/>
      <c r="D208" s="88" t="n"/>
      <c r="E208" s="96" t="n"/>
      <c r="F208" s="96" t="n"/>
      <c r="G208" s="92">
        <f>IF(OR($E208="",$F208=""),"",ROUND(($F208-$E208+IF($F208&lt;$E208,1,0))*1440,0))</f>
        <v/>
      </c>
      <c r="H208" s="88" t="n"/>
      <c r="I208" s="94">
        <f>IF($H208="","",IFERROR(INDEX(PARAMETRES!$S$7:$S$46,MATCH($H208,PARAMETRES!$R$7:$R$46,0)),"Code inconnu"))</f>
        <v/>
      </c>
      <c r="J208" s="94">
        <f>IF($H208="","",IFERROR(INDEX(PARAMETRES!$T$7:$T$46,MATCH($H208,PARAMETRES!$R$7:$R$46,0)),""))</f>
        <v/>
      </c>
      <c r="K208" s="94">
        <f>IF($H208="","",IFERROR(INDEX(PARAMETRES!$U$7:$U$46,MATCH($H208,PARAMETRES!$R$7:$R$46,0)),""))</f>
        <v/>
      </c>
      <c r="L208" s="94">
        <f>IF($H208="","",IFERROR(INDEX(PARAMETRES!$V$7:$V$46,MATCH($H208,PARAMETRES!$R$7:$R$46,0)),""))</f>
        <v/>
      </c>
      <c r="M208" s="88" t="n"/>
      <c r="N208" s="88" t="n"/>
      <c r="O208" s="88" t="n"/>
      <c r="P208" s="94">
        <f>IF($G208="","",IF($G208&gt;=60,"Arrêt majeur — analyse 5 pourquoi",IF($G208&gt;=30,"À analyser en revue quotidienne",IF($K208="Planifié","Arrêt planifié","Aléa courant"))))</f>
        <v/>
      </c>
      <c r="Q208" s="95">
        <f>IF($A208="",0,IF(AND(OR(COCKPIT!$H$4="Toutes",$C208=COCKPIT!$H$4),OR(COCKPIT!$K$4="Toutes",$B208=COCKPIT!$K$4)),1,0))</f>
        <v/>
      </c>
    </row>
    <row r="209" ht="15" customHeight="1">
      <c r="A209" s="87" t="n"/>
      <c r="B209" s="88" t="n"/>
      <c r="C209" s="88" t="n"/>
      <c r="D209" s="88" t="n"/>
      <c r="E209" s="96" t="n"/>
      <c r="F209" s="96" t="n"/>
      <c r="G209" s="92">
        <f>IF(OR($E209="",$F209=""),"",ROUND(($F209-$E209+IF($F209&lt;$E209,1,0))*1440,0))</f>
        <v/>
      </c>
      <c r="H209" s="88" t="n"/>
      <c r="I209" s="94">
        <f>IF($H209="","",IFERROR(INDEX(PARAMETRES!$S$7:$S$46,MATCH($H209,PARAMETRES!$R$7:$R$46,0)),"Code inconnu"))</f>
        <v/>
      </c>
      <c r="J209" s="94">
        <f>IF($H209="","",IFERROR(INDEX(PARAMETRES!$T$7:$T$46,MATCH($H209,PARAMETRES!$R$7:$R$46,0)),""))</f>
        <v/>
      </c>
      <c r="K209" s="94">
        <f>IF($H209="","",IFERROR(INDEX(PARAMETRES!$U$7:$U$46,MATCH($H209,PARAMETRES!$R$7:$R$46,0)),""))</f>
        <v/>
      </c>
      <c r="L209" s="94">
        <f>IF($H209="","",IFERROR(INDEX(PARAMETRES!$V$7:$V$46,MATCH($H209,PARAMETRES!$R$7:$R$46,0)),""))</f>
        <v/>
      </c>
      <c r="M209" s="88" t="n"/>
      <c r="N209" s="88" t="n"/>
      <c r="O209" s="88" t="n"/>
      <c r="P209" s="94">
        <f>IF($G209="","",IF($G209&gt;=60,"Arrêt majeur — analyse 5 pourquoi",IF($G209&gt;=30,"À analyser en revue quotidienne",IF($K209="Planifié","Arrêt planifié","Aléa courant"))))</f>
        <v/>
      </c>
      <c r="Q209" s="95">
        <f>IF($A209="",0,IF(AND(OR(COCKPIT!$H$4="Toutes",$C209=COCKPIT!$H$4),OR(COCKPIT!$K$4="Toutes",$B209=COCKPIT!$K$4)),1,0))</f>
        <v/>
      </c>
    </row>
    <row r="210" ht="15" customHeight="1">
      <c r="A210" s="87" t="n"/>
      <c r="B210" s="88" t="n"/>
      <c r="C210" s="88" t="n"/>
      <c r="D210" s="88" t="n"/>
      <c r="E210" s="96" t="n"/>
      <c r="F210" s="96" t="n"/>
      <c r="G210" s="92">
        <f>IF(OR($E210="",$F210=""),"",ROUND(($F210-$E210+IF($F210&lt;$E210,1,0))*1440,0))</f>
        <v/>
      </c>
      <c r="H210" s="88" t="n"/>
      <c r="I210" s="94">
        <f>IF($H210="","",IFERROR(INDEX(PARAMETRES!$S$7:$S$46,MATCH($H210,PARAMETRES!$R$7:$R$46,0)),"Code inconnu"))</f>
        <v/>
      </c>
      <c r="J210" s="94">
        <f>IF($H210="","",IFERROR(INDEX(PARAMETRES!$T$7:$T$46,MATCH($H210,PARAMETRES!$R$7:$R$46,0)),""))</f>
        <v/>
      </c>
      <c r="K210" s="94">
        <f>IF($H210="","",IFERROR(INDEX(PARAMETRES!$U$7:$U$46,MATCH($H210,PARAMETRES!$R$7:$R$46,0)),""))</f>
        <v/>
      </c>
      <c r="L210" s="94">
        <f>IF($H210="","",IFERROR(INDEX(PARAMETRES!$V$7:$V$46,MATCH($H210,PARAMETRES!$R$7:$R$46,0)),""))</f>
        <v/>
      </c>
      <c r="M210" s="88" t="n"/>
      <c r="N210" s="88" t="n"/>
      <c r="O210" s="88" t="n"/>
      <c r="P210" s="94">
        <f>IF($G210="","",IF($G210&gt;=60,"Arrêt majeur — analyse 5 pourquoi",IF($G210&gt;=30,"À analyser en revue quotidienne",IF($K210="Planifié","Arrêt planifié","Aléa courant"))))</f>
        <v/>
      </c>
      <c r="Q210" s="95">
        <f>IF($A210="",0,IF(AND(OR(COCKPIT!$H$4="Toutes",$C210=COCKPIT!$H$4),OR(COCKPIT!$K$4="Toutes",$B210=COCKPIT!$K$4)),1,0))</f>
        <v/>
      </c>
    </row>
    <row r="211" ht="15" customHeight="1">
      <c r="A211" s="87" t="n"/>
      <c r="B211" s="88" t="n"/>
      <c r="C211" s="88" t="n"/>
      <c r="D211" s="88" t="n"/>
      <c r="E211" s="96" t="n"/>
      <c r="F211" s="96" t="n"/>
      <c r="G211" s="92">
        <f>IF(OR($E211="",$F211=""),"",ROUND(($F211-$E211+IF($F211&lt;$E211,1,0))*1440,0))</f>
        <v/>
      </c>
      <c r="H211" s="88" t="n"/>
      <c r="I211" s="94">
        <f>IF($H211="","",IFERROR(INDEX(PARAMETRES!$S$7:$S$46,MATCH($H211,PARAMETRES!$R$7:$R$46,0)),"Code inconnu"))</f>
        <v/>
      </c>
      <c r="J211" s="94">
        <f>IF($H211="","",IFERROR(INDEX(PARAMETRES!$T$7:$T$46,MATCH($H211,PARAMETRES!$R$7:$R$46,0)),""))</f>
        <v/>
      </c>
      <c r="K211" s="94">
        <f>IF($H211="","",IFERROR(INDEX(PARAMETRES!$U$7:$U$46,MATCH($H211,PARAMETRES!$R$7:$R$46,0)),""))</f>
        <v/>
      </c>
      <c r="L211" s="94">
        <f>IF($H211="","",IFERROR(INDEX(PARAMETRES!$V$7:$V$46,MATCH($H211,PARAMETRES!$R$7:$R$46,0)),""))</f>
        <v/>
      </c>
      <c r="M211" s="88" t="n"/>
      <c r="N211" s="88" t="n"/>
      <c r="O211" s="88" t="n"/>
      <c r="P211" s="94">
        <f>IF($G211="","",IF($G211&gt;=60,"Arrêt majeur — analyse 5 pourquoi",IF($G211&gt;=30,"À analyser en revue quotidienne",IF($K211="Planifié","Arrêt planifié","Aléa courant"))))</f>
        <v/>
      </c>
      <c r="Q211" s="95">
        <f>IF($A211="",0,IF(AND(OR(COCKPIT!$H$4="Toutes",$C211=COCKPIT!$H$4),OR(COCKPIT!$K$4="Toutes",$B211=COCKPIT!$K$4)),1,0))</f>
        <v/>
      </c>
    </row>
    <row r="212" ht="15" customHeight="1">
      <c r="A212" s="87" t="n"/>
      <c r="B212" s="88" t="n"/>
      <c r="C212" s="88" t="n"/>
      <c r="D212" s="88" t="n"/>
      <c r="E212" s="96" t="n"/>
      <c r="F212" s="96" t="n"/>
      <c r="G212" s="92">
        <f>IF(OR($E212="",$F212=""),"",ROUND(($F212-$E212+IF($F212&lt;$E212,1,0))*1440,0))</f>
        <v/>
      </c>
      <c r="H212" s="88" t="n"/>
      <c r="I212" s="94">
        <f>IF($H212="","",IFERROR(INDEX(PARAMETRES!$S$7:$S$46,MATCH($H212,PARAMETRES!$R$7:$R$46,0)),"Code inconnu"))</f>
        <v/>
      </c>
      <c r="J212" s="94">
        <f>IF($H212="","",IFERROR(INDEX(PARAMETRES!$T$7:$T$46,MATCH($H212,PARAMETRES!$R$7:$R$46,0)),""))</f>
        <v/>
      </c>
      <c r="K212" s="94">
        <f>IF($H212="","",IFERROR(INDEX(PARAMETRES!$U$7:$U$46,MATCH($H212,PARAMETRES!$R$7:$R$46,0)),""))</f>
        <v/>
      </c>
      <c r="L212" s="94">
        <f>IF($H212="","",IFERROR(INDEX(PARAMETRES!$V$7:$V$46,MATCH($H212,PARAMETRES!$R$7:$R$46,0)),""))</f>
        <v/>
      </c>
      <c r="M212" s="88" t="n"/>
      <c r="N212" s="88" t="n"/>
      <c r="O212" s="88" t="n"/>
      <c r="P212" s="94">
        <f>IF($G212="","",IF($G212&gt;=60,"Arrêt majeur — analyse 5 pourquoi",IF($G212&gt;=30,"À analyser en revue quotidienne",IF($K212="Planifié","Arrêt planifié","Aléa courant"))))</f>
        <v/>
      </c>
      <c r="Q212" s="95">
        <f>IF($A212="",0,IF(AND(OR(COCKPIT!$H$4="Toutes",$C212=COCKPIT!$H$4),OR(COCKPIT!$K$4="Toutes",$B212=COCKPIT!$K$4)),1,0))</f>
        <v/>
      </c>
    </row>
    <row r="213" ht="15" customHeight="1">
      <c r="A213" s="87" t="n"/>
      <c r="B213" s="88" t="n"/>
      <c r="C213" s="88" t="n"/>
      <c r="D213" s="88" t="n"/>
      <c r="E213" s="96" t="n"/>
      <c r="F213" s="96" t="n"/>
      <c r="G213" s="92">
        <f>IF(OR($E213="",$F213=""),"",ROUND(($F213-$E213+IF($F213&lt;$E213,1,0))*1440,0))</f>
        <v/>
      </c>
      <c r="H213" s="88" t="n"/>
      <c r="I213" s="94">
        <f>IF($H213="","",IFERROR(INDEX(PARAMETRES!$S$7:$S$46,MATCH($H213,PARAMETRES!$R$7:$R$46,0)),"Code inconnu"))</f>
        <v/>
      </c>
      <c r="J213" s="94">
        <f>IF($H213="","",IFERROR(INDEX(PARAMETRES!$T$7:$T$46,MATCH($H213,PARAMETRES!$R$7:$R$46,0)),""))</f>
        <v/>
      </c>
      <c r="K213" s="94">
        <f>IF($H213="","",IFERROR(INDEX(PARAMETRES!$U$7:$U$46,MATCH($H213,PARAMETRES!$R$7:$R$46,0)),""))</f>
        <v/>
      </c>
      <c r="L213" s="94">
        <f>IF($H213="","",IFERROR(INDEX(PARAMETRES!$V$7:$V$46,MATCH($H213,PARAMETRES!$R$7:$R$46,0)),""))</f>
        <v/>
      </c>
      <c r="M213" s="88" t="n"/>
      <c r="N213" s="88" t="n"/>
      <c r="O213" s="88" t="n"/>
      <c r="P213" s="94">
        <f>IF($G213="","",IF($G213&gt;=60,"Arrêt majeur — analyse 5 pourquoi",IF($G213&gt;=30,"À analyser en revue quotidienne",IF($K213="Planifié","Arrêt planifié","Aléa courant"))))</f>
        <v/>
      </c>
      <c r="Q213" s="95">
        <f>IF($A213="",0,IF(AND(OR(COCKPIT!$H$4="Toutes",$C213=COCKPIT!$H$4),OR(COCKPIT!$K$4="Toutes",$B213=COCKPIT!$K$4)),1,0))</f>
        <v/>
      </c>
    </row>
    <row r="214" ht="15" customHeight="1">
      <c r="A214" s="87" t="n"/>
      <c r="B214" s="88" t="n"/>
      <c r="C214" s="88" t="n"/>
      <c r="D214" s="88" t="n"/>
      <c r="E214" s="96" t="n"/>
      <c r="F214" s="96" t="n"/>
      <c r="G214" s="92">
        <f>IF(OR($E214="",$F214=""),"",ROUND(($F214-$E214+IF($F214&lt;$E214,1,0))*1440,0))</f>
        <v/>
      </c>
      <c r="H214" s="88" t="n"/>
      <c r="I214" s="94">
        <f>IF($H214="","",IFERROR(INDEX(PARAMETRES!$S$7:$S$46,MATCH($H214,PARAMETRES!$R$7:$R$46,0)),"Code inconnu"))</f>
        <v/>
      </c>
      <c r="J214" s="94">
        <f>IF($H214="","",IFERROR(INDEX(PARAMETRES!$T$7:$T$46,MATCH($H214,PARAMETRES!$R$7:$R$46,0)),""))</f>
        <v/>
      </c>
      <c r="K214" s="94">
        <f>IF($H214="","",IFERROR(INDEX(PARAMETRES!$U$7:$U$46,MATCH($H214,PARAMETRES!$R$7:$R$46,0)),""))</f>
        <v/>
      </c>
      <c r="L214" s="94">
        <f>IF($H214="","",IFERROR(INDEX(PARAMETRES!$V$7:$V$46,MATCH($H214,PARAMETRES!$R$7:$R$46,0)),""))</f>
        <v/>
      </c>
      <c r="M214" s="88" t="n"/>
      <c r="N214" s="88" t="n"/>
      <c r="O214" s="88" t="n"/>
      <c r="P214" s="94">
        <f>IF($G214="","",IF($G214&gt;=60,"Arrêt majeur — analyse 5 pourquoi",IF($G214&gt;=30,"À analyser en revue quotidienne",IF($K214="Planifié","Arrêt planifié","Aléa courant"))))</f>
        <v/>
      </c>
      <c r="Q214" s="95">
        <f>IF($A214="",0,IF(AND(OR(COCKPIT!$H$4="Toutes",$C214=COCKPIT!$H$4),OR(COCKPIT!$K$4="Toutes",$B214=COCKPIT!$K$4)),1,0))</f>
        <v/>
      </c>
    </row>
    <row r="215" ht="15" customHeight="1">
      <c r="A215" s="87" t="n"/>
      <c r="B215" s="88" t="n"/>
      <c r="C215" s="88" t="n"/>
      <c r="D215" s="88" t="n"/>
      <c r="E215" s="96" t="n"/>
      <c r="F215" s="96" t="n"/>
      <c r="G215" s="92">
        <f>IF(OR($E215="",$F215=""),"",ROUND(($F215-$E215+IF($F215&lt;$E215,1,0))*1440,0))</f>
        <v/>
      </c>
      <c r="H215" s="88" t="n"/>
      <c r="I215" s="94">
        <f>IF($H215="","",IFERROR(INDEX(PARAMETRES!$S$7:$S$46,MATCH($H215,PARAMETRES!$R$7:$R$46,0)),"Code inconnu"))</f>
        <v/>
      </c>
      <c r="J215" s="94">
        <f>IF($H215="","",IFERROR(INDEX(PARAMETRES!$T$7:$T$46,MATCH($H215,PARAMETRES!$R$7:$R$46,0)),""))</f>
        <v/>
      </c>
      <c r="K215" s="94">
        <f>IF($H215="","",IFERROR(INDEX(PARAMETRES!$U$7:$U$46,MATCH($H215,PARAMETRES!$R$7:$R$46,0)),""))</f>
        <v/>
      </c>
      <c r="L215" s="94">
        <f>IF($H215="","",IFERROR(INDEX(PARAMETRES!$V$7:$V$46,MATCH($H215,PARAMETRES!$R$7:$R$46,0)),""))</f>
        <v/>
      </c>
      <c r="M215" s="88" t="n"/>
      <c r="N215" s="88" t="n"/>
      <c r="O215" s="88" t="n"/>
      <c r="P215" s="94">
        <f>IF($G215="","",IF($G215&gt;=60,"Arrêt majeur — analyse 5 pourquoi",IF($G215&gt;=30,"À analyser en revue quotidienne",IF($K215="Planifié","Arrêt planifié","Aléa courant"))))</f>
        <v/>
      </c>
      <c r="Q215" s="95">
        <f>IF($A215="",0,IF(AND(OR(COCKPIT!$H$4="Toutes",$C215=COCKPIT!$H$4),OR(COCKPIT!$K$4="Toutes",$B215=COCKPIT!$K$4)),1,0))</f>
        <v/>
      </c>
    </row>
    <row r="216" ht="15" customHeight="1">
      <c r="A216" s="87" t="n"/>
      <c r="B216" s="88" t="n"/>
      <c r="C216" s="88" t="n"/>
      <c r="D216" s="88" t="n"/>
      <c r="E216" s="96" t="n"/>
      <c r="F216" s="96" t="n"/>
      <c r="G216" s="92">
        <f>IF(OR($E216="",$F216=""),"",ROUND(($F216-$E216+IF($F216&lt;$E216,1,0))*1440,0))</f>
        <v/>
      </c>
      <c r="H216" s="88" t="n"/>
      <c r="I216" s="94">
        <f>IF($H216="","",IFERROR(INDEX(PARAMETRES!$S$7:$S$46,MATCH($H216,PARAMETRES!$R$7:$R$46,0)),"Code inconnu"))</f>
        <v/>
      </c>
      <c r="J216" s="94">
        <f>IF($H216="","",IFERROR(INDEX(PARAMETRES!$T$7:$T$46,MATCH($H216,PARAMETRES!$R$7:$R$46,0)),""))</f>
        <v/>
      </c>
      <c r="K216" s="94">
        <f>IF($H216="","",IFERROR(INDEX(PARAMETRES!$U$7:$U$46,MATCH($H216,PARAMETRES!$R$7:$R$46,0)),""))</f>
        <v/>
      </c>
      <c r="L216" s="94">
        <f>IF($H216="","",IFERROR(INDEX(PARAMETRES!$V$7:$V$46,MATCH($H216,PARAMETRES!$R$7:$R$46,0)),""))</f>
        <v/>
      </c>
      <c r="M216" s="88" t="n"/>
      <c r="N216" s="88" t="n"/>
      <c r="O216" s="88" t="n"/>
      <c r="P216" s="94">
        <f>IF($G216="","",IF($G216&gt;=60,"Arrêt majeur — analyse 5 pourquoi",IF($G216&gt;=30,"À analyser en revue quotidienne",IF($K216="Planifié","Arrêt planifié","Aléa courant"))))</f>
        <v/>
      </c>
      <c r="Q216" s="95">
        <f>IF($A216="",0,IF(AND(OR(COCKPIT!$H$4="Toutes",$C216=COCKPIT!$H$4),OR(COCKPIT!$K$4="Toutes",$B216=COCKPIT!$K$4)),1,0))</f>
        <v/>
      </c>
    </row>
    <row r="217" ht="15" customHeight="1">
      <c r="A217" s="87" t="n"/>
      <c r="B217" s="88" t="n"/>
      <c r="C217" s="88" t="n"/>
      <c r="D217" s="88" t="n"/>
      <c r="E217" s="96" t="n"/>
      <c r="F217" s="96" t="n"/>
      <c r="G217" s="92">
        <f>IF(OR($E217="",$F217=""),"",ROUND(($F217-$E217+IF($F217&lt;$E217,1,0))*1440,0))</f>
        <v/>
      </c>
      <c r="H217" s="88" t="n"/>
      <c r="I217" s="94">
        <f>IF($H217="","",IFERROR(INDEX(PARAMETRES!$S$7:$S$46,MATCH($H217,PARAMETRES!$R$7:$R$46,0)),"Code inconnu"))</f>
        <v/>
      </c>
      <c r="J217" s="94">
        <f>IF($H217="","",IFERROR(INDEX(PARAMETRES!$T$7:$T$46,MATCH($H217,PARAMETRES!$R$7:$R$46,0)),""))</f>
        <v/>
      </c>
      <c r="K217" s="94">
        <f>IF($H217="","",IFERROR(INDEX(PARAMETRES!$U$7:$U$46,MATCH($H217,PARAMETRES!$R$7:$R$46,0)),""))</f>
        <v/>
      </c>
      <c r="L217" s="94">
        <f>IF($H217="","",IFERROR(INDEX(PARAMETRES!$V$7:$V$46,MATCH($H217,PARAMETRES!$R$7:$R$46,0)),""))</f>
        <v/>
      </c>
      <c r="M217" s="88" t="n"/>
      <c r="N217" s="88" t="n"/>
      <c r="O217" s="88" t="n"/>
      <c r="P217" s="94">
        <f>IF($G217="","",IF($G217&gt;=60,"Arrêt majeur — analyse 5 pourquoi",IF($G217&gt;=30,"À analyser en revue quotidienne",IF($K217="Planifié","Arrêt planifié","Aléa courant"))))</f>
        <v/>
      </c>
      <c r="Q217" s="95">
        <f>IF($A217="",0,IF(AND(OR(COCKPIT!$H$4="Toutes",$C217=COCKPIT!$H$4),OR(COCKPIT!$K$4="Toutes",$B217=COCKPIT!$K$4)),1,0))</f>
        <v/>
      </c>
    </row>
    <row r="218" ht="15" customHeight="1">
      <c r="A218" s="87" t="n"/>
      <c r="B218" s="88" t="n"/>
      <c r="C218" s="88" t="n"/>
      <c r="D218" s="88" t="n"/>
      <c r="E218" s="96" t="n"/>
      <c r="F218" s="96" t="n"/>
      <c r="G218" s="92">
        <f>IF(OR($E218="",$F218=""),"",ROUND(($F218-$E218+IF($F218&lt;$E218,1,0))*1440,0))</f>
        <v/>
      </c>
      <c r="H218" s="88" t="n"/>
      <c r="I218" s="94">
        <f>IF($H218="","",IFERROR(INDEX(PARAMETRES!$S$7:$S$46,MATCH($H218,PARAMETRES!$R$7:$R$46,0)),"Code inconnu"))</f>
        <v/>
      </c>
      <c r="J218" s="94">
        <f>IF($H218="","",IFERROR(INDEX(PARAMETRES!$T$7:$T$46,MATCH($H218,PARAMETRES!$R$7:$R$46,0)),""))</f>
        <v/>
      </c>
      <c r="K218" s="94">
        <f>IF($H218="","",IFERROR(INDEX(PARAMETRES!$U$7:$U$46,MATCH($H218,PARAMETRES!$R$7:$R$46,0)),""))</f>
        <v/>
      </c>
      <c r="L218" s="94">
        <f>IF($H218="","",IFERROR(INDEX(PARAMETRES!$V$7:$V$46,MATCH($H218,PARAMETRES!$R$7:$R$46,0)),""))</f>
        <v/>
      </c>
      <c r="M218" s="88" t="n"/>
      <c r="N218" s="88" t="n"/>
      <c r="O218" s="88" t="n"/>
      <c r="P218" s="94">
        <f>IF($G218="","",IF($G218&gt;=60,"Arrêt majeur — analyse 5 pourquoi",IF($G218&gt;=30,"À analyser en revue quotidienne",IF($K218="Planifié","Arrêt planifié","Aléa courant"))))</f>
        <v/>
      </c>
      <c r="Q218" s="95">
        <f>IF($A218="",0,IF(AND(OR(COCKPIT!$H$4="Toutes",$C218=COCKPIT!$H$4),OR(COCKPIT!$K$4="Toutes",$B218=COCKPIT!$K$4)),1,0))</f>
        <v/>
      </c>
    </row>
    <row r="219" ht="15" customHeight="1">
      <c r="A219" s="87" t="n"/>
      <c r="B219" s="88" t="n"/>
      <c r="C219" s="88" t="n"/>
      <c r="D219" s="88" t="n"/>
      <c r="E219" s="96" t="n"/>
      <c r="F219" s="96" t="n"/>
      <c r="G219" s="92">
        <f>IF(OR($E219="",$F219=""),"",ROUND(($F219-$E219+IF($F219&lt;$E219,1,0))*1440,0))</f>
        <v/>
      </c>
      <c r="H219" s="88" t="n"/>
      <c r="I219" s="94">
        <f>IF($H219="","",IFERROR(INDEX(PARAMETRES!$S$7:$S$46,MATCH($H219,PARAMETRES!$R$7:$R$46,0)),"Code inconnu"))</f>
        <v/>
      </c>
      <c r="J219" s="94">
        <f>IF($H219="","",IFERROR(INDEX(PARAMETRES!$T$7:$T$46,MATCH($H219,PARAMETRES!$R$7:$R$46,0)),""))</f>
        <v/>
      </c>
      <c r="K219" s="94">
        <f>IF($H219="","",IFERROR(INDEX(PARAMETRES!$U$7:$U$46,MATCH($H219,PARAMETRES!$R$7:$R$46,0)),""))</f>
        <v/>
      </c>
      <c r="L219" s="94">
        <f>IF($H219="","",IFERROR(INDEX(PARAMETRES!$V$7:$V$46,MATCH($H219,PARAMETRES!$R$7:$R$46,0)),""))</f>
        <v/>
      </c>
      <c r="M219" s="88" t="n"/>
      <c r="N219" s="88" t="n"/>
      <c r="O219" s="88" t="n"/>
      <c r="P219" s="94">
        <f>IF($G219="","",IF($G219&gt;=60,"Arrêt majeur — analyse 5 pourquoi",IF($G219&gt;=30,"À analyser en revue quotidienne",IF($K219="Planifié","Arrêt planifié","Aléa courant"))))</f>
        <v/>
      </c>
      <c r="Q219" s="95">
        <f>IF($A219="",0,IF(AND(OR(COCKPIT!$H$4="Toutes",$C219=COCKPIT!$H$4),OR(COCKPIT!$K$4="Toutes",$B219=COCKPIT!$K$4)),1,0))</f>
        <v/>
      </c>
    </row>
    <row r="220" ht="15" customHeight="1">
      <c r="A220" s="87" t="n"/>
      <c r="B220" s="88" t="n"/>
      <c r="C220" s="88" t="n"/>
      <c r="D220" s="88" t="n"/>
      <c r="E220" s="96" t="n"/>
      <c r="F220" s="96" t="n"/>
      <c r="G220" s="92">
        <f>IF(OR($E220="",$F220=""),"",ROUND(($F220-$E220+IF($F220&lt;$E220,1,0))*1440,0))</f>
        <v/>
      </c>
      <c r="H220" s="88" t="n"/>
      <c r="I220" s="94">
        <f>IF($H220="","",IFERROR(INDEX(PARAMETRES!$S$7:$S$46,MATCH($H220,PARAMETRES!$R$7:$R$46,0)),"Code inconnu"))</f>
        <v/>
      </c>
      <c r="J220" s="94">
        <f>IF($H220="","",IFERROR(INDEX(PARAMETRES!$T$7:$T$46,MATCH($H220,PARAMETRES!$R$7:$R$46,0)),""))</f>
        <v/>
      </c>
      <c r="K220" s="94">
        <f>IF($H220="","",IFERROR(INDEX(PARAMETRES!$U$7:$U$46,MATCH($H220,PARAMETRES!$R$7:$R$46,0)),""))</f>
        <v/>
      </c>
      <c r="L220" s="94">
        <f>IF($H220="","",IFERROR(INDEX(PARAMETRES!$V$7:$V$46,MATCH($H220,PARAMETRES!$R$7:$R$46,0)),""))</f>
        <v/>
      </c>
      <c r="M220" s="88" t="n"/>
      <c r="N220" s="88" t="n"/>
      <c r="O220" s="88" t="n"/>
      <c r="P220" s="94">
        <f>IF($G220="","",IF($G220&gt;=60,"Arrêt majeur — analyse 5 pourquoi",IF($G220&gt;=30,"À analyser en revue quotidienne",IF($K220="Planifié","Arrêt planifié","Aléa courant"))))</f>
        <v/>
      </c>
      <c r="Q220" s="95">
        <f>IF($A220="",0,IF(AND(OR(COCKPIT!$H$4="Toutes",$C220=COCKPIT!$H$4),OR(COCKPIT!$K$4="Toutes",$B220=COCKPIT!$K$4)),1,0))</f>
        <v/>
      </c>
    </row>
    <row r="221" ht="15" customHeight="1">
      <c r="A221" s="87" t="n"/>
      <c r="B221" s="88" t="n"/>
      <c r="C221" s="88" t="n"/>
      <c r="D221" s="88" t="n"/>
      <c r="E221" s="96" t="n"/>
      <c r="F221" s="96" t="n"/>
      <c r="G221" s="92">
        <f>IF(OR($E221="",$F221=""),"",ROUND(($F221-$E221+IF($F221&lt;$E221,1,0))*1440,0))</f>
        <v/>
      </c>
      <c r="H221" s="88" t="n"/>
      <c r="I221" s="94">
        <f>IF($H221="","",IFERROR(INDEX(PARAMETRES!$S$7:$S$46,MATCH($H221,PARAMETRES!$R$7:$R$46,0)),"Code inconnu"))</f>
        <v/>
      </c>
      <c r="J221" s="94">
        <f>IF($H221="","",IFERROR(INDEX(PARAMETRES!$T$7:$T$46,MATCH($H221,PARAMETRES!$R$7:$R$46,0)),""))</f>
        <v/>
      </c>
      <c r="K221" s="94">
        <f>IF($H221="","",IFERROR(INDEX(PARAMETRES!$U$7:$U$46,MATCH($H221,PARAMETRES!$R$7:$R$46,0)),""))</f>
        <v/>
      </c>
      <c r="L221" s="94">
        <f>IF($H221="","",IFERROR(INDEX(PARAMETRES!$V$7:$V$46,MATCH($H221,PARAMETRES!$R$7:$R$46,0)),""))</f>
        <v/>
      </c>
      <c r="M221" s="88" t="n"/>
      <c r="N221" s="88" t="n"/>
      <c r="O221" s="88" t="n"/>
      <c r="P221" s="94">
        <f>IF($G221="","",IF($G221&gt;=60,"Arrêt majeur — analyse 5 pourquoi",IF($G221&gt;=30,"À analyser en revue quotidienne",IF($K221="Planifié","Arrêt planifié","Aléa courant"))))</f>
        <v/>
      </c>
      <c r="Q221" s="95">
        <f>IF($A221="",0,IF(AND(OR(COCKPIT!$H$4="Toutes",$C221=COCKPIT!$H$4),OR(COCKPIT!$K$4="Toutes",$B221=COCKPIT!$K$4)),1,0))</f>
        <v/>
      </c>
    </row>
    <row r="222" ht="15" customHeight="1">
      <c r="A222" s="87" t="n"/>
      <c r="B222" s="88" t="n"/>
      <c r="C222" s="88" t="n"/>
      <c r="D222" s="88" t="n"/>
      <c r="E222" s="96" t="n"/>
      <c r="F222" s="96" t="n"/>
      <c r="G222" s="92">
        <f>IF(OR($E222="",$F222=""),"",ROUND(($F222-$E222+IF($F222&lt;$E222,1,0))*1440,0))</f>
        <v/>
      </c>
      <c r="H222" s="88" t="n"/>
      <c r="I222" s="94">
        <f>IF($H222="","",IFERROR(INDEX(PARAMETRES!$S$7:$S$46,MATCH($H222,PARAMETRES!$R$7:$R$46,0)),"Code inconnu"))</f>
        <v/>
      </c>
      <c r="J222" s="94">
        <f>IF($H222="","",IFERROR(INDEX(PARAMETRES!$T$7:$T$46,MATCH($H222,PARAMETRES!$R$7:$R$46,0)),""))</f>
        <v/>
      </c>
      <c r="K222" s="94">
        <f>IF($H222="","",IFERROR(INDEX(PARAMETRES!$U$7:$U$46,MATCH($H222,PARAMETRES!$R$7:$R$46,0)),""))</f>
        <v/>
      </c>
      <c r="L222" s="94">
        <f>IF($H222="","",IFERROR(INDEX(PARAMETRES!$V$7:$V$46,MATCH($H222,PARAMETRES!$R$7:$R$46,0)),""))</f>
        <v/>
      </c>
      <c r="M222" s="88" t="n"/>
      <c r="N222" s="88" t="n"/>
      <c r="O222" s="88" t="n"/>
      <c r="P222" s="94">
        <f>IF($G222="","",IF($G222&gt;=60,"Arrêt majeur — analyse 5 pourquoi",IF($G222&gt;=30,"À analyser en revue quotidienne",IF($K222="Planifié","Arrêt planifié","Aléa courant"))))</f>
        <v/>
      </c>
      <c r="Q222" s="95">
        <f>IF($A222="",0,IF(AND(OR(COCKPIT!$H$4="Toutes",$C222=COCKPIT!$H$4),OR(COCKPIT!$K$4="Toutes",$B222=COCKPIT!$K$4)),1,0))</f>
        <v/>
      </c>
    </row>
    <row r="223" ht="15" customHeight="1">
      <c r="A223" s="87" t="n"/>
      <c r="B223" s="88" t="n"/>
      <c r="C223" s="88" t="n"/>
      <c r="D223" s="88" t="n"/>
      <c r="E223" s="96" t="n"/>
      <c r="F223" s="96" t="n"/>
      <c r="G223" s="92">
        <f>IF(OR($E223="",$F223=""),"",ROUND(($F223-$E223+IF($F223&lt;$E223,1,0))*1440,0))</f>
        <v/>
      </c>
      <c r="H223" s="88" t="n"/>
      <c r="I223" s="94">
        <f>IF($H223="","",IFERROR(INDEX(PARAMETRES!$S$7:$S$46,MATCH($H223,PARAMETRES!$R$7:$R$46,0)),"Code inconnu"))</f>
        <v/>
      </c>
      <c r="J223" s="94">
        <f>IF($H223="","",IFERROR(INDEX(PARAMETRES!$T$7:$T$46,MATCH($H223,PARAMETRES!$R$7:$R$46,0)),""))</f>
        <v/>
      </c>
      <c r="K223" s="94">
        <f>IF($H223="","",IFERROR(INDEX(PARAMETRES!$U$7:$U$46,MATCH($H223,PARAMETRES!$R$7:$R$46,0)),""))</f>
        <v/>
      </c>
      <c r="L223" s="94">
        <f>IF($H223="","",IFERROR(INDEX(PARAMETRES!$V$7:$V$46,MATCH($H223,PARAMETRES!$R$7:$R$46,0)),""))</f>
        <v/>
      </c>
      <c r="M223" s="88" t="n"/>
      <c r="N223" s="88" t="n"/>
      <c r="O223" s="88" t="n"/>
      <c r="P223" s="94">
        <f>IF($G223="","",IF($G223&gt;=60,"Arrêt majeur — analyse 5 pourquoi",IF($G223&gt;=30,"À analyser en revue quotidienne",IF($K223="Planifié","Arrêt planifié","Aléa courant"))))</f>
        <v/>
      </c>
      <c r="Q223" s="95">
        <f>IF($A223="",0,IF(AND(OR(COCKPIT!$H$4="Toutes",$C223=COCKPIT!$H$4),OR(COCKPIT!$K$4="Toutes",$B223=COCKPIT!$K$4)),1,0))</f>
        <v/>
      </c>
    </row>
    <row r="224" ht="15" customHeight="1">
      <c r="A224" s="87" t="n"/>
      <c r="B224" s="88" t="n"/>
      <c r="C224" s="88" t="n"/>
      <c r="D224" s="88" t="n"/>
      <c r="E224" s="96" t="n"/>
      <c r="F224" s="96" t="n"/>
      <c r="G224" s="92">
        <f>IF(OR($E224="",$F224=""),"",ROUND(($F224-$E224+IF($F224&lt;$E224,1,0))*1440,0))</f>
        <v/>
      </c>
      <c r="H224" s="88" t="n"/>
      <c r="I224" s="94">
        <f>IF($H224="","",IFERROR(INDEX(PARAMETRES!$S$7:$S$46,MATCH($H224,PARAMETRES!$R$7:$R$46,0)),"Code inconnu"))</f>
        <v/>
      </c>
      <c r="J224" s="94">
        <f>IF($H224="","",IFERROR(INDEX(PARAMETRES!$T$7:$T$46,MATCH($H224,PARAMETRES!$R$7:$R$46,0)),""))</f>
        <v/>
      </c>
      <c r="K224" s="94">
        <f>IF($H224="","",IFERROR(INDEX(PARAMETRES!$U$7:$U$46,MATCH($H224,PARAMETRES!$R$7:$R$46,0)),""))</f>
        <v/>
      </c>
      <c r="L224" s="94">
        <f>IF($H224="","",IFERROR(INDEX(PARAMETRES!$V$7:$V$46,MATCH($H224,PARAMETRES!$R$7:$R$46,0)),""))</f>
        <v/>
      </c>
      <c r="M224" s="88" t="n"/>
      <c r="N224" s="88" t="n"/>
      <c r="O224" s="88" t="n"/>
      <c r="P224" s="94">
        <f>IF($G224="","",IF($G224&gt;=60,"Arrêt majeur — analyse 5 pourquoi",IF($G224&gt;=30,"À analyser en revue quotidienne",IF($K224="Planifié","Arrêt planifié","Aléa courant"))))</f>
        <v/>
      </c>
      <c r="Q224" s="95">
        <f>IF($A224="",0,IF(AND(OR(COCKPIT!$H$4="Toutes",$C224=COCKPIT!$H$4),OR(COCKPIT!$K$4="Toutes",$B224=COCKPIT!$K$4)),1,0))</f>
        <v/>
      </c>
    </row>
    <row r="225" ht="15" customHeight="1">
      <c r="A225" s="87" t="n"/>
      <c r="B225" s="88" t="n"/>
      <c r="C225" s="88" t="n"/>
      <c r="D225" s="88" t="n"/>
      <c r="E225" s="96" t="n"/>
      <c r="F225" s="96" t="n"/>
      <c r="G225" s="92">
        <f>IF(OR($E225="",$F225=""),"",ROUND(($F225-$E225+IF($F225&lt;$E225,1,0))*1440,0))</f>
        <v/>
      </c>
      <c r="H225" s="88" t="n"/>
      <c r="I225" s="94">
        <f>IF($H225="","",IFERROR(INDEX(PARAMETRES!$S$7:$S$46,MATCH($H225,PARAMETRES!$R$7:$R$46,0)),"Code inconnu"))</f>
        <v/>
      </c>
      <c r="J225" s="94">
        <f>IF($H225="","",IFERROR(INDEX(PARAMETRES!$T$7:$T$46,MATCH($H225,PARAMETRES!$R$7:$R$46,0)),""))</f>
        <v/>
      </c>
      <c r="K225" s="94">
        <f>IF($H225="","",IFERROR(INDEX(PARAMETRES!$U$7:$U$46,MATCH($H225,PARAMETRES!$R$7:$R$46,0)),""))</f>
        <v/>
      </c>
      <c r="L225" s="94">
        <f>IF($H225="","",IFERROR(INDEX(PARAMETRES!$V$7:$V$46,MATCH($H225,PARAMETRES!$R$7:$R$46,0)),""))</f>
        <v/>
      </c>
      <c r="M225" s="88" t="n"/>
      <c r="N225" s="88" t="n"/>
      <c r="O225" s="88" t="n"/>
      <c r="P225" s="94">
        <f>IF($G225="","",IF($G225&gt;=60,"Arrêt majeur — analyse 5 pourquoi",IF($G225&gt;=30,"À analyser en revue quotidienne",IF($K225="Planifié","Arrêt planifié","Aléa courant"))))</f>
        <v/>
      </c>
      <c r="Q225" s="95">
        <f>IF($A225="",0,IF(AND(OR(COCKPIT!$H$4="Toutes",$C225=COCKPIT!$H$4),OR(COCKPIT!$K$4="Toutes",$B225=COCKPIT!$K$4)),1,0))</f>
        <v/>
      </c>
    </row>
    <row r="226" ht="15" customHeight="1">
      <c r="A226" s="87" t="n"/>
      <c r="B226" s="88" t="n"/>
      <c r="C226" s="88" t="n"/>
      <c r="D226" s="88" t="n"/>
      <c r="E226" s="96" t="n"/>
      <c r="F226" s="96" t="n"/>
      <c r="G226" s="92">
        <f>IF(OR($E226="",$F226=""),"",ROUND(($F226-$E226+IF($F226&lt;$E226,1,0))*1440,0))</f>
        <v/>
      </c>
      <c r="H226" s="88" t="n"/>
      <c r="I226" s="94">
        <f>IF($H226="","",IFERROR(INDEX(PARAMETRES!$S$7:$S$46,MATCH($H226,PARAMETRES!$R$7:$R$46,0)),"Code inconnu"))</f>
        <v/>
      </c>
      <c r="J226" s="94">
        <f>IF($H226="","",IFERROR(INDEX(PARAMETRES!$T$7:$T$46,MATCH($H226,PARAMETRES!$R$7:$R$46,0)),""))</f>
        <v/>
      </c>
      <c r="K226" s="94">
        <f>IF($H226="","",IFERROR(INDEX(PARAMETRES!$U$7:$U$46,MATCH($H226,PARAMETRES!$R$7:$R$46,0)),""))</f>
        <v/>
      </c>
      <c r="L226" s="94">
        <f>IF($H226="","",IFERROR(INDEX(PARAMETRES!$V$7:$V$46,MATCH($H226,PARAMETRES!$R$7:$R$46,0)),""))</f>
        <v/>
      </c>
      <c r="M226" s="88" t="n"/>
      <c r="N226" s="88" t="n"/>
      <c r="O226" s="88" t="n"/>
      <c r="P226" s="94">
        <f>IF($G226="","",IF($G226&gt;=60,"Arrêt majeur — analyse 5 pourquoi",IF($G226&gt;=30,"À analyser en revue quotidienne",IF($K226="Planifié","Arrêt planifié","Aléa courant"))))</f>
        <v/>
      </c>
      <c r="Q226" s="95">
        <f>IF($A226="",0,IF(AND(OR(COCKPIT!$H$4="Toutes",$C226=COCKPIT!$H$4),OR(COCKPIT!$K$4="Toutes",$B226=COCKPIT!$K$4)),1,0))</f>
        <v/>
      </c>
    </row>
    <row r="227" ht="15" customHeight="1">
      <c r="A227" s="87" t="n"/>
      <c r="B227" s="88" t="n"/>
      <c r="C227" s="88" t="n"/>
      <c r="D227" s="88" t="n"/>
      <c r="E227" s="96" t="n"/>
      <c r="F227" s="96" t="n"/>
      <c r="G227" s="92">
        <f>IF(OR($E227="",$F227=""),"",ROUND(($F227-$E227+IF($F227&lt;$E227,1,0))*1440,0))</f>
        <v/>
      </c>
      <c r="H227" s="88" t="n"/>
      <c r="I227" s="94">
        <f>IF($H227="","",IFERROR(INDEX(PARAMETRES!$S$7:$S$46,MATCH($H227,PARAMETRES!$R$7:$R$46,0)),"Code inconnu"))</f>
        <v/>
      </c>
      <c r="J227" s="94">
        <f>IF($H227="","",IFERROR(INDEX(PARAMETRES!$T$7:$T$46,MATCH($H227,PARAMETRES!$R$7:$R$46,0)),""))</f>
        <v/>
      </c>
      <c r="K227" s="94">
        <f>IF($H227="","",IFERROR(INDEX(PARAMETRES!$U$7:$U$46,MATCH($H227,PARAMETRES!$R$7:$R$46,0)),""))</f>
        <v/>
      </c>
      <c r="L227" s="94">
        <f>IF($H227="","",IFERROR(INDEX(PARAMETRES!$V$7:$V$46,MATCH($H227,PARAMETRES!$R$7:$R$46,0)),""))</f>
        <v/>
      </c>
      <c r="M227" s="88" t="n"/>
      <c r="N227" s="88" t="n"/>
      <c r="O227" s="88" t="n"/>
      <c r="P227" s="94">
        <f>IF($G227="","",IF($G227&gt;=60,"Arrêt majeur — analyse 5 pourquoi",IF($G227&gt;=30,"À analyser en revue quotidienne",IF($K227="Planifié","Arrêt planifié","Aléa courant"))))</f>
        <v/>
      </c>
      <c r="Q227" s="95">
        <f>IF($A227="",0,IF(AND(OR(COCKPIT!$H$4="Toutes",$C227=COCKPIT!$H$4),OR(COCKPIT!$K$4="Toutes",$B227=COCKPIT!$K$4)),1,0))</f>
        <v/>
      </c>
    </row>
    <row r="228" ht="15" customHeight="1">
      <c r="A228" s="87" t="n"/>
      <c r="B228" s="88" t="n"/>
      <c r="C228" s="88" t="n"/>
      <c r="D228" s="88" t="n"/>
      <c r="E228" s="96" t="n"/>
      <c r="F228" s="96" t="n"/>
      <c r="G228" s="92">
        <f>IF(OR($E228="",$F228=""),"",ROUND(($F228-$E228+IF($F228&lt;$E228,1,0))*1440,0))</f>
        <v/>
      </c>
      <c r="H228" s="88" t="n"/>
      <c r="I228" s="94">
        <f>IF($H228="","",IFERROR(INDEX(PARAMETRES!$S$7:$S$46,MATCH($H228,PARAMETRES!$R$7:$R$46,0)),"Code inconnu"))</f>
        <v/>
      </c>
      <c r="J228" s="94">
        <f>IF($H228="","",IFERROR(INDEX(PARAMETRES!$T$7:$T$46,MATCH($H228,PARAMETRES!$R$7:$R$46,0)),""))</f>
        <v/>
      </c>
      <c r="K228" s="94">
        <f>IF($H228="","",IFERROR(INDEX(PARAMETRES!$U$7:$U$46,MATCH($H228,PARAMETRES!$R$7:$R$46,0)),""))</f>
        <v/>
      </c>
      <c r="L228" s="94">
        <f>IF($H228="","",IFERROR(INDEX(PARAMETRES!$V$7:$V$46,MATCH($H228,PARAMETRES!$R$7:$R$46,0)),""))</f>
        <v/>
      </c>
      <c r="M228" s="88" t="n"/>
      <c r="N228" s="88" t="n"/>
      <c r="O228" s="88" t="n"/>
      <c r="P228" s="94">
        <f>IF($G228="","",IF($G228&gt;=60,"Arrêt majeur — analyse 5 pourquoi",IF($G228&gt;=30,"À analyser en revue quotidienne",IF($K228="Planifié","Arrêt planifié","Aléa courant"))))</f>
        <v/>
      </c>
      <c r="Q228" s="95">
        <f>IF($A228="",0,IF(AND(OR(COCKPIT!$H$4="Toutes",$C228=COCKPIT!$H$4),OR(COCKPIT!$K$4="Toutes",$B228=COCKPIT!$K$4)),1,0))</f>
        <v/>
      </c>
    </row>
    <row r="229" ht="15" customHeight="1">
      <c r="A229" s="87" t="n"/>
      <c r="B229" s="88" t="n"/>
      <c r="C229" s="88" t="n"/>
      <c r="D229" s="88" t="n"/>
      <c r="E229" s="96" t="n"/>
      <c r="F229" s="96" t="n"/>
      <c r="G229" s="92">
        <f>IF(OR($E229="",$F229=""),"",ROUND(($F229-$E229+IF($F229&lt;$E229,1,0))*1440,0))</f>
        <v/>
      </c>
      <c r="H229" s="88" t="n"/>
      <c r="I229" s="94">
        <f>IF($H229="","",IFERROR(INDEX(PARAMETRES!$S$7:$S$46,MATCH($H229,PARAMETRES!$R$7:$R$46,0)),"Code inconnu"))</f>
        <v/>
      </c>
      <c r="J229" s="94">
        <f>IF($H229="","",IFERROR(INDEX(PARAMETRES!$T$7:$T$46,MATCH($H229,PARAMETRES!$R$7:$R$46,0)),""))</f>
        <v/>
      </c>
      <c r="K229" s="94">
        <f>IF($H229="","",IFERROR(INDEX(PARAMETRES!$U$7:$U$46,MATCH($H229,PARAMETRES!$R$7:$R$46,0)),""))</f>
        <v/>
      </c>
      <c r="L229" s="94">
        <f>IF($H229="","",IFERROR(INDEX(PARAMETRES!$V$7:$V$46,MATCH($H229,PARAMETRES!$R$7:$R$46,0)),""))</f>
        <v/>
      </c>
      <c r="M229" s="88" t="n"/>
      <c r="N229" s="88" t="n"/>
      <c r="O229" s="88" t="n"/>
      <c r="P229" s="94">
        <f>IF($G229="","",IF($G229&gt;=60,"Arrêt majeur — analyse 5 pourquoi",IF($G229&gt;=30,"À analyser en revue quotidienne",IF($K229="Planifié","Arrêt planifié","Aléa courant"))))</f>
        <v/>
      </c>
      <c r="Q229" s="95">
        <f>IF($A229="",0,IF(AND(OR(COCKPIT!$H$4="Toutes",$C229=COCKPIT!$H$4),OR(COCKPIT!$K$4="Toutes",$B229=COCKPIT!$K$4)),1,0))</f>
        <v/>
      </c>
    </row>
    <row r="230" ht="15" customHeight="1">
      <c r="A230" s="87" t="n"/>
      <c r="B230" s="88" t="n"/>
      <c r="C230" s="88" t="n"/>
      <c r="D230" s="88" t="n"/>
      <c r="E230" s="96" t="n"/>
      <c r="F230" s="96" t="n"/>
      <c r="G230" s="92">
        <f>IF(OR($E230="",$F230=""),"",ROUND(($F230-$E230+IF($F230&lt;$E230,1,0))*1440,0))</f>
        <v/>
      </c>
      <c r="H230" s="88" t="n"/>
      <c r="I230" s="94">
        <f>IF($H230="","",IFERROR(INDEX(PARAMETRES!$S$7:$S$46,MATCH($H230,PARAMETRES!$R$7:$R$46,0)),"Code inconnu"))</f>
        <v/>
      </c>
      <c r="J230" s="94">
        <f>IF($H230="","",IFERROR(INDEX(PARAMETRES!$T$7:$T$46,MATCH($H230,PARAMETRES!$R$7:$R$46,0)),""))</f>
        <v/>
      </c>
      <c r="K230" s="94">
        <f>IF($H230="","",IFERROR(INDEX(PARAMETRES!$U$7:$U$46,MATCH($H230,PARAMETRES!$R$7:$R$46,0)),""))</f>
        <v/>
      </c>
      <c r="L230" s="94">
        <f>IF($H230="","",IFERROR(INDEX(PARAMETRES!$V$7:$V$46,MATCH($H230,PARAMETRES!$R$7:$R$46,0)),""))</f>
        <v/>
      </c>
      <c r="M230" s="88" t="n"/>
      <c r="N230" s="88" t="n"/>
      <c r="O230" s="88" t="n"/>
      <c r="P230" s="94">
        <f>IF($G230="","",IF($G230&gt;=60,"Arrêt majeur — analyse 5 pourquoi",IF($G230&gt;=30,"À analyser en revue quotidienne",IF($K230="Planifié","Arrêt planifié","Aléa courant"))))</f>
        <v/>
      </c>
      <c r="Q230" s="95">
        <f>IF($A230="",0,IF(AND(OR(COCKPIT!$H$4="Toutes",$C230=COCKPIT!$H$4),OR(COCKPIT!$K$4="Toutes",$B230=COCKPIT!$K$4)),1,0))</f>
        <v/>
      </c>
    </row>
    <row r="231" ht="15" customHeight="1">
      <c r="A231" s="87" t="n"/>
      <c r="B231" s="88" t="n"/>
      <c r="C231" s="88" t="n"/>
      <c r="D231" s="88" t="n"/>
      <c r="E231" s="96" t="n"/>
      <c r="F231" s="96" t="n"/>
      <c r="G231" s="92">
        <f>IF(OR($E231="",$F231=""),"",ROUND(($F231-$E231+IF($F231&lt;$E231,1,0))*1440,0))</f>
        <v/>
      </c>
      <c r="H231" s="88" t="n"/>
      <c r="I231" s="94">
        <f>IF($H231="","",IFERROR(INDEX(PARAMETRES!$S$7:$S$46,MATCH($H231,PARAMETRES!$R$7:$R$46,0)),"Code inconnu"))</f>
        <v/>
      </c>
      <c r="J231" s="94">
        <f>IF($H231="","",IFERROR(INDEX(PARAMETRES!$T$7:$T$46,MATCH($H231,PARAMETRES!$R$7:$R$46,0)),""))</f>
        <v/>
      </c>
      <c r="K231" s="94">
        <f>IF($H231="","",IFERROR(INDEX(PARAMETRES!$U$7:$U$46,MATCH($H231,PARAMETRES!$R$7:$R$46,0)),""))</f>
        <v/>
      </c>
      <c r="L231" s="94">
        <f>IF($H231="","",IFERROR(INDEX(PARAMETRES!$V$7:$V$46,MATCH($H231,PARAMETRES!$R$7:$R$46,0)),""))</f>
        <v/>
      </c>
      <c r="M231" s="88" t="n"/>
      <c r="N231" s="88" t="n"/>
      <c r="O231" s="88" t="n"/>
      <c r="P231" s="94">
        <f>IF($G231="","",IF($G231&gt;=60,"Arrêt majeur — analyse 5 pourquoi",IF($G231&gt;=30,"À analyser en revue quotidienne",IF($K231="Planifié","Arrêt planifié","Aléa courant"))))</f>
        <v/>
      </c>
      <c r="Q231" s="95">
        <f>IF($A231="",0,IF(AND(OR(COCKPIT!$H$4="Toutes",$C231=COCKPIT!$H$4),OR(COCKPIT!$K$4="Toutes",$B231=COCKPIT!$K$4)),1,0))</f>
        <v/>
      </c>
    </row>
    <row r="232" ht="15" customHeight="1">
      <c r="A232" s="87" t="n"/>
      <c r="B232" s="88" t="n"/>
      <c r="C232" s="88" t="n"/>
      <c r="D232" s="88" t="n"/>
      <c r="E232" s="96" t="n"/>
      <c r="F232" s="96" t="n"/>
      <c r="G232" s="92">
        <f>IF(OR($E232="",$F232=""),"",ROUND(($F232-$E232+IF($F232&lt;$E232,1,0))*1440,0))</f>
        <v/>
      </c>
      <c r="H232" s="88" t="n"/>
      <c r="I232" s="94">
        <f>IF($H232="","",IFERROR(INDEX(PARAMETRES!$S$7:$S$46,MATCH($H232,PARAMETRES!$R$7:$R$46,0)),"Code inconnu"))</f>
        <v/>
      </c>
      <c r="J232" s="94">
        <f>IF($H232="","",IFERROR(INDEX(PARAMETRES!$T$7:$T$46,MATCH($H232,PARAMETRES!$R$7:$R$46,0)),""))</f>
        <v/>
      </c>
      <c r="K232" s="94">
        <f>IF($H232="","",IFERROR(INDEX(PARAMETRES!$U$7:$U$46,MATCH($H232,PARAMETRES!$R$7:$R$46,0)),""))</f>
        <v/>
      </c>
      <c r="L232" s="94">
        <f>IF($H232="","",IFERROR(INDEX(PARAMETRES!$V$7:$V$46,MATCH($H232,PARAMETRES!$R$7:$R$46,0)),""))</f>
        <v/>
      </c>
      <c r="M232" s="88" t="n"/>
      <c r="N232" s="88" t="n"/>
      <c r="O232" s="88" t="n"/>
      <c r="P232" s="94">
        <f>IF($G232="","",IF($G232&gt;=60,"Arrêt majeur — analyse 5 pourquoi",IF($G232&gt;=30,"À analyser en revue quotidienne",IF($K232="Planifié","Arrêt planifié","Aléa courant"))))</f>
        <v/>
      </c>
      <c r="Q232" s="95">
        <f>IF($A232="",0,IF(AND(OR(COCKPIT!$H$4="Toutes",$C232=COCKPIT!$H$4),OR(COCKPIT!$K$4="Toutes",$B232=COCKPIT!$K$4)),1,0))</f>
        <v/>
      </c>
    </row>
    <row r="233" ht="15" customHeight="1">
      <c r="A233" s="87" t="n"/>
      <c r="B233" s="88" t="n"/>
      <c r="C233" s="88" t="n"/>
      <c r="D233" s="88" t="n"/>
      <c r="E233" s="96" t="n"/>
      <c r="F233" s="96" t="n"/>
      <c r="G233" s="92">
        <f>IF(OR($E233="",$F233=""),"",ROUND(($F233-$E233+IF($F233&lt;$E233,1,0))*1440,0))</f>
        <v/>
      </c>
      <c r="H233" s="88" t="n"/>
      <c r="I233" s="94">
        <f>IF($H233="","",IFERROR(INDEX(PARAMETRES!$S$7:$S$46,MATCH($H233,PARAMETRES!$R$7:$R$46,0)),"Code inconnu"))</f>
        <v/>
      </c>
      <c r="J233" s="94">
        <f>IF($H233="","",IFERROR(INDEX(PARAMETRES!$T$7:$T$46,MATCH($H233,PARAMETRES!$R$7:$R$46,0)),""))</f>
        <v/>
      </c>
      <c r="K233" s="94">
        <f>IF($H233="","",IFERROR(INDEX(PARAMETRES!$U$7:$U$46,MATCH($H233,PARAMETRES!$R$7:$R$46,0)),""))</f>
        <v/>
      </c>
      <c r="L233" s="94">
        <f>IF($H233="","",IFERROR(INDEX(PARAMETRES!$V$7:$V$46,MATCH($H233,PARAMETRES!$R$7:$R$46,0)),""))</f>
        <v/>
      </c>
      <c r="M233" s="88" t="n"/>
      <c r="N233" s="88" t="n"/>
      <c r="O233" s="88" t="n"/>
      <c r="P233" s="94">
        <f>IF($G233="","",IF($G233&gt;=60,"Arrêt majeur — analyse 5 pourquoi",IF($G233&gt;=30,"À analyser en revue quotidienne",IF($K233="Planifié","Arrêt planifié","Aléa courant"))))</f>
        <v/>
      </c>
      <c r="Q233" s="95">
        <f>IF($A233="",0,IF(AND(OR(COCKPIT!$H$4="Toutes",$C233=COCKPIT!$H$4),OR(COCKPIT!$K$4="Toutes",$B233=COCKPIT!$K$4)),1,0))</f>
        <v/>
      </c>
    </row>
    <row r="234" ht="15" customHeight="1">
      <c r="A234" s="87" t="n"/>
      <c r="B234" s="88" t="n"/>
      <c r="C234" s="88" t="n"/>
      <c r="D234" s="88" t="n"/>
      <c r="E234" s="96" t="n"/>
      <c r="F234" s="96" t="n"/>
      <c r="G234" s="92">
        <f>IF(OR($E234="",$F234=""),"",ROUND(($F234-$E234+IF($F234&lt;$E234,1,0))*1440,0))</f>
        <v/>
      </c>
      <c r="H234" s="88" t="n"/>
      <c r="I234" s="94">
        <f>IF($H234="","",IFERROR(INDEX(PARAMETRES!$S$7:$S$46,MATCH($H234,PARAMETRES!$R$7:$R$46,0)),"Code inconnu"))</f>
        <v/>
      </c>
      <c r="J234" s="94">
        <f>IF($H234="","",IFERROR(INDEX(PARAMETRES!$T$7:$T$46,MATCH($H234,PARAMETRES!$R$7:$R$46,0)),""))</f>
        <v/>
      </c>
      <c r="K234" s="94">
        <f>IF($H234="","",IFERROR(INDEX(PARAMETRES!$U$7:$U$46,MATCH($H234,PARAMETRES!$R$7:$R$46,0)),""))</f>
        <v/>
      </c>
      <c r="L234" s="94">
        <f>IF($H234="","",IFERROR(INDEX(PARAMETRES!$V$7:$V$46,MATCH($H234,PARAMETRES!$R$7:$R$46,0)),""))</f>
        <v/>
      </c>
      <c r="M234" s="88" t="n"/>
      <c r="N234" s="88" t="n"/>
      <c r="O234" s="88" t="n"/>
      <c r="P234" s="94">
        <f>IF($G234="","",IF($G234&gt;=60,"Arrêt majeur — analyse 5 pourquoi",IF($G234&gt;=30,"À analyser en revue quotidienne",IF($K234="Planifié","Arrêt planifié","Aléa courant"))))</f>
        <v/>
      </c>
      <c r="Q234" s="95">
        <f>IF($A234="",0,IF(AND(OR(COCKPIT!$H$4="Toutes",$C234=COCKPIT!$H$4),OR(COCKPIT!$K$4="Toutes",$B234=COCKPIT!$K$4)),1,0))</f>
        <v/>
      </c>
    </row>
    <row r="235" ht="15" customHeight="1">
      <c r="A235" s="87" t="n"/>
      <c r="B235" s="88" t="n"/>
      <c r="C235" s="88" t="n"/>
      <c r="D235" s="88" t="n"/>
      <c r="E235" s="96" t="n"/>
      <c r="F235" s="96" t="n"/>
      <c r="G235" s="92">
        <f>IF(OR($E235="",$F235=""),"",ROUND(($F235-$E235+IF($F235&lt;$E235,1,0))*1440,0))</f>
        <v/>
      </c>
      <c r="H235" s="88" t="n"/>
      <c r="I235" s="94">
        <f>IF($H235="","",IFERROR(INDEX(PARAMETRES!$S$7:$S$46,MATCH($H235,PARAMETRES!$R$7:$R$46,0)),"Code inconnu"))</f>
        <v/>
      </c>
      <c r="J235" s="94">
        <f>IF($H235="","",IFERROR(INDEX(PARAMETRES!$T$7:$T$46,MATCH($H235,PARAMETRES!$R$7:$R$46,0)),""))</f>
        <v/>
      </c>
      <c r="K235" s="94">
        <f>IF($H235="","",IFERROR(INDEX(PARAMETRES!$U$7:$U$46,MATCH($H235,PARAMETRES!$R$7:$R$46,0)),""))</f>
        <v/>
      </c>
      <c r="L235" s="94">
        <f>IF($H235="","",IFERROR(INDEX(PARAMETRES!$V$7:$V$46,MATCH($H235,PARAMETRES!$R$7:$R$46,0)),""))</f>
        <v/>
      </c>
      <c r="M235" s="88" t="n"/>
      <c r="N235" s="88" t="n"/>
      <c r="O235" s="88" t="n"/>
      <c r="P235" s="94">
        <f>IF($G235="","",IF($G235&gt;=60,"Arrêt majeur — analyse 5 pourquoi",IF($G235&gt;=30,"À analyser en revue quotidienne",IF($K235="Planifié","Arrêt planifié","Aléa courant"))))</f>
        <v/>
      </c>
      <c r="Q235" s="95">
        <f>IF($A235="",0,IF(AND(OR(COCKPIT!$H$4="Toutes",$C235=COCKPIT!$H$4),OR(COCKPIT!$K$4="Toutes",$B235=COCKPIT!$K$4)),1,0))</f>
        <v/>
      </c>
    </row>
    <row r="236" ht="15" customHeight="1">
      <c r="A236" s="87" t="n"/>
      <c r="B236" s="88" t="n"/>
      <c r="C236" s="88" t="n"/>
      <c r="D236" s="88" t="n"/>
      <c r="E236" s="96" t="n"/>
      <c r="F236" s="96" t="n"/>
      <c r="G236" s="92">
        <f>IF(OR($E236="",$F236=""),"",ROUND(($F236-$E236+IF($F236&lt;$E236,1,0))*1440,0))</f>
        <v/>
      </c>
      <c r="H236" s="88" t="n"/>
      <c r="I236" s="94">
        <f>IF($H236="","",IFERROR(INDEX(PARAMETRES!$S$7:$S$46,MATCH($H236,PARAMETRES!$R$7:$R$46,0)),"Code inconnu"))</f>
        <v/>
      </c>
      <c r="J236" s="94">
        <f>IF($H236="","",IFERROR(INDEX(PARAMETRES!$T$7:$T$46,MATCH($H236,PARAMETRES!$R$7:$R$46,0)),""))</f>
        <v/>
      </c>
      <c r="K236" s="94">
        <f>IF($H236="","",IFERROR(INDEX(PARAMETRES!$U$7:$U$46,MATCH($H236,PARAMETRES!$R$7:$R$46,0)),""))</f>
        <v/>
      </c>
      <c r="L236" s="94">
        <f>IF($H236="","",IFERROR(INDEX(PARAMETRES!$V$7:$V$46,MATCH($H236,PARAMETRES!$R$7:$R$46,0)),""))</f>
        <v/>
      </c>
      <c r="M236" s="88" t="n"/>
      <c r="N236" s="88" t="n"/>
      <c r="O236" s="88" t="n"/>
      <c r="P236" s="94">
        <f>IF($G236="","",IF($G236&gt;=60,"Arrêt majeur — analyse 5 pourquoi",IF($G236&gt;=30,"À analyser en revue quotidienne",IF($K236="Planifié","Arrêt planifié","Aléa courant"))))</f>
        <v/>
      </c>
      <c r="Q236" s="95">
        <f>IF($A236="",0,IF(AND(OR(COCKPIT!$H$4="Toutes",$C236=COCKPIT!$H$4),OR(COCKPIT!$K$4="Toutes",$B236=COCKPIT!$K$4)),1,0))</f>
        <v/>
      </c>
    </row>
    <row r="237" ht="15" customHeight="1">
      <c r="A237" s="87" t="n"/>
      <c r="B237" s="88" t="n"/>
      <c r="C237" s="88" t="n"/>
      <c r="D237" s="88" t="n"/>
      <c r="E237" s="96" t="n"/>
      <c r="F237" s="96" t="n"/>
      <c r="G237" s="92">
        <f>IF(OR($E237="",$F237=""),"",ROUND(($F237-$E237+IF($F237&lt;$E237,1,0))*1440,0))</f>
        <v/>
      </c>
      <c r="H237" s="88" t="n"/>
      <c r="I237" s="94">
        <f>IF($H237="","",IFERROR(INDEX(PARAMETRES!$S$7:$S$46,MATCH($H237,PARAMETRES!$R$7:$R$46,0)),"Code inconnu"))</f>
        <v/>
      </c>
      <c r="J237" s="94">
        <f>IF($H237="","",IFERROR(INDEX(PARAMETRES!$T$7:$T$46,MATCH($H237,PARAMETRES!$R$7:$R$46,0)),""))</f>
        <v/>
      </c>
      <c r="K237" s="94">
        <f>IF($H237="","",IFERROR(INDEX(PARAMETRES!$U$7:$U$46,MATCH($H237,PARAMETRES!$R$7:$R$46,0)),""))</f>
        <v/>
      </c>
      <c r="L237" s="94">
        <f>IF($H237="","",IFERROR(INDEX(PARAMETRES!$V$7:$V$46,MATCH($H237,PARAMETRES!$R$7:$R$46,0)),""))</f>
        <v/>
      </c>
      <c r="M237" s="88" t="n"/>
      <c r="N237" s="88" t="n"/>
      <c r="O237" s="88" t="n"/>
      <c r="P237" s="94">
        <f>IF($G237="","",IF($G237&gt;=60,"Arrêt majeur — analyse 5 pourquoi",IF($G237&gt;=30,"À analyser en revue quotidienne",IF($K237="Planifié","Arrêt planifié","Aléa courant"))))</f>
        <v/>
      </c>
      <c r="Q237" s="95">
        <f>IF($A237="",0,IF(AND(OR(COCKPIT!$H$4="Toutes",$C237=COCKPIT!$H$4),OR(COCKPIT!$K$4="Toutes",$B237=COCKPIT!$K$4)),1,0))</f>
        <v/>
      </c>
    </row>
    <row r="238" ht="15" customHeight="1">
      <c r="A238" s="87" t="n"/>
      <c r="B238" s="88" t="n"/>
      <c r="C238" s="88" t="n"/>
      <c r="D238" s="88" t="n"/>
      <c r="E238" s="96" t="n"/>
      <c r="F238" s="96" t="n"/>
      <c r="G238" s="92">
        <f>IF(OR($E238="",$F238=""),"",ROUND(($F238-$E238+IF($F238&lt;$E238,1,0))*1440,0))</f>
        <v/>
      </c>
      <c r="H238" s="88" t="n"/>
      <c r="I238" s="94">
        <f>IF($H238="","",IFERROR(INDEX(PARAMETRES!$S$7:$S$46,MATCH($H238,PARAMETRES!$R$7:$R$46,0)),"Code inconnu"))</f>
        <v/>
      </c>
      <c r="J238" s="94">
        <f>IF($H238="","",IFERROR(INDEX(PARAMETRES!$T$7:$T$46,MATCH($H238,PARAMETRES!$R$7:$R$46,0)),""))</f>
        <v/>
      </c>
      <c r="K238" s="94">
        <f>IF($H238="","",IFERROR(INDEX(PARAMETRES!$U$7:$U$46,MATCH($H238,PARAMETRES!$R$7:$R$46,0)),""))</f>
        <v/>
      </c>
      <c r="L238" s="94">
        <f>IF($H238="","",IFERROR(INDEX(PARAMETRES!$V$7:$V$46,MATCH($H238,PARAMETRES!$R$7:$R$46,0)),""))</f>
        <v/>
      </c>
      <c r="M238" s="88" t="n"/>
      <c r="N238" s="88" t="n"/>
      <c r="O238" s="88" t="n"/>
      <c r="P238" s="94">
        <f>IF($G238="","",IF($G238&gt;=60,"Arrêt majeur — analyse 5 pourquoi",IF($G238&gt;=30,"À analyser en revue quotidienne",IF($K238="Planifié","Arrêt planifié","Aléa courant"))))</f>
        <v/>
      </c>
      <c r="Q238" s="95">
        <f>IF($A238="",0,IF(AND(OR(COCKPIT!$H$4="Toutes",$C238=COCKPIT!$H$4),OR(COCKPIT!$K$4="Toutes",$B238=COCKPIT!$K$4)),1,0))</f>
        <v/>
      </c>
    </row>
    <row r="239" ht="15" customHeight="1">
      <c r="A239" s="87" t="n"/>
      <c r="B239" s="88" t="n"/>
      <c r="C239" s="88" t="n"/>
      <c r="D239" s="88" t="n"/>
      <c r="E239" s="96" t="n"/>
      <c r="F239" s="96" t="n"/>
      <c r="G239" s="92">
        <f>IF(OR($E239="",$F239=""),"",ROUND(($F239-$E239+IF($F239&lt;$E239,1,0))*1440,0))</f>
        <v/>
      </c>
      <c r="H239" s="88" t="n"/>
      <c r="I239" s="94">
        <f>IF($H239="","",IFERROR(INDEX(PARAMETRES!$S$7:$S$46,MATCH($H239,PARAMETRES!$R$7:$R$46,0)),"Code inconnu"))</f>
        <v/>
      </c>
      <c r="J239" s="94">
        <f>IF($H239="","",IFERROR(INDEX(PARAMETRES!$T$7:$T$46,MATCH($H239,PARAMETRES!$R$7:$R$46,0)),""))</f>
        <v/>
      </c>
      <c r="K239" s="94">
        <f>IF($H239="","",IFERROR(INDEX(PARAMETRES!$U$7:$U$46,MATCH($H239,PARAMETRES!$R$7:$R$46,0)),""))</f>
        <v/>
      </c>
      <c r="L239" s="94">
        <f>IF($H239="","",IFERROR(INDEX(PARAMETRES!$V$7:$V$46,MATCH($H239,PARAMETRES!$R$7:$R$46,0)),""))</f>
        <v/>
      </c>
      <c r="M239" s="88" t="n"/>
      <c r="N239" s="88" t="n"/>
      <c r="O239" s="88" t="n"/>
      <c r="P239" s="94">
        <f>IF($G239="","",IF($G239&gt;=60,"Arrêt majeur — analyse 5 pourquoi",IF($G239&gt;=30,"À analyser en revue quotidienne",IF($K239="Planifié","Arrêt planifié","Aléa courant"))))</f>
        <v/>
      </c>
      <c r="Q239" s="95">
        <f>IF($A239="",0,IF(AND(OR(COCKPIT!$H$4="Toutes",$C239=COCKPIT!$H$4),OR(COCKPIT!$K$4="Toutes",$B239=COCKPIT!$K$4)),1,0))</f>
        <v/>
      </c>
    </row>
    <row r="240" ht="15" customHeight="1">
      <c r="A240" s="87" t="n"/>
      <c r="B240" s="88" t="n"/>
      <c r="C240" s="88" t="n"/>
      <c r="D240" s="88" t="n"/>
      <c r="E240" s="96" t="n"/>
      <c r="F240" s="96" t="n"/>
      <c r="G240" s="92">
        <f>IF(OR($E240="",$F240=""),"",ROUND(($F240-$E240+IF($F240&lt;$E240,1,0))*1440,0))</f>
        <v/>
      </c>
      <c r="H240" s="88" t="n"/>
      <c r="I240" s="94">
        <f>IF($H240="","",IFERROR(INDEX(PARAMETRES!$S$7:$S$46,MATCH($H240,PARAMETRES!$R$7:$R$46,0)),"Code inconnu"))</f>
        <v/>
      </c>
      <c r="J240" s="94">
        <f>IF($H240="","",IFERROR(INDEX(PARAMETRES!$T$7:$T$46,MATCH($H240,PARAMETRES!$R$7:$R$46,0)),""))</f>
        <v/>
      </c>
      <c r="K240" s="94">
        <f>IF($H240="","",IFERROR(INDEX(PARAMETRES!$U$7:$U$46,MATCH($H240,PARAMETRES!$R$7:$R$46,0)),""))</f>
        <v/>
      </c>
      <c r="L240" s="94">
        <f>IF($H240="","",IFERROR(INDEX(PARAMETRES!$V$7:$V$46,MATCH($H240,PARAMETRES!$R$7:$R$46,0)),""))</f>
        <v/>
      </c>
      <c r="M240" s="88" t="n"/>
      <c r="N240" s="88" t="n"/>
      <c r="O240" s="88" t="n"/>
      <c r="P240" s="94">
        <f>IF($G240="","",IF($G240&gt;=60,"Arrêt majeur — analyse 5 pourquoi",IF($G240&gt;=30,"À analyser en revue quotidienne",IF($K240="Planifié","Arrêt planifié","Aléa courant"))))</f>
        <v/>
      </c>
      <c r="Q240" s="95">
        <f>IF($A240="",0,IF(AND(OR(COCKPIT!$H$4="Toutes",$C240=COCKPIT!$H$4),OR(COCKPIT!$K$4="Toutes",$B240=COCKPIT!$K$4)),1,0))</f>
        <v/>
      </c>
    </row>
    <row r="241" ht="15" customHeight="1">
      <c r="A241" s="87" t="n"/>
      <c r="B241" s="88" t="n"/>
      <c r="C241" s="88" t="n"/>
      <c r="D241" s="88" t="n"/>
      <c r="E241" s="96" t="n"/>
      <c r="F241" s="96" t="n"/>
      <c r="G241" s="92">
        <f>IF(OR($E241="",$F241=""),"",ROUND(($F241-$E241+IF($F241&lt;$E241,1,0))*1440,0))</f>
        <v/>
      </c>
      <c r="H241" s="88" t="n"/>
      <c r="I241" s="94">
        <f>IF($H241="","",IFERROR(INDEX(PARAMETRES!$S$7:$S$46,MATCH($H241,PARAMETRES!$R$7:$R$46,0)),"Code inconnu"))</f>
        <v/>
      </c>
      <c r="J241" s="94">
        <f>IF($H241="","",IFERROR(INDEX(PARAMETRES!$T$7:$T$46,MATCH($H241,PARAMETRES!$R$7:$R$46,0)),""))</f>
        <v/>
      </c>
      <c r="K241" s="94">
        <f>IF($H241="","",IFERROR(INDEX(PARAMETRES!$U$7:$U$46,MATCH($H241,PARAMETRES!$R$7:$R$46,0)),""))</f>
        <v/>
      </c>
      <c r="L241" s="94">
        <f>IF($H241="","",IFERROR(INDEX(PARAMETRES!$V$7:$V$46,MATCH($H241,PARAMETRES!$R$7:$R$46,0)),""))</f>
        <v/>
      </c>
      <c r="M241" s="88" t="n"/>
      <c r="N241" s="88" t="n"/>
      <c r="O241" s="88" t="n"/>
      <c r="P241" s="94">
        <f>IF($G241="","",IF($G241&gt;=60,"Arrêt majeur — analyse 5 pourquoi",IF($G241&gt;=30,"À analyser en revue quotidienne",IF($K241="Planifié","Arrêt planifié","Aléa courant"))))</f>
        <v/>
      </c>
      <c r="Q241" s="95">
        <f>IF($A241="",0,IF(AND(OR(COCKPIT!$H$4="Toutes",$C241=COCKPIT!$H$4),OR(COCKPIT!$K$4="Toutes",$B241=COCKPIT!$K$4)),1,0))</f>
        <v/>
      </c>
    </row>
    <row r="242" ht="15" customHeight="1">
      <c r="A242" s="87" t="n"/>
      <c r="B242" s="88" t="n"/>
      <c r="C242" s="88" t="n"/>
      <c r="D242" s="88" t="n"/>
      <c r="E242" s="96" t="n"/>
      <c r="F242" s="96" t="n"/>
      <c r="G242" s="92">
        <f>IF(OR($E242="",$F242=""),"",ROUND(($F242-$E242+IF($F242&lt;$E242,1,0))*1440,0))</f>
        <v/>
      </c>
      <c r="H242" s="88" t="n"/>
      <c r="I242" s="94">
        <f>IF($H242="","",IFERROR(INDEX(PARAMETRES!$S$7:$S$46,MATCH($H242,PARAMETRES!$R$7:$R$46,0)),"Code inconnu"))</f>
        <v/>
      </c>
      <c r="J242" s="94">
        <f>IF($H242="","",IFERROR(INDEX(PARAMETRES!$T$7:$T$46,MATCH($H242,PARAMETRES!$R$7:$R$46,0)),""))</f>
        <v/>
      </c>
      <c r="K242" s="94">
        <f>IF($H242="","",IFERROR(INDEX(PARAMETRES!$U$7:$U$46,MATCH($H242,PARAMETRES!$R$7:$R$46,0)),""))</f>
        <v/>
      </c>
      <c r="L242" s="94">
        <f>IF($H242="","",IFERROR(INDEX(PARAMETRES!$V$7:$V$46,MATCH($H242,PARAMETRES!$R$7:$R$46,0)),""))</f>
        <v/>
      </c>
      <c r="M242" s="88" t="n"/>
      <c r="N242" s="88" t="n"/>
      <c r="O242" s="88" t="n"/>
      <c r="P242" s="94">
        <f>IF($G242="","",IF($G242&gt;=60,"Arrêt majeur — analyse 5 pourquoi",IF($G242&gt;=30,"À analyser en revue quotidienne",IF($K242="Planifié","Arrêt planifié","Aléa courant"))))</f>
        <v/>
      </c>
      <c r="Q242" s="95">
        <f>IF($A242="",0,IF(AND(OR(COCKPIT!$H$4="Toutes",$C242=COCKPIT!$H$4),OR(COCKPIT!$K$4="Toutes",$B242=COCKPIT!$K$4)),1,0))</f>
        <v/>
      </c>
    </row>
    <row r="243" ht="15" customHeight="1">
      <c r="A243" s="87" t="n"/>
      <c r="B243" s="88" t="n"/>
      <c r="C243" s="88" t="n"/>
      <c r="D243" s="88" t="n"/>
      <c r="E243" s="96" t="n"/>
      <c r="F243" s="96" t="n"/>
      <c r="G243" s="92">
        <f>IF(OR($E243="",$F243=""),"",ROUND(($F243-$E243+IF($F243&lt;$E243,1,0))*1440,0))</f>
        <v/>
      </c>
      <c r="H243" s="88" t="n"/>
      <c r="I243" s="94">
        <f>IF($H243="","",IFERROR(INDEX(PARAMETRES!$S$7:$S$46,MATCH($H243,PARAMETRES!$R$7:$R$46,0)),"Code inconnu"))</f>
        <v/>
      </c>
      <c r="J243" s="94">
        <f>IF($H243="","",IFERROR(INDEX(PARAMETRES!$T$7:$T$46,MATCH($H243,PARAMETRES!$R$7:$R$46,0)),""))</f>
        <v/>
      </c>
      <c r="K243" s="94">
        <f>IF($H243="","",IFERROR(INDEX(PARAMETRES!$U$7:$U$46,MATCH($H243,PARAMETRES!$R$7:$R$46,0)),""))</f>
        <v/>
      </c>
      <c r="L243" s="94">
        <f>IF($H243="","",IFERROR(INDEX(PARAMETRES!$V$7:$V$46,MATCH($H243,PARAMETRES!$R$7:$R$46,0)),""))</f>
        <v/>
      </c>
      <c r="M243" s="88" t="n"/>
      <c r="N243" s="88" t="n"/>
      <c r="O243" s="88" t="n"/>
      <c r="P243" s="94">
        <f>IF($G243="","",IF($G243&gt;=60,"Arrêt majeur — analyse 5 pourquoi",IF($G243&gt;=30,"À analyser en revue quotidienne",IF($K243="Planifié","Arrêt planifié","Aléa courant"))))</f>
        <v/>
      </c>
      <c r="Q243" s="95">
        <f>IF($A243="",0,IF(AND(OR(COCKPIT!$H$4="Toutes",$C243=COCKPIT!$H$4),OR(COCKPIT!$K$4="Toutes",$B243=COCKPIT!$K$4)),1,0))</f>
        <v/>
      </c>
    </row>
    <row r="244" ht="15" customHeight="1">
      <c r="A244" s="87" t="n"/>
      <c r="B244" s="88" t="n"/>
      <c r="C244" s="88" t="n"/>
      <c r="D244" s="88" t="n"/>
      <c r="E244" s="96" t="n"/>
      <c r="F244" s="96" t="n"/>
      <c r="G244" s="92">
        <f>IF(OR($E244="",$F244=""),"",ROUND(($F244-$E244+IF($F244&lt;$E244,1,0))*1440,0))</f>
        <v/>
      </c>
      <c r="H244" s="88" t="n"/>
      <c r="I244" s="94">
        <f>IF($H244="","",IFERROR(INDEX(PARAMETRES!$S$7:$S$46,MATCH($H244,PARAMETRES!$R$7:$R$46,0)),"Code inconnu"))</f>
        <v/>
      </c>
      <c r="J244" s="94">
        <f>IF($H244="","",IFERROR(INDEX(PARAMETRES!$T$7:$T$46,MATCH($H244,PARAMETRES!$R$7:$R$46,0)),""))</f>
        <v/>
      </c>
      <c r="K244" s="94">
        <f>IF($H244="","",IFERROR(INDEX(PARAMETRES!$U$7:$U$46,MATCH($H244,PARAMETRES!$R$7:$R$46,0)),""))</f>
        <v/>
      </c>
      <c r="L244" s="94">
        <f>IF($H244="","",IFERROR(INDEX(PARAMETRES!$V$7:$V$46,MATCH($H244,PARAMETRES!$R$7:$R$46,0)),""))</f>
        <v/>
      </c>
      <c r="M244" s="88" t="n"/>
      <c r="N244" s="88" t="n"/>
      <c r="O244" s="88" t="n"/>
      <c r="P244" s="94">
        <f>IF($G244="","",IF($G244&gt;=60,"Arrêt majeur — analyse 5 pourquoi",IF($G244&gt;=30,"À analyser en revue quotidienne",IF($K244="Planifié","Arrêt planifié","Aléa courant"))))</f>
        <v/>
      </c>
      <c r="Q244" s="95">
        <f>IF($A244="",0,IF(AND(OR(COCKPIT!$H$4="Toutes",$C244=COCKPIT!$H$4),OR(COCKPIT!$K$4="Toutes",$B244=COCKPIT!$K$4)),1,0))</f>
        <v/>
      </c>
    </row>
    <row r="245" ht="15" customHeight="1">
      <c r="A245" s="87" t="n"/>
      <c r="B245" s="88" t="n"/>
      <c r="C245" s="88" t="n"/>
      <c r="D245" s="88" t="n"/>
      <c r="E245" s="96" t="n"/>
      <c r="F245" s="96" t="n"/>
      <c r="G245" s="92">
        <f>IF(OR($E245="",$F245=""),"",ROUND(($F245-$E245+IF($F245&lt;$E245,1,0))*1440,0))</f>
        <v/>
      </c>
      <c r="H245" s="88" t="n"/>
      <c r="I245" s="94">
        <f>IF($H245="","",IFERROR(INDEX(PARAMETRES!$S$7:$S$46,MATCH($H245,PARAMETRES!$R$7:$R$46,0)),"Code inconnu"))</f>
        <v/>
      </c>
      <c r="J245" s="94">
        <f>IF($H245="","",IFERROR(INDEX(PARAMETRES!$T$7:$T$46,MATCH($H245,PARAMETRES!$R$7:$R$46,0)),""))</f>
        <v/>
      </c>
      <c r="K245" s="94">
        <f>IF($H245="","",IFERROR(INDEX(PARAMETRES!$U$7:$U$46,MATCH($H245,PARAMETRES!$R$7:$R$46,0)),""))</f>
        <v/>
      </c>
      <c r="L245" s="94">
        <f>IF($H245="","",IFERROR(INDEX(PARAMETRES!$V$7:$V$46,MATCH($H245,PARAMETRES!$R$7:$R$46,0)),""))</f>
        <v/>
      </c>
      <c r="M245" s="88" t="n"/>
      <c r="N245" s="88" t="n"/>
      <c r="O245" s="88" t="n"/>
      <c r="P245" s="94">
        <f>IF($G245="","",IF($G245&gt;=60,"Arrêt majeur — analyse 5 pourquoi",IF($G245&gt;=30,"À analyser en revue quotidienne",IF($K245="Planifié","Arrêt planifié","Aléa courant"))))</f>
        <v/>
      </c>
      <c r="Q245" s="95">
        <f>IF($A245="",0,IF(AND(OR(COCKPIT!$H$4="Toutes",$C245=COCKPIT!$H$4),OR(COCKPIT!$K$4="Toutes",$B245=COCKPIT!$K$4)),1,0))</f>
        <v/>
      </c>
    </row>
    <row r="246" ht="15" customHeight="1">
      <c r="A246" s="87" t="n"/>
      <c r="B246" s="88" t="n"/>
      <c r="C246" s="88" t="n"/>
      <c r="D246" s="88" t="n"/>
      <c r="E246" s="96" t="n"/>
      <c r="F246" s="96" t="n"/>
      <c r="G246" s="92">
        <f>IF(OR($E246="",$F246=""),"",ROUND(($F246-$E246+IF($F246&lt;$E246,1,0))*1440,0))</f>
        <v/>
      </c>
      <c r="H246" s="88" t="n"/>
      <c r="I246" s="94">
        <f>IF($H246="","",IFERROR(INDEX(PARAMETRES!$S$7:$S$46,MATCH($H246,PARAMETRES!$R$7:$R$46,0)),"Code inconnu"))</f>
        <v/>
      </c>
      <c r="J246" s="94">
        <f>IF($H246="","",IFERROR(INDEX(PARAMETRES!$T$7:$T$46,MATCH($H246,PARAMETRES!$R$7:$R$46,0)),""))</f>
        <v/>
      </c>
      <c r="K246" s="94">
        <f>IF($H246="","",IFERROR(INDEX(PARAMETRES!$U$7:$U$46,MATCH($H246,PARAMETRES!$R$7:$R$46,0)),""))</f>
        <v/>
      </c>
      <c r="L246" s="94">
        <f>IF($H246="","",IFERROR(INDEX(PARAMETRES!$V$7:$V$46,MATCH($H246,PARAMETRES!$R$7:$R$46,0)),""))</f>
        <v/>
      </c>
      <c r="M246" s="88" t="n"/>
      <c r="N246" s="88" t="n"/>
      <c r="O246" s="88" t="n"/>
      <c r="P246" s="94">
        <f>IF($G246="","",IF($G246&gt;=60,"Arrêt majeur — analyse 5 pourquoi",IF($G246&gt;=30,"À analyser en revue quotidienne",IF($K246="Planifié","Arrêt planifié","Aléa courant"))))</f>
        <v/>
      </c>
      <c r="Q246" s="95">
        <f>IF($A246="",0,IF(AND(OR(COCKPIT!$H$4="Toutes",$C246=COCKPIT!$H$4),OR(COCKPIT!$K$4="Toutes",$B246=COCKPIT!$K$4)),1,0))</f>
        <v/>
      </c>
    </row>
    <row r="247" ht="15" customHeight="1">
      <c r="A247" s="87" t="n"/>
      <c r="B247" s="88" t="n"/>
      <c r="C247" s="88" t="n"/>
      <c r="D247" s="88" t="n"/>
      <c r="E247" s="96" t="n"/>
      <c r="F247" s="96" t="n"/>
      <c r="G247" s="92">
        <f>IF(OR($E247="",$F247=""),"",ROUND(($F247-$E247+IF($F247&lt;$E247,1,0))*1440,0))</f>
        <v/>
      </c>
      <c r="H247" s="88" t="n"/>
      <c r="I247" s="94">
        <f>IF($H247="","",IFERROR(INDEX(PARAMETRES!$S$7:$S$46,MATCH($H247,PARAMETRES!$R$7:$R$46,0)),"Code inconnu"))</f>
        <v/>
      </c>
      <c r="J247" s="94">
        <f>IF($H247="","",IFERROR(INDEX(PARAMETRES!$T$7:$T$46,MATCH($H247,PARAMETRES!$R$7:$R$46,0)),""))</f>
        <v/>
      </c>
      <c r="K247" s="94">
        <f>IF($H247="","",IFERROR(INDEX(PARAMETRES!$U$7:$U$46,MATCH($H247,PARAMETRES!$R$7:$R$46,0)),""))</f>
        <v/>
      </c>
      <c r="L247" s="94">
        <f>IF($H247="","",IFERROR(INDEX(PARAMETRES!$V$7:$V$46,MATCH($H247,PARAMETRES!$R$7:$R$46,0)),""))</f>
        <v/>
      </c>
      <c r="M247" s="88" t="n"/>
      <c r="N247" s="88" t="n"/>
      <c r="O247" s="88" t="n"/>
      <c r="P247" s="94">
        <f>IF($G247="","",IF($G247&gt;=60,"Arrêt majeur — analyse 5 pourquoi",IF($G247&gt;=30,"À analyser en revue quotidienne",IF($K247="Planifié","Arrêt planifié","Aléa courant"))))</f>
        <v/>
      </c>
      <c r="Q247" s="95">
        <f>IF($A247="",0,IF(AND(OR(COCKPIT!$H$4="Toutes",$C247=COCKPIT!$H$4),OR(COCKPIT!$K$4="Toutes",$B247=COCKPIT!$K$4)),1,0))</f>
        <v/>
      </c>
    </row>
    <row r="248" ht="15" customHeight="1">
      <c r="A248" s="87" t="n"/>
      <c r="B248" s="88" t="n"/>
      <c r="C248" s="88" t="n"/>
      <c r="D248" s="88" t="n"/>
      <c r="E248" s="96" t="n"/>
      <c r="F248" s="96" t="n"/>
      <c r="G248" s="92">
        <f>IF(OR($E248="",$F248=""),"",ROUND(($F248-$E248+IF($F248&lt;$E248,1,0))*1440,0))</f>
        <v/>
      </c>
      <c r="H248" s="88" t="n"/>
      <c r="I248" s="94">
        <f>IF($H248="","",IFERROR(INDEX(PARAMETRES!$S$7:$S$46,MATCH($H248,PARAMETRES!$R$7:$R$46,0)),"Code inconnu"))</f>
        <v/>
      </c>
      <c r="J248" s="94">
        <f>IF($H248="","",IFERROR(INDEX(PARAMETRES!$T$7:$T$46,MATCH($H248,PARAMETRES!$R$7:$R$46,0)),""))</f>
        <v/>
      </c>
      <c r="K248" s="94">
        <f>IF($H248="","",IFERROR(INDEX(PARAMETRES!$U$7:$U$46,MATCH($H248,PARAMETRES!$R$7:$R$46,0)),""))</f>
        <v/>
      </c>
      <c r="L248" s="94">
        <f>IF($H248="","",IFERROR(INDEX(PARAMETRES!$V$7:$V$46,MATCH($H248,PARAMETRES!$R$7:$R$46,0)),""))</f>
        <v/>
      </c>
      <c r="M248" s="88" t="n"/>
      <c r="N248" s="88" t="n"/>
      <c r="O248" s="88" t="n"/>
      <c r="P248" s="94">
        <f>IF($G248="","",IF($G248&gt;=60,"Arrêt majeur — analyse 5 pourquoi",IF($G248&gt;=30,"À analyser en revue quotidienne",IF($K248="Planifié","Arrêt planifié","Aléa courant"))))</f>
        <v/>
      </c>
      <c r="Q248" s="95">
        <f>IF($A248="",0,IF(AND(OR(COCKPIT!$H$4="Toutes",$C248=COCKPIT!$H$4),OR(COCKPIT!$K$4="Toutes",$B248=COCKPIT!$K$4)),1,0))</f>
        <v/>
      </c>
    </row>
    <row r="249" ht="15" customHeight="1">
      <c r="A249" s="87" t="n"/>
      <c r="B249" s="88" t="n"/>
      <c r="C249" s="88" t="n"/>
      <c r="D249" s="88" t="n"/>
      <c r="E249" s="96" t="n"/>
      <c r="F249" s="96" t="n"/>
      <c r="G249" s="92">
        <f>IF(OR($E249="",$F249=""),"",ROUND(($F249-$E249+IF($F249&lt;$E249,1,0))*1440,0))</f>
        <v/>
      </c>
      <c r="H249" s="88" t="n"/>
      <c r="I249" s="94">
        <f>IF($H249="","",IFERROR(INDEX(PARAMETRES!$S$7:$S$46,MATCH($H249,PARAMETRES!$R$7:$R$46,0)),"Code inconnu"))</f>
        <v/>
      </c>
      <c r="J249" s="94">
        <f>IF($H249="","",IFERROR(INDEX(PARAMETRES!$T$7:$T$46,MATCH($H249,PARAMETRES!$R$7:$R$46,0)),""))</f>
        <v/>
      </c>
      <c r="K249" s="94">
        <f>IF($H249="","",IFERROR(INDEX(PARAMETRES!$U$7:$U$46,MATCH($H249,PARAMETRES!$R$7:$R$46,0)),""))</f>
        <v/>
      </c>
      <c r="L249" s="94">
        <f>IF($H249="","",IFERROR(INDEX(PARAMETRES!$V$7:$V$46,MATCH($H249,PARAMETRES!$R$7:$R$46,0)),""))</f>
        <v/>
      </c>
      <c r="M249" s="88" t="n"/>
      <c r="N249" s="88" t="n"/>
      <c r="O249" s="88" t="n"/>
      <c r="P249" s="94">
        <f>IF($G249="","",IF($G249&gt;=60,"Arrêt majeur — analyse 5 pourquoi",IF($G249&gt;=30,"À analyser en revue quotidienne",IF($K249="Planifié","Arrêt planifié","Aléa courant"))))</f>
        <v/>
      </c>
      <c r="Q249" s="95">
        <f>IF($A249="",0,IF(AND(OR(COCKPIT!$H$4="Toutes",$C249=COCKPIT!$H$4),OR(COCKPIT!$K$4="Toutes",$B249=COCKPIT!$K$4)),1,0))</f>
        <v/>
      </c>
    </row>
    <row r="250" ht="15" customHeight="1">
      <c r="A250" s="87" t="n"/>
      <c r="B250" s="88" t="n"/>
      <c r="C250" s="88" t="n"/>
      <c r="D250" s="88" t="n"/>
      <c r="E250" s="96" t="n"/>
      <c r="F250" s="96" t="n"/>
      <c r="G250" s="92">
        <f>IF(OR($E250="",$F250=""),"",ROUND(($F250-$E250+IF($F250&lt;$E250,1,0))*1440,0))</f>
        <v/>
      </c>
      <c r="H250" s="88" t="n"/>
      <c r="I250" s="94">
        <f>IF($H250="","",IFERROR(INDEX(PARAMETRES!$S$7:$S$46,MATCH($H250,PARAMETRES!$R$7:$R$46,0)),"Code inconnu"))</f>
        <v/>
      </c>
      <c r="J250" s="94">
        <f>IF($H250="","",IFERROR(INDEX(PARAMETRES!$T$7:$T$46,MATCH($H250,PARAMETRES!$R$7:$R$46,0)),""))</f>
        <v/>
      </c>
      <c r="K250" s="94">
        <f>IF($H250="","",IFERROR(INDEX(PARAMETRES!$U$7:$U$46,MATCH($H250,PARAMETRES!$R$7:$R$46,0)),""))</f>
        <v/>
      </c>
      <c r="L250" s="94">
        <f>IF($H250="","",IFERROR(INDEX(PARAMETRES!$V$7:$V$46,MATCH($H250,PARAMETRES!$R$7:$R$46,0)),""))</f>
        <v/>
      </c>
      <c r="M250" s="88" t="n"/>
      <c r="N250" s="88" t="n"/>
      <c r="O250" s="88" t="n"/>
      <c r="P250" s="94">
        <f>IF($G250="","",IF($G250&gt;=60,"Arrêt majeur — analyse 5 pourquoi",IF($G250&gt;=30,"À analyser en revue quotidienne",IF($K250="Planifié","Arrêt planifié","Aléa courant"))))</f>
        <v/>
      </c>
      <c r="Q250" s="95">
        <f>IF($A250="",0,IF(AND(OR(COCKPIT!$H$4="Toutes",$C250=COCKPIT!$H$4),OR(COCKPIT!$K$4="Toutes",$B250=COCKPIT!$K$4)),1,0))</f>
        <v/>
      </c>
    </row>
    <row r="251" ht="15" customHeight="1">
      <c r="A251" s="87" t="n"/>
      <c r="B251" s="88" t="n"/>
      <c r="C251" s="88" t="n"/>
      <c r="D251" s="88" t="n"/>
      <c r="E251" s="96" t="n"/>
      <c r="F251" s="96" t="n"/>
      <c r="G251" s="92">
        <f>IF(OR($E251="",$F251=""),"",ROUND(($F251-$E251+IF($F251&lt;$E251,1,0))*1440,0))</f>
        <v/>
      </c>
      <c r="H251" s="88" t="n"/>
      <c r="I251" s="94">
        <f>IF($H251="","",IFERROR(INDEX(PARAMETRES!$S$7:$S$46,MATCH($H251,PARAMETRES!$R$7:$R$46,0)),"Code inconnu"))</f>
        <v/>
      </c>
      <c r="J251" s="94">
        <f>IF($H251="","",IFERROR(INDEX(PARAMETRES!$T$7:$T$46,MATCH($H251,PARAMETRES!$R$7:$R$46,0)),""))</f>
        <v/>
      </c>
      <c r="K251" s="94">
        <f>IF($H251="","",IFERROR(INDEX(PARAMETRES!$U$7:$U$46,MATCH($H251,PARAMETRES!$R$7:$R$46,0)),""))</f>
        <v/>
      </c>
      <c r="L251" s="94">
        <f>IF($H251="","",IFERROR(INDEX(PARAMETRES!$V$7:$V$46,MATCH($H251,PARAMETRES!$R$7:$R$46,0)),""))</f>
        <v/>
      </c>
      <c r="M251" s="88" t="n"/>
      <c r="N251" s="88" t="n"/>
      <c r="O251" s="88" t="n"/>
      <c r="P251" s="94">
        <f>IF($G251="","",IF($G251&gt;=60,"Arrêt majeur — analyse 5 pourquoi",IF($G251&gt;=30,"À analyser en revue quotidienne",IF($K251="Planifié","Arrêt planifié","Aléa courant"))))</f>
        <v/>
      </c>
      <c r="Q251" s="95">
        <f>IF($A251="",0,IF(AND(OR(COCKPIT!$H$4="Toutes",$C251=COCKPIT!$H$4),OR(COCKPIT!$K$4="Toutes",$B251=COCKPIT!$K$4)),1,0))</f>
        <v/>
      </c>
    </row>
    <row r="252" ht="15" customHeight="1">
      <c r="A252" s="87" t="n"/>
      <c r="B252" s="88" t="n"/>
      <c r="C252" s="88" t="n"/>
      <c r="D252" s="88" t="n"/>
      <c r="E252" s="96" t="n"/>
      <c r="F252" s="96" t="n"/>
      <c r="G252" s="92">
        <f>IF(OR($E252="",$F252=""),"",ROUND(($F252-$E252+IF($F252&lt;$E252,1,0))*1440,0))</f>
        <v/>
      </c>
      <c r="H252" s="88" t="n"/>
      <c r="I252" s="94">
        <f>IF($H252="","",IFERROR(INDEX(PARAMETRES!$S$7:$S$46,MATCH($H252,PARAMETRES!$R$7:$R$46,0)),"Code inconnu"))</f>
        <v/>
      </c>
      <c r="J252" s="94">
        <f>IF($H252="","",IFERROR(INDEX(PARAMETRES!$T$7:$T$46,MATCH($H252,PARAMETRES!$R$7:$R$46,0)),""))</f>
        <v/>
      </c>
      <c r="K252" s="94">
        <f>IF($H252="","",IFERROR(INDEX(PARAMETRES!$U$7:$U$46,MATCH($H252,PARAMETRES!$R$7:$R$46,0)),""))</f>
        <v/>
      </c>
      <c r="L252" s="94">
        <f>IF($H252="","",IFERROR(INDEX(PARAMETRES!$V$7:$V$46,MATCH($H252,PARAMETRES!$R$7:$R$46,0)),""))</f>
        <v/>
      </c>
      <c r="M252" s="88" t="n"/>
      <c r="N252" s="88" t="n"/>
      <c r="O252" s="88" t="n"/>
      <c r="P252" s="94">
        <f>IF($G252="","",IF($G252&gt;=60,"Arrêt majeur — analyse 5 pourquoi",IF($G252&gt;=30,"À analyser en revue quotidienne",IF($K252="Planifié","Arrêt planifié","Aléa courant"))))</f>
        <v/>
      </c>
      <c r="Q252" s="95">
        <f>IF($A252="",0,IF(AND(OR(COCKPIT!$H$4="Toutes",$C252=COCKPIT!$H$4),OR(COCKPIT!$K$4="Toutes",$B252=COCKPIT!$K$4)),1,0))</f>
        <v/>
      </c>
    </row>
    <row r="253" ht="15" customHeight="1">
      <c r="A253" s="87" t="n"/>
      <c r="B253" s="88" t="n"/>
      <c r="C253" s="88" t="n"/>
      <c r="D253" s="88" t="n"/>
      <c r="E253" s="96" t="n"/>
      <c r="F253" s="96" t="n"/>
      <c r="G253" s="92">
        <f>IF(OR($E253="",$F253=""),"",ROUND(($F253-$E253+IF($F253&lt;$E253,1,0))*1440,0))</f>
        <v/>
      </c>
      <c r="H253" s="88" t="n"/>
      <c r="I253" s="94">
        <f>IF($H253="","",IFERROR(INDEX(PARAMETRES!$S$7:$S$46,MATCH($H253,PARAMETRES!$R$7:$R$46,0)),"Code inconnu"))</f>
        <v/>
      </c>
      <c r="J253" s="94">
        <f>IF($H253="","",IFERROR(INDEX(PARAMETRES!$T$7:$T$46,MATCH($H253,PARAMETRES!$R$7:$R$46,0)),""))</f>
        <v/>
      </c>
      <c r="K253" s="94">
        <f>IF($H253="","",IFERROR(INDEX(PARAMETRES!$U$7:$U$46,MATCH($H253,PARAMETRES!$R$7:$R$46,0)),""))</f>
        <v/>
      </c>
      <c r="L253" s="94">
        <f>IF($H253="","",IFERROR(INDEX(PARAMETRES!$V$7:$V$46,MATCH($H253,PARAMETRES!$R$7:$R$46,0)),""))</f>
        <v/>
      </c>
      <c r="M253" s="88" t="n"/>
      <c r="N253" s="88" t="n"/>
      <c r="O253" s="88" t="n"/>
      <c r="P253" s="94">
        <f>IF($G253="","",IF($G253&gt;=60,"Arrêt majeur — analyse 5 pourquoi",IF($G253&gt;=30,"À analyser en revue quotidienne",IF($K253="Planifié","Arrêt planifié","Aléa courant"))))</f>
        <v/>
      </c>
      <c r="Q253" s="95">
        <f>IF($A253="",0,IF(AND(OR(COCKPIT!$H$4="Toutes",$C253=COCKPIT!$H$4),OR(COCKPIT!$K$4="Toutes",$B253=COCKPIT!$K$4)),1,0))</f>
        <v/>
      </c>
    </row>
    <row r="254" ht="15" customHeight="1">
      <c r="A254" s="87" t="n"/>
      <c r="B254" s="88" t="n"/>
      <c r="C254" s="88" t="n"/>
      <c r="D254" s="88" t="n"/>
      <c r="E254" s="96" t="n"/>
      <c r="F254" s="96" t="n"/>
      <c r="G254" s="92">
        <f>IF(OR($E254="",$F254=""),"",ROUND(($F254-$E254+IF($F254&lt;$E254,1,0))*1440,0))</f>
        <v/>
      </c>
      <c r="H254" s="88" t="n"/>
      <c r="I254" s="94">
        <f>IF($H254="","",IFERROR(INDEX(PARAMETRES!$S$7:$S$46,MATCH($H254,PARAMETRES!$R$7:$R$46,0)),"Code inconnu"))</f>
        <v/>
      </c>
      <c r="J254" s="94">
        <f>IF($H254="","",IFERROR(INDEX(PARAMETRES!$T$7:$T$46,MATCH($H254,PARAMETRES!$R$7:$R$46,0)),""))</f>
        <v/>
      </c>
      <c r="K254" s="94">
        <f>IF($H254="","",IFERROR(INDEX(PARAMETRES!$U$7:$U$46,MATCH($H254,PARAMETRES!$R$7:$R$46,0)),""))</f>
        <v/>
      </c>
      <c r="L254" s="94">
        <f>IF($H254="","",IFERROR(INDEX(PARAMETRES!$V$7:$V$46,MATCH($H254,PARAMETRES!$R$7:$R$46,0)),""))</f>
        <v/>
      </c>
      <c r="M254" s="88" t="n"/>
      <c r="N254" s="88" t="n"/>
      <c r="O254" s="88" t="n"/>
      <c r="P254" s="94">
        <f>IF($G254="","",IF($G254&gt;=60,"Arrêt majeur — analyse 5 pourquoi",IF($G254&gt;=30,"À analyser en revue quotidienne",IF($K254="Planifié","Arrêt planifié","Aléa courant"))))</f>
        <v/>
      </c>
      <c r="Q254" s="95">
        <f>IF($A254="",0,IF(AND(OR(COCKPIT!$H$4="Toutes",$C254=COCKPIT!$H$4),OR(COCKPIT!$K$4="Toutes",$B254=COCKPIT!$K$4)),1,0))</f>
        <v/>
      </c>
    </row>
    <row r="255" ht="15" customHeight="1">
      <c r="A255" s="87" t="n"/>
      <c r="B255" s="88" t="n"/>
      <c r="C255" s="88" t="n"/>
      <c r="D255" s="88" t="n"/>
      <c r="E255" s="96" t="n"/>
      <c r="F255" s="96" t="n"/>
      <c r="G255" s="92">
        <f>IF(OR($E255="",$F255=""),"",ROUND(($F255-$E255+IF($F255&lt;$E255,1,0))*1440,0))</f>
        <v/>
      </c>
      <c r="H255" s="88" t="n"/>
      <c r="I255" s="94">
        <f>IF($H255="","",IFERROR(INDEX(PARAMETRES!$S$7:$S$46,MATCH($H255,PARAMETRES!$R$7:$R$46,0)),"Code inconnu"))</f>
        <v/>
      </c>
      <c r="J255" s="94">
        <f>IF($H255="","",IFERROR(INDEX(PARAMETRES!$T$7:$T$46,MATCH($H255,PARAMETRES!$R$7:$R$46,0)),""))</f>
        <v/>
      </c>
      <c r="K255" s="94">
        <f>IF($H255="","",IFERROR(INDEX(PARAMETRES!$U$7:$U$46,MATCH($H255,PARAMETRES!$R$7:$R$46,0)),""))</f>
        <v/>
      </c>
      <c r="L255" s="94">
        <f>IF($H255="","",IFERROR(INDEX(PARAMETRES!$V$7:$V$46,MATCH($H255,PARAMETRES!$R$7:$R$46,0)),""))</f>
        <v/>
      </c>
      <c r="M255" s="88" t="n"/>
      <c r="N255" s="88" t="n"/>
      <c r="O255" s="88" t="n"/>
      <c r="P255" s="94">
        <f>IF($G255="","",IF($G255&gt;=60,"Arrêt majeur — analyse 5 pourquoi",IF($G255&gt;=30,"À analyser en revue quotidienne",IF($K255="Planifié","Arrêt planifié","Aléa courant"))))</f>
        <v/>
      </c>
      <c r="Q255" s="95">
        <f>IF($A255="",0,IF(AND(OR(COCKPIT!$H$4="Toutes",$C255=COCKPIT!$H$4),OR(COCKPIT!$K$4="Toutes",$B255=COCKPIT!$K$4)),1,0))</f>
        <v/>
      </c>
    </row>
    <row r="256" ht="15" customHeight="1">
      <c r="A256" s="87" t="n"/>
      <c r="B256" s="88" t="n"/>
      <c r="C256" s="88" t="n"/>
      <c r="D256" s="88" t="n"/>
      <c r="E256" s="96" t="n"/>
      <c r="F256" s="96" t="n"/>
      <c r="G256" s="92">
        <f>IF(OR($E256="",$F256=""),"",ROUND(($F256-$E256+IF($F256&lt;$E256,1,0))*1440,0))</f>
        <v/>
      </c>
      <c r="H256" s="88" t="n"/>
      <c r="I256" s="94">
        <f>IF($H256="","",IFERROR(INDEX(PARAMETRES!$S$7:$S$46,MATCH($H256,PARAMETRES!$R$7:$R$46,0)),"Code inconnu"))</f>
        <v/>
      </c>
      <c r="J256" s="94">
        <f>IF($H256="","",IFERROR(INDEX(PARAMETRES!$T$7:$T$46,MATCH($H256,PARAMETRES!$R$7:$R$46,0)),""))</f>
        <v/>
      </c>
      <c r="K256" s="94">
        <f>IF($H256="","",IFERROR(INDEX(PARAMETRES!$U$7:$U$46,MATCH($H256,PARAMETRES!$R$7:$R$46,0)),""))</f>
        <v/>
      </c>
      <c r="L256" s="94">
        <f>IF($H256="","",IFERROR(INDEX(PARAMETRES!$V$7:$V$46,MATCH($H256,PARAMETRES!$R$7:$R$46,0)),""))</f>
        <v/>
      </c>
      <c r="M256" s="88" t="n"/>
      <c r="N256" s="88" t="n"/>
      <c r="O256" s="88" t="n"/>
      <c r="P256" s="94">
        <f>IF($G256="","",IF($G256&gt;=60,"Arrêt majeur — analyse 5 pourquoi",IF($G256&gt;=30,"À analyser en revue quotidienne",IF($K256="Planifié","Arrêt planifié","Aléa courant"))))</f>
        <v/>
      </c>
      <c r="Q256" s="95">
        <f>IF($A256="",0,IF(AND(OR(COCKPIT!$H$4="Toutes",$C256=COCKPIT!$H$4),OR(COCKPIT!$K$4="Toutes",$B256=COCKPIT!$K$4)),1,0))</f>
        <v/>
      </c>
    </row>
    <row r="257" ht="15" customHeight="1">
      <c r="A257" s="87" t="n"/>
      <c r="B257" s="88" t="n"/>
      <c r="C257" s="88" t="n"/>
      <c r="D257" s="88" t="n"/>
      <c r="E257" s="96" t="n"/>
      <c r="F257" s="96" t="n"/>
      <c r="G257" s="92">
        <f>IF(OR($E257="",$F257=""),"",ROUND(($F257-$E257+IF($F257&lt;$E257,1,0))*1440,0))</f>
        <v/>
      </c>
      <c r="H257" s="88" t="n"/>
      <c r="I257" s="94">
        <f>IF($H257="","",IFERROR(INDEX(PARAMETRES!$S$7:$S$46,MATCH($H257,PARAMETRES!$R$7:$R$46,0)),"Code inconnu"))</f>
        <v/>
      </c>
      <c r="J257" s="94">
        <f>IF($H257="","",IFERROR(INDEX(PARAMETRES!$T$7:$T$46,MATCH($H257,PARAMETRES!$R$7:$R$46,0)),""))</f>
        <v/>
      </c>
      <c r="K257" s="94">
        <f>IF($H257="","",IFERROR(INDEX(PARAMETRES!$U$7:$U$46,MATCH($H257,PARAMETRES!$R$7:$R$46,0)),""))</f>
        <v/>
      </c>
      <c r="L257" s="94">
        <f>IF($H257="","",IFERROR(INDEX(PARAMETRES!$V$7:$V$46,MATCH($H257,PARAMETRES!$R$7:$R$46,0)),""))</f>
        <v/>
      </c>
      <c r="M257" s="88" t="n"/>
      <c r="N257" s="88" t="n"/>
      <c r="O257" s="88" t="n"/>
      <c r="P257" s="94">
        <f>IF($G257="","",IF($G257&gt;=60,"Arrêt majeur — analyse 5 pourquoi",IF($G257&gt;=30,"À analyser en revue quotidienne",IF($K257="Planifié","Arrêt planifié","Aléa courant"))))</f>
        <v/>
      </c>
      <c r="Q257" s="95">
        <f>IF($A257="",0,IF(AND(OR(COCKPIT!$H$4="Toutes",$C257=COCKPIT!$H$4),OR(COCKPIT!$K$4="Toutes",$B257=COCKPIT!$K$4)),1,0))</f>
        <v/>
      </c>
    </row>
    <row r="258" ht="15" customHeight="1">
      <c r="A258" s="87" t="n"/>
      <c r="B258" s="88" t="n"/>
      <c r="C258" s="88" t="n"/>
      <c r="D258" s="88" t="n"/>
      <c r="E258" s="96" t="n"/>
      <c r="F258" s="96" t="n"/>
      <c r="G258" s="92">
        <f>IF(OR($E258="",$F258=""),"",ROUND(($F258-$E258+IF($F258&lt;$E258,1,0))*1440,0))</f>
        <v/>
      </c>
      <c r="H258" s="88" t="n"/>
      <c r="I258" s="94">
        <f>IF($H258="","",IFERROR(INDEX(PARAMETRES!$S$7:$S$46,MATCH($H258,PARAMETRES!$R$7:$R$46,0)),"Code inconnu"))</f>
        <v/>
      </c>
      <c r="J258" s="94">
        <f>IF($H258="","",IFERROR(INDEX(PARAMETRES!$T$7:$T$46,MATCH($H258,PARAMETRES!$R$7:$R$46,0)),""))</f>
        <v/>
      </c>
      <c r="K258" s="94">
        <f>IF($H258="","",IFERROR(INDEX(PARAMETRES!$U$7:$U$46,MATCH($H258,PARAMETRES!$R$7:$R$46,0)),""))</f>
        <v/>
      </c>
      <c r="L258" s="94">
        <f>IF($H258="","",IFERROR(INDEX(PARAMETRES!$V$7:$V$46,MATCH($H258,PARAMETRES!$R$7:$R$46,0)),""))</f>
        <v/>
      </c>
      <c r="M258" s="88" t="n"/>
      <c r="N258" s="88" t="n"/>
      <c r="O258" s="88" t="n"/>
      <c r="P258" s="94">
        <f>IF($G258="","",IF($G258&gt;=60,"Arrêt majeur — analyse 5 pourquoi",IF($G258&gt;=30,"À analyser en revue quotidienne",IF($K258="Planifié","Arrêt planifié","Aléa courant"))))</f>
        <v/>
      </c>
      <c r="Q258" s="95">
        <f>IF($A258="",0,IF(AND(OR(COCKPIT!$H$4="Toutes",$C258=COCKPIT!$H$4),OR(COCKPIT!$K$4="Toutes",$B258=COCKPIT!$K$4)),1,0))</f>
        <v/>
      </c>
    </row>
    <row r="259" ht="15" customHeight="1">
      <c r="A259" s="87" t="n"/>
      <c r="B259" s="88" t="n"/>
      <c r="C259" s="88" t="n"/>
      <c r="D259" s="88" t="n"/>
      <c r="E259" s="96" t="n"/>
      <c r="F259" s="96" t="n"/>
      <c r="G259" s="92">
        <f>IF(OR($E259="",$F259=""),"",ROUND(($F259-$E259+IF($F259&lt;$E259,1,0))*1440,0))</f>
        <v/>
      </c>
      <c r="H259" s="88" t="n"/>
      <c r="I259" s="94">
        <f>IF($H259="","",IFERROR(INDEX(PARAMETRES!$S$7:$S$46,MATCH($H259,PARAMETRES!$R$7:$R$46,0)),"Code inconnu"))</f>
        <v/>
      </c>
      <c r="J259" s="94">
        <f>IF($H259="","",IFERROR(INDEX(PARAMETRES!$T$7:$T$46,MATCH($H259,PARAMETRES!$R$7:$R$46,0)),""))</f>
        <v/>
      </c>
      <c r="K259" s="94">
        <f>IF($H259="","",IFERROR(INDEX(PARAMETRES!$U$7:$U$46,MATCH($H259,PARAMETRES!$R$7:$R$46,0)),""))</f>
        <v/>
      </c>
      <c r="L259" s="94">
        <f>IF($H259="","",IFERROR(INDEX(PARAMETRES!$V$7:$V$46,MATCH($H259,PARAMETRES!$R$7:$R$46,0)),""))</f>
        <v/>
      </c>
      <c r="M259" s="88" t="n"/>
      <c r="N259" s="88" t="n"/>
      <c r="O259" s="88" t="n"/>
      <c r="P259" s="94">
        <f>IF($G259="","",IF($G259&gt;=60,"Arrêt majeur — analyse 5 pourquoi",IF($G259&gt;=30,"À analyser en revue quotidienne",IF($K259="Planifié","Arrêt planifié","Aléa courant"))))</f>
        <v/>
      </c>
      <c r="Q259" s="95">
        <f>IF($A259="",0,IF(AND(OR(COCKPIT!$H$4="Toutes",$C259=COCKPIT!$H$4),OR(COCKPIT!$K$4="Toutes",$B259=COCKPIT!$K$4)),1,0))</f>
        <v/>
      </c>
    </row>
    <row r="260" ht="15" customHeight="1">
      <c r="A260" s="87" t="n"/>
      <c r="B260" s="88" t="n"/>
      <c r="C260" s="88" t="n"/>
      <c r="D260" s="88" t="n"/>
      <c r="E260" s="96" t="n"/>
      <c r="F260" s="96" t="n"/>
      <c r="G260" s="92">
        <f>IF(OR($E260="",$F260=""),"",ROUND(($F260-$E260+IF($F260&lt;$E260,1,0))*1440,0))</f>
        <v/>
      </c>
      <c r="H260" s="88" t="n"/>
      <c r="I260" s="94">
        <f>IF($H260="","",IFERROR(INDEX(PARAMETRES!$S$7:$S$46,MATCH($H260,PARAMETRES!$R$7:$R$46,0)),"Code inconnu"))</f>
        <v/>
      </c>
      <c r="J260" s="94">
        <f>IF($H260="","",IFERROR(INDEX(PARAMETRES!$T$7:$T$46,MATCH($H260,PARAMETRES!$R$7:$R$46,0)),""))</f>
        <v/>
      </c>
      <c r="K260" s="94">
        <f>IF($H260="","",IFERROR(INDEX(PARAMETRES!$U$7:$U$46,MATCH($H260,PARAMETRES!$R$7:$R$46,0)),""))</f>
        <v/>
      </c>
      <c r="L260" s="94">
        <f>IF($H260="","",IFERROR(INDEX(PARAMETRES!$V$7:$V$46,MATCH($H260,PARAMETRES!$R$7:$R$46,0)),""))</f>
        <v/>
      </c>
      <c r="M260" s="88" t="n"/>
      <c r="N260" s="88" t="n"/>
      <c r="O260" s="88" t="n"/>
      <c r="P260" s="94">
        <f>IF($G260="","",IF($G260&gt;=60,"Arrêt majeur — analyse 5 pourquoi",IF($G260&gt;=30,"À analyser en revue quotidienne",IF($K260="Planifié","Arrêt planifié","Aléa courant"))))</f>
        <v/>
      </c>
      <c r="Q260" s="95">
        <f>IF($A260="",0,IF(AND(OR(COCKPIT!$H$4="Toutes",$C260=COCKPIT!$H$4),OR(COCKPIT!$K$4="Toutes",$B260=COCKPIT!$K$4)),1,0))</f>
        <v/>
      </c>
    </row>
    <row r="261" ht="15" customHeight="1">
      <c r="A261" s="87" t="n"/>
      <c r="B261" s="88" t="n"/>
      <c r="C261" s="88" t="n"/>
      <c r="D261" s="88" t="n"/>
      <c r="E261" s="96" t="n"/>
      <c r="F261" s="96" t="n"/>
      <c r="G261" s="92">
        <f>IF(OR($E261="",$F261=""),"",ROUND(($F261-$E261+IF($F261&lt;$E261,1,0))*1440,0))</f>
        <v/>
      </c>
      <c r="H261" s="88" t="n"/>
      <c r="I261" s="94">
        <f>IF($H261="","",IFERROR(INDEX(PARAMETRES!$S$7:$S$46,MATCH($H261,PARAMETRES!$R$7:$R$46,0)),"Code inconnu"))</f>
        <v/>
      </c>
      <c r="J261" s="94">
        <f>IF($H261="","",IFERROR(INDEX(PARAMETRES!$T$7:$T$46,MATCH($H261,PARAMETRES!$R$7:$R$46,0)),""))</f>
        <v/>
      </c>
      <c r="K261" s="94">
        <f>IF($H261="","",IFERROR(INDEX(PARAMETRES!$U$7:$U$46,MATCH($H261,PARAMETRES!$R$7:$R$46,0)),""))</f>
        <v/>
      </c>
      <c r="L261" s="94">
        <f>IF($H261="","",IFERROR(INDEX(PARAMETRES!$V$7:$V$46,MATCH($H261,PARAMETRES!$R$7:$R$46,0)),""))</f>
        <v/>
      </c>
      <c r="M261" s="88" t="n"/>
      <c r="N261" s="88" t="n"/>
      <c r="O261" s="88" t="n"/>
      <c r="P261" s="94">
        <f>IF($G261="","",IF($G261&gt;=60,"Arrêt majeur — analyse 5 pourquoi",IF($G261&gt;=30,"À analyser en revue quotidienne",IF($K261="Planifié","Arrêt planifié","Aléa courant"))))</f>
        <v/>
      </c>
      <c r="Q261" s="95">
        <f>IF($A261="",0,IF(AND(OR(COCKPIT!$H$4="Toutes",$C261=COCKPIT!$H$4),OR(COCKPIT!$K$4="Toutes",$B261=COCKPIT!$K$4)),1,0))</f>
        <v/>
      </c>
    </row>
    <row r="262" ht="15" customHeight="1">
      <c r="A262" s="87" t="n"/>
      <c r="B262" s="88" t="n"/>
      <c r="C262" s="88" t="n"/>
      <c r="D262" s="88" t="n"/>
      <c r="E262" s="96" t="n"/>
      <c r="F262" s="96" t="n"/>
      <c r="G262" s="92">
        <f>IF(OR($E262="",$F262=""),"",ROUND(($F262-$E262+IF($F262&lt;$E262,1,0))*1440,0))</f>
        <v/>
      </c>
      <c r="H262" s="88" t="n"/>
      <c r="I262" s="94">
        <f>IF($H262="","",IFERROR(INDEX(PARAMETRES!$S$7:$S$46,MATCH($H262,PARAMETRES!$R$7:$R$46,0)),"Code inconnu"))</f>
        <v/>
      </c>
      <c r="J262" s="94">
        <f>IF($H262="","",IFERROR(INDEX(PARAMETRES!$T$7:$T$46,MATCH($H262,PARAMETRES!$R$7:$R$46,0)),""))</f>
        <v/>
      </c>
      <c r="K262" s="94">
        <f>IF($H262="","",IFERROR(INDEX(PARAMETRES!$U$7:$U$46,MATCH($H262,PARAMETRES!$R$7:$R$46,0)),""))</f>
        <v/>
      </c>
      <c r="L262" s="94">
        <f>IF($H262="","",IFERROR(INDEX(PARAMETRES!$V$7:$V$46,MATCH($H262,PARAMETRES!$R$7:$R$46,0)),""))</f>
        <v/>
      </c>
      <c r="M262" s="88" t="n"/>
      <c r="N262" s="88" t="n"/>
      <c r="O262" s="88" t="n"/>
      <c r="P262" s="94">
        <f>IF($G262="","",IF($G262&gt;=60,"Arrêt majeur — analyse 5 pourquoi",IF($G262&gt;=30,"À analyser en revue quotidienne",IF($K262="Planifié","Arrêt planifié","Aléa courant"))))</f>
        <v/>
      </c>
      <c r="Q262" s="95">
        <f>IF($A262="",0,IF(AND(OR(COCKPIT!$H$4="Toutes",$C262=COCKPIT!$H$4),OR(COCKPIT!$K$4="Toutes",$B262=COCKPIT!$K$4)),1,0))</f>
        <v/>
      </c>
    </row>
    <row r="263" ht="15" customHeight="1">
      <c r="A263" s="87" t="n"/>
      <c r="B263" s="88" t="n"/>
      <c r="C263" s="88" t="n"/>
      <c r="D263" s="88" t="n"/>
      <c r="E263" s="96" t="n"/>
      <c r="F263" s="96" t="n"/>
      <c r="G263" s="92">
        <f>IF(OR($E263="",$F263=""),"",ROUND(($F263-$E263+IF($F263&lt;$E263,1,0))*1440,0))</f>
        <v/>
      </c>
      <c r="H263" s="88" t="n"/>
      <c r="I263" s="94">
        <f>IF($H263="","",IFERROR(INDEX(PARAMETRES!$S$7:$S$46,MATCH($H263,PARAMETRES!$R$7:$R$46,0)),"Code inconnu"))</f>
        <v/>
      </c>
      <c r="J263" s="94">
        <f>IF($H263="","",IFERROR(INDEX(PARAMETRES!$T$7:$T$46,MATCH($H263,PARAMETRES!$R$7:$R$46,0)),""))</f>
        <v/>
      </c>
      <c r="K263" s="94">
        <f>IF($H263="","",IFERROR(INDEX(PARAMETRES!$U$7:$U$46,MATCH($H263,PARAMETRES!$R$7:$R$46,0)),""))</f>
        <v/>
      </c>
      <c r="L263" s="94">
        <f>IF($H263="","",IFERROR(INDEX(PARAMETRES!$V$7:$V$46,MATCH($H263,PARAMETRES!$R$7:$R$46,0)),""))</f>
        <v/>
      </c>
      <c r="M263" s="88" t="n"/>
      <c r="N263" s="88" t="n"/>
      <c r="O263" s="88" t="n"/>
      <c r="P263" s="94">
        <f>IF($G263="","",IF($G263&gt;=60,"Arrêt majeur — analyse 5 pourquoi",IF($G263&gt;=30,"À analyser en revue quotidienne",IF($K263="Planifié","Arrêt planifié","Aléa courant"))))</f>
        <v/>
      </c>
      <c r="Q263" s="95">
        <f>IF($A263="",0,IF(AND(OR(COCKPIT!$H$4="Toutes",$C263=COCKPIT!$H$4),OR(COCKPIT!$K$4="Toutes",$B263=COCKPIT!$K$4)),1,0))</f>
        <v/>
      </c>
    </row>
    <row r="264" ht="15" customHeight="1">
      <c r="A264" s="87" t="n"/>
      <c r="B264" s="88" t="n"/>
      <c r="C264" s="88" t="n"/>
      <c r="D264" s="88" t="n"/>
      <c r="E264" s="96" t="n"/>
      <c r="F264" s="96" t="n"/>
      <c r="G264" s="92">
        <f>IF(OR($E264="",$F264=""),"",ROUND(($F264-$E264+IF($F264&lt;$E264,1,0))*1440,0))</f>
        <v/>
      </c>
      <c r="H264" s="88" t="n"/>
      <c r="I264" s="94">
        <f>IF($H264="","",IFERROR(INDEX(PARAMETRES!$S$7:$S$46,MATCH($H264,PARAMETRES!$R$7:$R$46,0)),"Code inconnu"))</f>
        <v/>
      </c>
      <c r="J264" s="94">
        <f>IF($H264="","",IFERROR(INDEX(PARAMETRES!$T$7:$T$46,MATCH($H264,PARAMETRES!$R$7:$R$46,0)),""))</f>
        <v/>
      </c>
      <c r="K264" s="94">
        <f>IF($H264="","",IFERROR(INDEX(PARAMETRES!$U$7:$U$46,MATCH($H264,PARAMETRES!$R$7:$R$46,0)),""))</f>
        <v/>
      </c>
      <c r="L264" s="94">
        <f>IF($H264="","",IFERROR(INDEX(PARAMETRES!$V$7:$V$46,MATCH($H264,PARAMETRES!$R$7:$R$46,0)),""))</f>
        <v/>
      </c>
      <c r="M264" s="88" t="n"/>
      <c r="N264" s="88" t="n"/>
      <c r="O264" s="88" t="n"/>
      <c r="P264" s="94">
        <f>IF($G264="","",IF($G264&gt;=60,"Arrêt majeur — analyse 5 pourquoi",IF($G264&gt;=30,"À analyser en revue quotidienne",IF($K264="Planifié","Arrêt planifié","Aléa courant"))))</f>
        <v/>
      </c>
      <c r="Q264" s="95">
        <f>IF($A264="",0,IF(AND(OR(COCKPIT!$H$4="Toutes",$C264=COCKPIT!$H$4),OR(COCKPIT!$K$4="Toutes",$B264=COCKPIT!$K$4)),1,0))</f>
        <v/>
      </c>
    </row>
    <row r="265" ht="15" customHeight="1">
      <c r="A265" s="87" t="n"/>
      <c r="B265" s="88" t="n"/>
      <c r="C265" s="88" t="n"/>
      <c r="D265" s="88" t="n"/>
      <c r="E265" s="96" t="n"/>
      <c r="F265" s="96" t="n"/>
      <c r="G265" s="92">
        <f>IF(OR($E265="",$F265=""),"",ROUND(($F265-$E265+IF($F265&lt;$E265,1,0))*1440,0))</f>
        <v/>
      </c>
      <c r="H265" s="88" t="n"/>
      <c r="I265" s="94">
        <f>IF($H265="","",IFERROR(INDEX(PARAMETRES!$S$7:$S$46,MATCH($H265,PARAMETRES!$R$7:$R$46,0)),"Code inconnu"))</f>
        <v/>
      </c>
      <c r="J265" s="94">
        <f>IF($H265="","",IFERROR(INDEX(PARAMETRES!$T$7:$T$46,MATCH($H265,PARAMETRES!$R$7:$R$46,0)),""))</f>
        <v/>
      </c>
      <c r="K265" s="94">
        <f>IF($H265="","",IFERROR(INDEX(PARAMETRES!$U$7:$U$46,MATCH($H265,PARAMETRES!$R$7:$R$46,0)),""))</f>
        <v/>
      </c>
      <c r="L265" s="94">
        <f>IF($H265="","",IFERROR(INDEX(PARAMETRES!$V$7:$V$46,MATCH($H265,PARAMETRES!$R$7:$R$46,0)),""))</f>
        <v/>
      </c>
      <c r="M265" s="88" t="n"/>
      <c r="N265" s="88" t="n"/>
      <c r="O265" s="88" t="n"/>
      <c r="P265" s="94">
        <f>IF($G265="","",IF($G265&gt;=60,"Arrêt majeur — analyse 5 pourquoi",IF($G265&gt;=30,"À analyser en revue quotidienne",IF($K265="Planifié","Arrêt planifié","Aléa courant"))))</f>
        <v/>
      </c>
      <c r="Q265" s="95">
        <f>IF($A265="",0,IF(AND(OR(COCKPIT!$H$4="Toutes",$C265=COCKPIT!$H$4),OR(COCKPIT!$K$4="Toutes",$B265=COCKPIT!$K$4)),1,0))</f>
        <v/>
      </c>
    </row>
    <row r="266" ht="15" customHeight="1">
      <c r="A266" s="87" t="n"/>
      <c r="B266" s="88" t="n"/>
      <c r="C266" s="88" t="n"/>
      <c r="D266" s="88" t="n"/>
      <c r="E266" s="96" t="n"/>
      <c r="F266" s="96" t="n"/>
      <c r="G266" s="92">
        <f>IF(OR($E266="",$F266=""),"",ROUND(($F266-$E266+IF($F266&lt;$E266,1,0))*1440,0))</f>
        <v/>
      </c>
      <c r="H266" s="88" t="n"/>
      <c r="I266" s="94">
        <f>IF($H266="","",IFERROR(INDEX(PARAMETRES!$S$7:$S$46,MATCH($H266,PARAMETRES!$R$7:$R$46,0)),"Code inconnu"))</f>
        <v/>
      </c>
      <c r="J266" s="94">
        <f>IF($H266="","",IFERROR(INDEX(PARAMETRES!$T$7:$T$46,MATCH($H266,PARAMETRES!$R$7:$R$46,0)),""))</f>
        <v/>
      </c>
      <c r="K266" s="94">
        <f>IF($H266="","",IFERROR(INDEX(PARAMETRES!$U$7:$U$46,MATCH($H266,PARAMETRES!$R$7:$R$46,0)),""))</f>
        <v/>
      </c>
      <c r="L266" s="94">
        <f>IF($H266="","",IFERROR(INDEX(PARAMETRES!$V$7:$V$46,MATCH($H266,PARAMETRES!$R$7:$R$46,0)),""))</f>
        <v/>
      </c>
      <c r="M266" s="88" t="n"/>
      <c r="N266" s="88" t="n"/>
      <c r="O266" s="88" t="n"/>
      <c r="P266" s="94">
        <f>IF($G266="","",IF($G266&gt;=60,"Arrêt majeur — analyse 5 pourquoi",IF($G266&gt;=30,"À analyser en revue quotidienne",IF($K266="Planifié","Arrêt planifié","Aléa courant"))))</f>
        <v/>
      </c>
      <c r="Q266" s="95">
        <f>IF($A266="",0,IF(AND(OR(COCKPIT!$H$4="Toutes",$C266=COCKPIT!$H$4),OR(COCKPIT!$K$4="Toutes",$B266=COCKPIT!$K$4)),1,0))</f>
        <v/>
      </c>
    </row>
    <row r="267" ht="15" customHeight="1">
      <c r="A267" s="87" t="n"/>
      <c r="B267" s="88" t="n"/>
      <c r="C267" s="88" t="n"/>
      <c r="D267" s="88" t="n"/>
      <c r="E267" s="96" t="n"/>
      <c r="F267" s="96" t="n"/>
      <c r="G267" s="92">
        <f>IF(OR($E267="",$F267=""),"",ROUND(($F267-$E267+IF($F267&lt;$E267,1,0))*1440,0))</f>
        <v/>
      </c>
      <c r="H267" s="88" t="n"/>
      <c r="I267" s="94">
        <f>IF($H267="","",IFERROR(INDEX(PARAMETRES!$S$7:$S$46,MATCH($H267,PARAMETRES!$R$7:$R$46,0)),"Code inconnu"))</f>
        <v/>
      </c>
      <c r="J267" s="94">
        <f>IF($H267="","",IFERROR(INDEX(PARAMETRES!$T$7:$T$46,MATCH($H267,PARAMETRES!$R$7:$R$46,0)),""))</f>
        <v/>
      </c>
      <c r="K267" s="94">
        <f>IF($H267="","",IFERROR(INDEX(PARAMETRES!$U$7:$U$46,MATCH($H267,PARAMETRES!$R$7:$R$46,0)),""))</f>
        <v/>
      </c>
      <c r="L267" s="94">
        <f>IF($H267="","",IFERROR(INDEX(PARAMETRES!$V$7:$V$46,MATCH($H267,PARAMETRES!$R$7:$R$46,0)),""))</f>
        <v/>
      </c>
      <c r="M267" s="88" t="n"/>
      <c r="N267" s="88" t="n"/>
      <c r="O267" s="88" t="n"/>
      <c r="P267" s="94">
        <f>IF($G267="","",IF($G267&gt;=60,"Arrêt majeur — analyse 5 pourquoi",IF($G267&gt;=30,"À analyser en revue quotidienne",IF($K267="Planifié","Arrêt planifié","Aléa courant"))))</f>
        <v/>
      </c>
      <c r="Q267" s="95">
        <f>IF($A267="",0,IF(AND(OR(COCKPIT!$H$4="Toutes",$C267=COCKPIT!$H$4),OR(COCKPIT!$K$4="Toutes",$B267=COCKPIT!$K$4)),1,0))</f>
        <v/>
      </c>
    </row>
    <row r="268" ht="15" customHeight="1">
      <c r="A268" s="87" t="n"/>
      <c r="B268" s="88" t="n"/>
      <c r="C268" s="88" t="n"/>
      <c r="D268" s="88" t="n"/>
      <c r="E268" s="96" t="n"/>
      <c r="F268" s="96" t="n"/>
      <c r="G268" s="92">
        <f>IF(OR($E268="",$F268=""),"",ROUND(($F268-$E268+IF($F268&lt;$E268,1,0))*1440,0))</f>
        <v/>
      </c>
      <c r="H268" s="88" t="n"/>
      <c r="I268" s="94">
        <f>IF($H268="","",IFERROR(INDEX(PARAMETRES!$S$7:$S$46,MATCH($H268,PARAMETRES!$R$7:$R$46,0)),"Code inconnu"))</f>
        <v/>
      </c>
      <c r="J268" s="94">
        <f>IF($H268="","",IFERROR(INDEX(PARAMETRES!$T$7:$T$46,MATCH($H268,PARAMETRES!$R$7:$R$46,0)),""))</f>
        <v/>
      </c>
      <c r="K268" s="94">
        <f>IF($H268="","",IFERROR(INDEX(PARAMETRES!$U$7:$U$46,MATCH($H268,PARAMETRES!$R$7:$R$46,0)),""))</f>
        <v/>
      </c>
      <c r="L268" s="94">
        <f>IF($H268="","",IFERROR(INDEX(PARAMETRES!$V$7:$V$46,MATCH($H268,PARAMETRES!$R$7:$R$46,0)),""))</f>
        <v/>
      </c>
      <c r="M268" s="88" t="n"/>
      <c r="N268" s="88" t="n"/>
      <c r="O268" s="88" t="n"/>
      <c r="P268" s="94">
        <f>IF($G268="","",IF($G268&gt;=60,"Arrêt majeur — analyse 5 pourquoi",IF($G268&gt;=30,"À analyser en revue quotidienne",IF($K268="Planifié","Arrêt planifié","Aléa courant"))))</f>
        <v/>
      </c>
      <c r="Q268" s="95">
        <f>IF($A268="",0,IF(AND(OR(COCKPIT!$H$4="Toutes",$C268=COCKPIT!$H$4),OR(COCKPIT!$K$4="Toutes",$B268=COCKPIT!$K$4)),1,0))</f>
        <v/>
      </c>
    </row>
    <row r="269" ht="15" customHeight="1">
      <c r="A269" s="87" t="n"/>
      <c r="B269" s="88" t="n"/>
      <c r="C269" s="88" t="n"/>
      <c r="D269" s="88" t="n"/>
      <c r="E269" s="96" t="n"/>
      <c r="F269" s="96" t="n"/>
      <c r="G269" s="92">
        <f>IF(OR($E269="",$F269=""),"",ROUND(($F269-$E269+IF($F269&lt;$E269,1,0))*1440,0))</f>
        <v/>
      </c>
      <c r="H269" s="88" t="n"/>
      <c r="I269" s="94">
        <f>IF($H269="","",IFERROR(INDEX(PARAMETRES!$S$7:$S$46,MATCH($H269,PARAMETRES!$R$7:$R$46,0)),"Code inconnu"))</f>
        <v/>
      </c>
      <c r="J269" s="94">
        <f>IF($H269="","",IFERROR(INDEX(PARAMETRES!$T$7:$T$46,MATCH($H269,PARAMETRES!$R$7:$R$46,0)),""))</f>
        <v/>
      </c>
      <c r="K269" s="94">
        <f>IF($H269="","",IFERROR(INDEX(PARAMETRES!$U$7:$U$46,MATCH($H269,PARAMETRES!$R$7:$R$46,0)),""))</f>
        <v/>
      </c>
      <c r="L269" s="94">
        <f>IF($H269="","",IFERROR(INDEX(PARAMETRES!$V$7:$V$46,MATCH($H269,PARAMETRES!$R$7:$R$46,0)),""))</f>
        <v/>
      </c>
      <c r="M269" s="88" t="n"/>
      <c r="N269" s="88" t="n"/>
      <c r="O269" s="88" t="n"/>
      <c r="P269" s="94">
        <f>IF($G269="","",IF($G269&gt;=60,"Arrêt majeur — analyse 5 pourquoi",IF($G269&gt;=30,"À analyser en revue quotidienne",IF($K269="Planifié","Arrêt planifié","Aléa courant"))))</f>
        <v/>
      </c>
      <c r="Q269" s="95">
        <f>IF($A269="",0,IF(AND(OR(COCKPIT!$H$4="Toutes",$C269=COCKPIT!$H$4),OR(COCKPIT!$K$4="Toutes",$B269=COCKPIT!$K$4)),1,0))</f>
        <v/>
      </c>
    </row>
    <row r="270" ht="15" customHeight="1">
      <c r="A270" s="87" t="n"/>
      <c r="B270" s="88" t="n"/>
      <c r="C270" s="88" t="n"/>
      <c r="D270" s="88" t="n"/>
      <c r="E270" s="96" t="n"/>
      <c r="F270" s="96" t="n"/>
      <c r="G270" s="92">
        <f>IF(OR($E270="",$F270=""),"",ROUND(($F270-$E270+IF($F270&lt;$E270,1,0))*1440,0))</f>
        <v/>
      </c>
      <c r="H270" s="88" t="n"/>
      <c r="I270" s="94">
        <f>IF($H270="","",IFERROR(INDEX(PARAMETRES!$S$7:$S$46,MATCH($H270,PARAMETRES!$R$7:$R$46,0)),"Code inconnu"))</f>
        <v/>
      </c>
      <c r="J270" s="94">
        <f>IF($H270="","",IFERROR(INDEX(PARAMETRES!$T$7:$T$46,MATCH($H270,PARAMETRES!$R$7:$R$46,0)),""))</f>
        <v/>
      </c>
      <c r="K270" s="94">
        <f>IF($H270="","",IFERROR(INDEX(PARAMETRES!$U$7:$U$46,MATCH($H270,PARAMETRES!$R$7:$R$46,0)),""))</f>
        <v/>
      </c>
      <c r="L270" s="94">
        <f>IF($H270="","",IFERROR(INDEX(PARAMETRES!$V$7:$V$46,MATCH($H270,PARAMETRES!$R$7:$R$46,0)),""))</f>
        <v/>
      </c>
      <c r="M270" s="88" t="n"/>
      <c r="N270" s="88" t="n"/>
      <c r="O270" s="88" t="n"/>
      <c r="P270" s="94">
        <f>IF($G270="","",IF($G270&gt;=60,"Arrêt majeur — analyse 5 pourquoi",IF($G270&gt;=30,"À analyser en revue quotidienne",IF($K270="Planifié","Arrêt planifié","Aléa courant"))))</f>
        <v/>
      </c>
      <c r="Q270" s="95">
        <f>IF($A270="",0,IF(AND(OR(COCKPIT!$H$4="Toutes",$C270=COCKPIT!$H$4),OR(COCKPIT!$K$4="Toutes",$B270=COCKPIT!$K$4)),1,0))</f>
        <v/>
      </c>
    </row>
    <row r="271" ht="15" customHeight="1">
      <c r="A271" s="87" t="n"/>
      <c r="B271" s="88" t="n"/>
      <c r="C271" s="88" t="n"/>
      <c r="D271" s="88" t="n"/>
      <c r="E271" s="96" t="n"/>
      <c r="F271" s="96" t="n"/>
      <c r="G271" s="92">
        <f>IF(OR($E271="",$F271=""),"",ROUND(($F271-$E271+IF($F271&lt;$E271,1,0))*1440,0))</f>
        <v/>
      </c>
      <c r="H271" s="88" t="n"/>
      <c r="I271" s="94">
        <f>IF($H271="","",IFERROR(INDEX(PARAMETRES!$S$7:$S$46,MATCH($H271,PARAMETRES!$R$7:$R$46,0)),"Code inconnu"))</f>
        <v/>
      </c>
      <c r="J271" s="94">
        <f>IF($H271="","",IFERROR(INDEX(PARAMETRES!$T$7:$T$46,MATCH($H271,PARAMETRES!$R$7:$R$46,0)),""))</f>
        <v/>
      </c>
      <c r="K271" s="94">
        <f>IF($H271="","",IFERROR(INDEX(PARAMETRES!$U$7:$U$46,MATCH($H271,PARAMETRES!$R$7:$R$46,0)),""))</f>
        <v/>
      </c>
      <c r="L271" s="94">
        <f>IF($H271="","",IFERROR(INDEX(PARAMETRES!$V$7:$V$46,MATCH($H271,PARAMETRES!$R$7:$R$46,0)),""))</f>
        <v/>
      </c>
      <c r="M271" s="88" t="n"/>
      <c r="N271" s="88" t="n"/>
      <c r="O271" s="88" t="n"/>
      <c r="P271" s="94">
        <f>IF($G271="","",IF($G271&gt;=60,"Arrêt majeur — analyse 5 pourquoi",IF($G271&gt;=30,"À analyser en revue quotidienne",IF($K271="Planifié","Arrêt planifié","Aléa courant"))))</f>
        <v/>
      </c>
      <c r="Q271" s="95">
        <f>IF($A271="",0,IF(AND(OR(COCKPIT!$H$4="Toutes",$C271=COCKPIT!$H$4),OR(COCKPIT!$K$4="Toutes",$B271=COCKPIT!$K$4)),1,0))</f>
        <v/>
      </c>
    </row>
    <row r="272" ht="15" customHeight="1">
      <c r="A272" s="87" t="n"/>
      <c r="B272" s="88" t="n"/>
      <c r="C272" s="88" t="n"/>
      <c r="D272" s="88" t="n"/>
      <c r="E272" s="96" t="n"/>
      <c r="F272" s="96" t="n"/>
      <c r="G272" s="92">
        <f>IF(OR($E272="",$F272=""),"",ROUND(($F272-$E272+IF($F272&lt;$E272,1,0))*1440,0))</f>
        <v/>
      </c>
      <c r="H272" s="88" t="n"/>
      <c r="I272" s="94">
        <f>IF($H272="","",IFERROR(INDEX(PARAMETRES!$S$7:$S$46,MATCH($H272,PARAMETRES!$R$7:$R$46,0)),"Code inconnu"))</f>
        <v/>
      </c>
      <c r="J272" s="94">
        <f>IF($H272="","",IFERROR(INDEX(PARAMETRES!$T$7:$T$46,MATCH($H272,PARAMETRES!$R$7:$R$46,0)),""))</f>
        <v/>
      </c>
      <c r="K272" s="94">
        <f>IF($H272="","",IFERROR(INDEX(PARAMETRES!$U$7:$U$46,MATCH($H272,PARAMETRES!$R$7:$R$46,0)),""))</f>
        <v/>
      </c>
      <c r="L272" s="94">
        <f>IF($H272="","",IFERROR(INDEX(PARAMETRES!$V$7:$V$46,MATCH($H272,PARAMETRES!$R$7:$R$46,0)),""))</f>
        <v/>
      </c>
      <c r="M272" s="88" t="n"/>
      <c r="N272" s="88" t="n"/>
      <c r="O272" s="88" t="n"/>
      <c r="P272" s="94">
        <f>IF($G272="","",IF($G272&gt;=60,"Arrêt majeur — analyse 5 pourquoi",IF($G272&gt;=30,"À analyser en revue quotidienne",IF($K272="Planifié","Arrêt planifié","Aléa courant"))))</f>
        <v/>
      </c>
      <c r="Q272" s="95">
        <f>IF($A272="",0,IF(AND(OR(COCKPIT!$H$4="Toutes",$C272=COCKPIT!$H$4),OR(COCKPIT!$K$4="Toutes",$B272=COCKPIT!$K$4)),1,0))</f>
        <v/>
      </c>
    </row>
    <row r="273" ht="15" customHeight="1">
      <c r="A273" s="87" t="n"/>
      <c r="B273" s="88" t="n"/>
      <c r="C273" s="88" t="n"/>
      <c r="D273" s="88" t="n"/>
      <c r="E273" s="96" t="n"/>
      <c r="F273" s="96" t="n"/>
      <c r="G273" s="92">
        <f>IF(OR($E273="",$F273=""),"",ROUND(($F273-$E273+IF($F273&lt;$E273,1,0))*1440,0))</f>
        <v/>
      </c>
      <c r="H273" s="88" t="n"/>
      <c r="I273" s="94">
        <f>IF($H273="","",IFERROR(INDEX(PARAMETRES!$S$7:$S$46,MATCH($H273,PARAMETRES!$R$7:$R$46,0)),"Code inconnu"))</f>
        <v/>
      </c>
      <c r="J273" s="94">
        <f>IF($H273="","",IFERROR(INDEX(PARAMETRES!$T$7:$T$46,MATCH($H273,PARAMETRES!$R$7:$R$46,0)),""))</f>
        <v/>
      </c>
      <c r="K273" s="94">
        <f>IF($H273="","",IFERROR(INDEX(PARAMETRES!$U$7:$U$46,MATCH($H273,PARAMETRES!$R$7:$R$46,0)),""))</f>
        <v/>
      </c>
      <c r="L273" s="94">
        <f>IF($H273="","",IFERROR(INDEX(PARAMETRES!$V$7:$V$46,MATCH($H273,PARAMETRES!$R$7:$R$46,0)),""))</f>
        <v/>
      </c>
      <c r="M273" s="88" t="n"/>
      <c r="N273" s="88" t="n"/>
      <c r="O273" s="88" t="n"/>
      <c r="P273" s="94">
        <f>IF($G273="","",IF($G273&gt;=60,"Arrêt majeur — analyse 5 pourquoi",IF($G273&gt;=30,"À analyser en revue quotidienne",IF($K273="Planifié","Arrêt planifié","Aléa courant"))))</f>
        <v/>
      </c>
      <c r="Q273" s="95">
        <f>IF($A273="",0,IF(AND(OR(COCKPIT!$H$4="Toutes",$C273=COCKPIT!$H$4),OR(COCKPIT!$K$4="Toutes",$B273=COCKPIT!$K$4)),1,0))</f>
        <v/>
      </c>
    </row>
    <row r="274" ht="15" customHeight="1">
      <c r="A274" s="87" t="n"/>
      <c r="B274" s="88" t="n"/>
      <c r="C274" s="88" t="n"/>
      <c r="D274" s="88" t="n"/>
      <c r="E274" s="96" t="n"/>
      <c r="F274" s="96" t="n"/>
      <c r="G274" s="92">
        <f>IF(OR($E274="",$F274=""),"",ROUND(($F274-$E274+IF($F274&lt;$E274,1,0))*1440,0))</f>
        <v/>
      </c>
      <c r="H274" s="88" t="n"/>
      <c r="I274" s="94">
        <f>IF($H274="","",IFERROR(INDEX(PARAMETRES!$S$7:$S$46,MATCH($H274,PARAMETRES!$R$7:$R$46,0)),"Code inconnu"))</f>
        <v/>
      </c>
      <c r="J274" s="94">
        <f>IF($H274="","",IFERROR(INDEX(PARAMETRES!$T$7:$T$46,MATCH($H274,PARAMETRES!$R$7:$R$46,0)),""))</f>
        <v/>
      </c>
      <c r="K274" s="94">
        <f>IF($H274="","",IFERROR(INDEX(PARAMETRES!$U$7:$U$46,MATCH($H274,PARAMETRES!$R$7:$R$46,0)),""))</f>
        <v/>
      </c>
      <c r="L274" s="94">
        <f>IF($H274="","",IFERROR(INDEX(PARAMETRES!$V$7:$V$46,MATCH($H274,PARAMETRES!$R$7:$R$46,0)),""))</f>
        <v/>
      </c>
      <c r="M274" s="88" t="n"/>
      <c r="N274" s="88" t="n"/>
      <c r="O274" s="88" t="n"/>
      <c r="P274" s="94">
        <f>IF($G274="","",IF($G274&gt;=60,"Arrêt majeur — analyse 5 pourquoi",IF($G274&gt;=30,"À analyser en revue quotidienne",IF($K274="Planifié","Arrêt planifié","Aléa courant"))))</f>
        <v/>
      </c>
      <c r="Q274" s="95">
        <f>IF($A274="",0,IF(AND(OR(COCKPIT!$H$4="Toutes",$C274=COCKPIT!$H$4),OR(COCKPIT!$K$4="Toutes",$B274=COCKPIT!$K$4)),1,0))</f>
        <v/>
      </c>
    </row>
    <row r="275" ht="15" customHeight="1">
      <c r="A275" s="87" t="n"/>
      <c r="B275" s="88" t="n"/>
      <c r="C275" s="88" t="n"/>
      <c r="D275" s="88" t="n"/>
      <c r="E275" s="96" t="n"/>
      <c r="F275" s="96" t="n"/>
      <c r="G275" s="92">
        <f>IF(OR($E275="",$F275=""),"",ROUND(($F275-$E275+IF($F275&lt;$E275,1,0))*1440,0))</f>
        <v/>
      </c>
      <c r="H275" s="88" t="n"/>
      <c r="I275" s="94">
        <f>IF($H275="","",IFERROR(INDEX(PARAMETRES!$S$7:$S$46,MATCH($H275,PARAMETRES!$R$7:$R$46,0)),"Code inconnu"))</f>
        <v/>
      </c>
      <c r="J275" s="94">
        <f>IF($H275="","",IFERROR(INDEX(PARAMETRES!$T$7:$T$46,MATCH($H275,PARAMETRES!$R$7:$R$46,0)),""))</f>
        <v/>
      </c>
      <c r="K275" s="94">
        <f>IF($H275="","",IFERROR(INDEX(PARAMETRES!$U$7:$U$46,MATCH($H275,PARAMETRES!$R$7:$R$46,0)),""))</f>
        <v/>
      </c>
      <c r="L275" s="94">
        <f>IF($H275="","",IFERROR(INDEX(PARAMETRES!$V$7:$V$46,MATCH($H275,PARAMETRES!$R$7:$R$46,0)),""))</f>
        <v/>
      </c>
      <c r="M275" s="88" t="n"/>
      <c r="N275" s="88" t="n"/>
      <c r="O275" s="88" t="n"/>
      <c r="P275" s="94">
        <f>IF($G275="","",IF($G275&gt;=60,"Arrêt majeur — analyse 5 pourquoi",IF($G275&gt;=30,"À analyser en revue quotidienne",IF($K275="Planifié","Arrêt planifié","Aléa courant"))))</f>
        <v/>
      </c>
      <c r="Q275" s="95">
        <f>IF($A275="",0,IF(AND(OR(COCKPIT!$H$4="Toutes",$C275=COCKPIT!$H$4),OR(COCKPIT!$K$4="Toutes",$B275=COCKPIT!$K$4)),1,0))</f>
        <v/>
      </c>
    </row>
    <row r="276" ht="15" customHeight="1">
      <c r="A276" s="87" t="n"/>
      <c r="B276" s="88" t="n"/>
      <c r="C276" s="88" t="n"/>
      <c r="D276" s="88" t="n"/>
      <c r="E276" s="96" t="n"/>
      <c r="F276" s="96" t="n"/>
      <c r="G276" s="92">
        <f>IF(OR($E276="",$F276=""),"",ROUND(($F276-$E276+IF($F276&lt;$E276,1,0))*1440,0))</f>
        <v/>
      </c>
      <c r="H276" s="88" t="n"/>
      <c r="I276" s="94">
        <f>IF($H276="","",IFERROR(INDEX(PARAMETRES!$S$7:$S$46,MATCH($H276,PARAMETRES!$R$7:$R$46,0)),"Code inconnu"))</f>
        <v/>
      </c>
      <c r="J276" s="94">
        <f>IF($H276="","",IFERROR(INDEX(PARAMETRES!$T$7:$T$46,MATCH($H276,PARAMETRES!$R$7:$R$46,0)),""))</f>
        <v/>
      </c>
      <c r="K276" s="94">
        <f>IF($H276="","",IFERROR(INDEX(PARAMETRES!$U$7:$U$46,MATCH($H276,PARAMETRES!$R$7:$R$46,0)),""))</f>
        <v/>
      </c>
      <c r="L276" s="94">
        <f>IF($H276="","",IFERROR(INDEX(PARAMETRES!$V$7:$V$46,MATCH($H276,PARAMETRES!$R$7:$R$46,0)),""))</f>
        <v/>
      </c>
      <c r="M276" s="88" t="n"/>
      <c r="N276" s="88" t="n"/>
      <c r="O276" s="88" t="n"/>
      <c r="P276" s="94">
        <f>IF($G276="","",IF($G276&gt;=60,"Arrêt majeur — analyse 5 pourquoi",IF($G276&gt;=30,"À analyser en revue quotidienne",IF($K276="Planifié","Arrêt planifié","Aléa courant"))))</f>
        <v/>
      </c>
      <c r="Q276" s="95">
        <f>IF($A276="",0,IF(AND(OR(COCKPIT!$H$4="Toutes",$C276=COCKPIT!$H$4),OR(COCKPIT!$K$4="Toutes",$B276=COCKPIT!$K$4)),1,0))</f>
        <v/>
      </c>
    </row>
    <row r="277" ht="15" customHeight="1">
      <c r="A277" s="87" t="n"/>
      <c r="B277" s="88" t="n"/>
      <c r="C277" s="88" t="n"/>
      <c r="D277" s="88" t="n"/>
      <c r="E277" s="96" t="n"/>
      <c r="F277" s="96" t="n"/>
      <c r="G277" s="92">
        <f>IF(OR($E277="",$F277=""),"",ROUND(($F277-$E277+IF($F277&lt;$E277,1,0))*1440,0))</f>
        <v/>
      </c>
      <c r="H277" s="88" t="n"/>
      <c r="I277" s="94">
        <f>IF($H277="","",IFERROR(INDEX(PARAMETRES!$S$7:$S$46,MATCH($H277,PARAMETRES!$R$7:$R$46,0)),"Code inconnu"))</f>
        <v/>
      </c>
      <c r="J277" s="94">
        <f>IF($H277="","",IFERROR(INDEX(PARAMETRES!$T$7:$T$46,MATCH($H277,PARAMETRES!$R$7:$R$46,0)),""))</f>
        <v/>
      </c>
      <c r="K277" s="94">
        <f>IF($H277="","",IFERROR(INDEX(PARAMETRES!$U$7:$U$46,MATCH($H277,PARAMETRES!$R$7:$R$46,0)),""))</f>
        <v/>
      </c>
      <c r="L277" s="94">
        <f>IF($H277="","",IFERROR(INDEX(PARAMETRES!$V$7:$V$46,MATCH($H277,PARAMETRES!$R$7:$R$46,0)),""))</f>
        <v/>
      </c>
      <c r="M277" s="88" t="n"/>
      <c r="N277" s="88" t="n"/>
      <c r="O277" s="88" t="n"/>
      <c r="P277" s="94">
        <f>IF($G277="","",IF($G277&gt;=60,"Arrêt majeur — analyse 5 pourquoi",IF($G277&gt;=30,"À analyser en revue quotidienne",IF($K277="Planifié","Arrêt planifié","Aléa courant"))))</f>
        <v/>
      </c>
      <c r="Q277" s="95">
        <f>IF($A277="",0,IF(AND(OR(COCKPIT!$H$4="Toutes",$C277=COCKPIT!$H$4),OR(COCKPIT!$K$4="Toutes",$B277=COCKPIT!$K$4)),1,0))</f>
        <v/>
      </c>
    </row>
    <row r="278" ht="15" customHeight="1">
      <c r="A278" s="87" t="n"/>
      <c r="B278" s="88" t="n"/>
      <c r="C278" s="88" t="n"/>
      <c r="D278" s="88" t="n"/>
      <c r="E278" s="96" t="n"/>
      <c r="F278" s="96" t="n"/>
      <c r="G278" s="92">
        <f>IF(OR($E278="",$F278=""),"",ROUND(($F278-$E278+IF($F278&lt;$E278,1,0))*1440,0))</f>
        <v/>
      </c>
      <c r="H278" s="88" t="n"/>
      <c r="I278" s="94">
        <f>IF($H278="","",IFERROR(INDEX(PARAMETRES!$S$7:$S$46,MATCH($H278,PARAMETRES!$R$7:$R$46,0)),"Code inconnu"))</f>
        <v/>
      </c>
      <c r="J278" s="94">
        <f>IF($H278="","",IFERROR(INDEX(PARAMETRES!$T$7:$T$46,MATCH($H278,PARAMETRES!$R$7:$R$46,0)),""))</f>
        <v/>
      </c>
      <c r="K278" s="94">
        <f>IF($H278="","",IFERROR(INDEX(PARAMETRES!$U$7:$U$46,MATCH($H278,PARAMETRES!$R$7:$R$46,0)),""))</f>
        <v/>
      </c>
      <c r="L278" s="94">
        <f>IF($H278="","",IFERROR(INDEX(PARAMETRES!$V$7:$V$46,MATCH($H278,PARAMETRES!$R$7:$R$46,0)),""))</f>
        <v/>
      </c>
      <c r="M278" s="88" t="n"/>
      <c r="N278" s="88" t="n"/>
      <c r="O278" s="88" t="n"/>
      <c r="P278" s="94">
        <f>IF($G278="","",IF($G278&gt;=60,"Arrêt majeur — analyse 5 pourquoi",IF($G278&gt;=30,"À analyser en revue quotidienne",IF($K278="Planifié","Arrêt planifié","Aléa courant"))))</f>
        <v/>
      </c>
      <c r="Q278" s="95">
        <f>IF($A278="",0,IF(AND(OR(COCKPIT!$H$4="Toutes",$C278=COCKPIT!$H$4),OR(COCKPIT!$K$4="Toutes",$B278=COCKPIT!$K$4)),1,0))</f>
        <v/>
      </c>
    </row>
    <row r="279" ht="15" customHeight="1">
      <c r="A279" s="87" t="n"/>
      <c r="B279" s="88" t="n"/>
      <c r="C279" s="88" t="n"/>
      <c r="D279" s="88" t="n"/>
      <c r="E279" s="96" t="n"/>
      <c r="F279" s="96" t="n"/>
      <c r="G279" s="92">
        <f>IF(OR($E279="",$F279=""),"",ROUND(($F279-$E279+IF($F279&lt;$E279,1,0))*1440,0))</f>
        <v/>
      </c>
      <c r="H279" s="88" t="n"/>
      <c r="I279" s="94">
        <f>IF($H279="","",IFERROR(INDEX(PARAMETRES!$S$7:$S$46,MATCH($H279,PARAMETRES!$R$7:$R$46,0)),"Code inconnu"))</f>
        <v/>
      </c>
      <c r="J279" s="94">
        <f>IF($H279="","",IFERROR(INDEX(PARAMETRES!$T$7:$T$46,MATCH($H279,PARAMETRES!$R$7:$R$46,0)),""))</f>
        <v/>
      </c>
      <c r="K279" s="94">
        <f>IF($H279="","",IFERROR(INDEX(PARAMETRES!$U$7:$U$46,MATCH($H279,PARAMETRES!$R$7:$R$46,0)),""))</f>
        <v/>
      </c>
      <c r="L279" s="94">
        <f>IF($H279="","",IFERROR(INDEX(PARAMETRES!$V$7:$V$46,MATCH($H279,PARAMETRES!$R$7:$R$46,0)),""))</f>
        <v/>
      </c>
      <c r="M279" s="88" t="n"/>
      <c r="N279" s="88" t="n"/>
      <c r="O279" s="88" t="n"/>
      <c r="P279" s="94">
        <f>IF($G279="","",IF($G279&gt;=60,"Arrêt majeur — analyse 5 pourquoi",IF($G279&gt;=30,"À analyser en revue quotidienne",IF($K279="Planifié","Arrêt planifié","Aléa courant"))))</f>
        <v/>
      </c>
      <c r="Q279" s="95">
        <f>IF($A279="",0,IF(AND(OR(COCKPIT!$H$4="Toutes",$C279=COCKPIT!$H$4),OR(COCKPIT!$K$4="Toutes",$B279=COCKPIT!$K$4)),1,0))</f>
        <v/>
      </c>
    </row>
    <row r="280" ht="15" customHeight="1">
      <c r="A280" s="87" t="n"/>
      <c r="B280" s="88" t="n"/>
      <c r="C280" s="88" t="n"/>
      <c r="D280" s="88" t="n"/>
      <c r="E280" s="96" t="n"/>
      <c r="F280" s="96" t="n"/>
      <c r="G280" s="92">
        <f>IF(OR($E280="",$F280=""),"",ROUND(($F280-$E280+IF($F280&lt;$E280,1,0))*1440,0))</f>
        <v/>
      </c>
      <c r="H280" s="88" t="n"/>
      <c r="I280" s="94">
        <f>IF($H280="","",IFERROR(INDEX(PARAMETRES!$S$7:$S$46,MATCH($H280,PARAMETRES!$R$7:$R$46,0)),"Code inconnu"))</f>
        <v/>
      </c>
      <c r="J280" s="94">
        <f>IF($H280="","",IFERROR(INDEX(PARAMETRES!$T$7:$T$46,MATCH($H280,PARAMETRES!$R$7:$R$46,0)),""))</f>
        <v/>
      </c>
      <c r="K280" s="94">
        <f>IF($H280="","",IFERROR(INDEX(PARAMETRES!$U$7:$U$46,MATCH($H280,PARAMETRES!$R$7:$R$46,0)),""))</f>
        <v/>
      </c>
      <c r="L280" s="94">
        <f>IF($H280="","",IFERROR(INDEX(PARAMETRES!$V$7:$V$46,MATCH($H280,PARAMETRES!$R$7:$R$46,0)),""))</f>
        <v/>
      </c>
      <c r="M280" s="88" t="n"/>
      <c r="N280" s="88" t="n"/>
      <c r="O280" s="88" t="n"/>
      <c r="P280" s="94">
        <f>IF($G280="","",IF($G280&gt;=60,"Arrêt majeur — analyse 5 pourquoi",IF($G280&gt;=30,"À analyser en revue quotidienne",IF($K280="Planifié","Arrêt planifié","Aléa courant"))))</f>
        <v/>
      </c>
      <c r="Q280" s="95">
        <f>IF($A280="",0,IF(AND(OR(COCKPIT!$H$4="Toutes",$C280=COCKPIT!$H$4),OR(COCKPIT!$K$4="Toutes",$B280=COCKPIT!$K$4)),1,0))</f>
        <v/>
      </c>
    </row>
    <row r="281" ht="15" customHeight="1">
      <c r="A281" s="87" t="n"/>
      <c r="B281" s="88" t="n"/>
      <c r="C281" s="88" t="n"/>
      <c r="D281" s="88" t="n"/>
      <c r="E281" s="96" t="n"/>
      <c r="F281" s="96" t="n"/>
      <c r="G281" s="92">
        <f>IF(OR($E281="",$F281=""),"",ROUND(($F281-$E281+IF($F281&lt;$E281,1,0))*1440,0))</f>
        <v/>
      </c>
      <c r="H281" s="88" t="n"/>
      <c r="I281" s="94">
        <f>IF($H281="","",IFERROR(INDEX(PARAMETRES!$S$7:$S$46,MATCH($H281,PARAMETRES!$R$7:$R$46,0)),"Code inconnu"))</f>
        <v/>
      </c>
      <c r="J281" s="94">
        <f>IF($H281="","",IFERROR(INDEX(PARAMETRES!$T$7:$T$46,MATCH($H281,PARAMETRES!$R$7:$R$46,0)),""))</f>
        <v/>
      </c>
      <c r="K281" s="94">
        <f>IF($H281="","",IFERROR(INDEX(PARAMETRES!$U$7:$U$46,MATCH($H281,PARAMETRES!$R$7:$R$46,0)),""))</f>
        <v/>
      </c>
      <c r="L281" s="94">
        <f>IF($H281="","",IFERROR(INDEX(PARAMETRES!$V$7:$V$46,MATCH($H281,PARAMETRES!$R$7:$R$46,0)),""))</f>
        <v/>
      </c>
      <c r="M281" s="88" t="n"/>
      <c r="N281" s="88" t="n"/>
      <c r="O281" s="88" t="n"/>
      <c r="P281" s="94">
        <f>IF($G281="","",IF($G281&gt;=60,"Arrêt majeur — analyse 5 pourquoi",IF($G281&gt;=30,"À analyser en revue quotidienne",IF($K281="Planifié","Arrêt planifié","Aléa courant"))))</f>
        <v/>
      </c>
      <c r="Q281" s="95">
        <f>IF($A281="",0,IF(AND(OR(COCKPIT!$H$4="Toutes",$C281=COCKPIT!$H$4),OR(COCKPIT!$K$4="Toutes",$B281=COCKPIT!$K$4)),1,0))</f>
        <v/>
      </c>
    </row>
    <row r="282" ht="15" customHeight="1">
      <c r="A282" s="87" t="n"/>
      <c r="B282" s="88" t="n"/>
      <c r="C282" s="88" t="n"/>
      <c r="D282" s="88" t="n"/>
      <c r="E282" s="96" t="n"/>
      <c r="F282" s="96" t="n"/>
      <c r="G282" s="92">
        <f>IF(OR($E282="",$F282=""),"",ROUND(($F282-$E282+IF($F282&lt;$E282,1,0))*1440,0))</f>
        <v/>
      </c>
      <c r="H282" s="88" t="n"/>
      <c r="I282" s="94">
        <f>IF($H282="","",IFERROR(INDEX(PARAMETRES!$S$7:$S$46,MATCH($H282,PARAMETRES!$R$7:$R$46,0)),"Code inconnu"))</f>
        <v/>
      </c>
      <c r="J282" s="94">
        <f>IF($H282="","",IFERROR(INDEX(PARAMETRES!$T$7:$T$46,MATCH($H282,PARAMETRES!$R$7:$R$46,0)),""))</f>
        <v/>
      </c>
      <c r="K282" s="94">
        <f>IF($H282="","",IFERROR(INDEX(PARAMETRES!$U$7:$U$46,MATCH($H282,PARAMETRES!$R$7:$R$46,0)),""))</f>
        <v/>
      </c>
      <c r="L282" s="94">
        <f>IF($H282="","",IFERROR(INDEX(PARAMETRES!$V$7:$V$46,MATCH($H282,PARAMETRES!$R$7:$R$46,0)),""))</f>
        <v/>
      </c>
      <c r="M282" s="88" t="n"/>
      <c r="N282" s="88" t="n"/>
      <c r="O282" s="88" t="n"/>
      <c r="P282" s="94">
        <f>IF($G282="","",IF($G282&gt;=60,"Arrêt majeur — analyse 5 pourquoi",IF($G282&gt;=30,"À analyser en revue quotidienne",IF($K282="Planifié","Arrêt planifié","Aléa courant"))))</f>
        <v/>
      </c>
      <c r="Q282" s="95">
        <f>IF($A282="",0,IF(AND(OR(COCKPIT!$H$4="Toutes",$C282=COCKPIT!$H$4),OR(COCKPIT!$K$4="Toutes",$B282=COCKPIT!$K$4)),1,0))</f>
        <v/>
      </c>
    </row>
    <row r="283" ht="15" customHeight="1">
      <c r="A283" s="87" t="n"/>
      <c r="B283" s="88" t="n"/>
      <c r="C283" s="88" t="n"/>
      <c r="D283" s="88" t="n"/>
      <c r="E283" s="96" t="n"/>
      <c r="F283" s="96" t="n"/>
      <c r="G283" s="92">
        <f>IF(OR($E283="",$F283=""),"",ROUND(($F283-$E283+IF($F283&lt;$E283,1,0))*1440,0))</f>
        <v/>
      </c>
      <c r="H283" s="88" t="n"/>
      <c r="I283" s="94">
        <f>IF($H283="","",IFERROR(INDEX(PARAMETRES!$S$7:$S$46,MATCH($H283,PARAMETRES!$R$7:$R$46,0)),"Code inconnu"))</f>
        <v/>
      </c>
      <c r="J283" s="94">
        <f>IF($H283="","",IFERROR(INDEX(PARAMETRES!$T$7:$T$46,MATCH($H283,PARAMETRES!$R$7:$R$46,0)),""))</f>
        <v/>
      </c>
      <c r="K283" s="94">
        <f>IF($H283="","",IFERROR(INDEX(PARAMETRES!$U$7:$U$46,MATCH($H283,PARAMETRES!$R$7:$R$46,0)),""))</f>
        <v/>
      </c>
      <c r="L283" s="94">
        <f>IF($H283="","",IFERROR(INDEX(PARAMETRES!$V$7:$V$46,MATCH($H283,PARAMETRES!$R$7:$R$46,0)),""))</f>
        <v/>
      </c>
      <c r="M283" s="88" t="n"/>
      <c r="N283" s="88" t="n"/>
      <c r="O283" s="88" t="n"/>
      <c r="P283" s="94">
        <f>IF($G283="","",IF($G283&gt;=60,"Arrêt majeur — analyse 5 pourquoi",IF($G283&gt;=30,"À analyser en revue quotidienne",IF($K283="Planifié","Arrêt planifié","Aléa courant"))))</f>
        <v/>
      </c>
      <c r="Q283" s="95">
        <f>IF($A283="",0,IF(AND(OR(COCKPIT!$H$4="Toutes",$C283=COCKPIT!$H$4),OR(COCKPIT!$K$4="Toutes",$B283=COCKPIT!$K$4)),1,0))</f>
        <v/>
      </c>
    </row>
    <row r="284" ht="15" customHeight="1">
      <c r="A284" s="87" t="n"/>
      <c r="B284" s="88" t="n"/>
      <c r="C284" s="88" t="n"/>
      <c r="D284" s="88" t="n"/>
      <c r="E284" s="96" t="n"/>
      <c r="F284" s="96" t="n"/>
      <c r="G284" s="92">
        <f>IF(OR($E284="",$F284=""),"",ROUND(($F284-$E284+IF($F284&lt;$E284,1,0))*1440,0))</f>
        <v/>
      </c>
      <c r="H284" s="88" t="n"/>
      <c r="I284" s="94">
        <f>IF($H284="","",IFERROR(INDEX(PARAMETRES!$S$7:$S$46,MATCH($H284,PARAMETRES!$R$7:$R$46,0)),"Code inconnu"))</f>
        <v/>
      </c>
      <c r="J284" s="94">
        <f>IF($H284="","",IFERROR(INDEX(PARAMETRES!$T$7:$T$46,MATCH($H284,PARAMETRES!$R$7:$R$46,0)),""))</f>
        <v/>
      </c>
      <c r="K284" s="94">
        <f>IF($H284="","",IFERROR(INDEX(PARAMETRES!$U$7:$U$46,MATCH($H284,PARAMETRES!$R$7:$R$46,0)),""))</f>
        <v/>
      </c>
      <c r="L284" s="94">
        <f>IF($H284="","",IFERROR(INDEX(PARAMETRES!$V$7:$V$46,MATCH($H284,PARAMETRES!$R$7:$R$46,0)),""))</f>
        <v/>
      </c>
      <c r="M284" s="88" t="n"/>
      <c r="N284" s="88" t="n"/>
      <c r="O284" s="88" t="n"/>
      <c r="P284" s="94">
        <f>IF($G284="","",IF($G284&gt;=60,"Arrêt majeur — analyse 5 pourquoi",IF($G284&gt;=30,"À analyser en revue quotidienne",IF($K284="Planifié","Arrêt planifié","Aléa courant"))))</f>
        <v/>
      </c>
      <c r="Q284" s="95">
        <f>IF($A284="",0,IF(AND(OR(COCKPIT!$H$4="Toutes",$C284=COCKPIT!$H$4),OR(COCKPIT!$K$4="Toutes",$B284=COCKPIT!$K$4)),1,0))</f>
        <v/>
      </c>
    </row>
    <row r="285" ht="15" customHeight="1">
      <c r="A285" s="87" t="n"/>
      <c r="B285" s="88" t="n"/>
      <c r="C285" s="88" t="n"/>
      <c r="D285" s="88" t="n"/>
      <c r="E285" s="96" t="n"/>
      <c r="F285" s="96" t="n"/>
      <c r="G285" s="92">
        <f>IF(OR($E285="",$F285=""),"",ROUND(($F285-$E285+IF($F285&lt;$E285,1,0))*1440,0))</f>
        <v/>
      </c>
      <c r="H285" s="88" t="n"/>
      <c r="I285" s="94">
        <f>IF($H285="","",IFERROR(INDEX(PARAMETRES!$S$7:$S$46,MATCH($H285,PARAMETRES!$R$7:$R$46,0)),"Code inconnu"))</f>
        <v/>
      </c>
      <c r="J285" s="94">
        <f>IF($H285="","",IFERROR(INDEX(PARAMETRES!$T$7:$T$46,MATCH($H285,PARAMETRES!$R$7:$R$46,0)),""))</f>
        <v/>
      </c>
      <c r="K285" s="94">
        <f>IF($H285="","",IFERROR(INDEX(PARAMETRES!$U$7:$U$46,MATCH($H285,PARAMETRES!$R$7:$R$46,0)),""))</f>
        <v/>
      </c>
      <c r="L285" s="94">
        <f>IF($H285="","",IFERROR(INDEX(PARAMETRES!$V$7:$V$46,MATCH($H285,PARAMETRES!$R$7:$R$46,0)),""))</f>
        <v/>
      </c>
      <c r="M285" s="88" t="n"/>
      <c r="N285" s="88" t="n"/>
      <c r="O285" s="88" t="n"/>
      <c r="P285" s="94">
        <f>IF($G285="","",IF($G285&gt;=60,"Arrêt majeur — analyse 5 pourquoi",IF($G285&gt;=30,"À analyser en revue quotidienne",IF($K285="Planifié","Arrêt planifié","Aléa courant"))))</f>
        <v/>
      </c>
      <c r="Q285" s="95">
        <f>IF($A285="",0,IF(AND(OR(COCKPIT!$H$4="Toutes",$C285=COCKPIT!$H$4),OR(COCKPIT!$K$4="Toutes",$B285=COCKPIT!$K$4)),1,0))</f>
        <v/>
      </c>
    </row>
    <row r="286" ht="15" customHeight="1">
      <c r="A286" s="87" t="n"/>
      <c r="B286" s="88" t="n"/>
      <c r="C286" s="88" t="n"/>
      <c r="D286" s="88" t="n"/>
      <c r="E286" s="96" t="n"/>
      <c r="F286" s="96" t="n"/>
      <c r="G286" s="92">
        <f>IF(OR($E286="",$F286=""),"",ROUND(($F286-$E286+IF($F286&lt;$E286,1,0))*1440,0))</f>
        <v/>
      </c>
      <c r="H286" s="88" t="n"/>
      <c r="I286" s="94">
        <f>IF($H286="","",IFERROR(INDEX(PARAMETRES!$S$7:$S$46,MATCH($H286,PARAMETRES!$R$7:$R$46,0)),"Code inconnu"))</f>
        <v/>
      </c>
      <c r="J286" s="94">
        <f>IF($H286="","",IFERROR(INDEX(PARAMETRES!$T$7:$T$46,MATCH($H286,PARAMETRES!$R$7:$R$46,0)),""))</f>
        <v/>
      </c>
      <c r="K286" s="94">
        <f>IF($H286="","",IFERROR(INDEX(PARAMETRES!$U$7:$U$46,MATCH($H286,PARAMETRES!$R$7:$R$46,0)),""))</f>
        <v/>
      </c>
      <c r="L286" s="94">
        <f>IF($H286="","",IFERROR(INDEX(PARAMETRES!$V$7:$V$46,MATCH($H286,PARAMETRES!$R$7:$R$46,0)),""))</f>
        <v/>
      </c>
      <c r="M286" s="88" t="n"/>
      <c r="N286" s="88" t="n"/>
      <c r="O286" s="88" t="n"/>
      <c r="P286" s="94">
        <f>IF($G286="","",IF($G286&gt;=60,"Arrêt majeur — analyse 5 pourquoi",IF($G286&gt;=30,"À analyser en revue quotidienne",IF($K286="Planifié","Arrêt planifié","Aléa courant"))))</f>
        <v/>
      </c>
      <c r="Q286" s="95">
        <f>IF($A286="",0,IF(AND(OR(COCKPIT!$H$4="Toutes",$C286=COCKPIT!$H$4),OR(COCKPIT!$K$4="Toutes",$B286=COCKPIT!$K$4)),1,0))</f>
        <v/>
      </c>
    </row>
    <row r="287" ht="15" customHeight="1">
      <c r="A287" s="87" t="n"/>
      <c r="B287" s="88" t="n"/>
      <c r="C287" s="88" t="n"/>
      <c r="D287" s="88" t="n"/>
      <c r="E287" s="96" t="n"/>
      <c r="F287" s="96" t="n"/>
      <c r="G287" s="92">
        <f>IF(OR($E287="",$F287=""),"",ROUND(($F287-$E287+IF($F287&lt;$E287,1,0))*1440,0))</f>
        <v/>
      </c>
      <c r="H287" s="88" t="n"/>
      <c r="I287" s="94">
        <f>IF($H287="","",IFERROR(INDEX(PARAMETRES!$S$7:$S$46,MATCH($H287,PARAMETRES!$R$7:$R$46,0)),"Code inconnu"))</f>
        <v/>
      </c>
      <c r="J287" s="94">
        <f>IF($H287="","",IFERROR(INDEX(PARAMETRES!$T$7:$T$46,MATCH($H287,PARAMETRES!$R$7:$R$46,0)),""))</f>
        <v/>
      </c>
      <c r="K287" s="94">
        <f>IF($H287="","",IFERROR(INDEX(PARAMETRES!$U$7:$U$46,MATCH($H287,PARAMETRES!$R$7:$R$46,0)),""))</f>
        <v/>
      </c>
      <c r="L287" s="94">
        <f>IF($H287="","",IFERROR(INDEX(PARAMETRES!$V$7:$V$46,MATCH($H287,PARAMETRES!$R$7:$R$46,0)),""))</f>
        <v/>
      </c>
      <c r="M287" s="88" t="n"/>
      <c r="N287" s="88" t="n"/>
      <c r="O287" s="88" t="n"/>
      <c r="P287" s="94">
        <f>IF($G287="","",IF($G287&gt;=60,"Arrêt majeur — analyse 5 pourquoi",IF($G287&gt;=30,"À analyser en revue quotidienne",IF($K287="Planifié","Arrêt planifié","Aléa courant"))))</f>
        <v/>
      </c>
      <c r="Q287" s="95">
        <f>IF($A287="",0,IF(AND(OR(COCKPIT!$H$4="Toutes",$C287=COCKPIT!$H$4),OR(COCKPIT!$K$4="Toutes",$B287=COCKPIT!$K$4)),1,0))</f>
        <v/>
      </c>
    </row>
    <row r="288" ht="15" customHeight="1">
      <c r="A288" s="87" t="n"/>
      <c r="B288" s="88" t="n"/>
      <c r="C288" s="88" t="n"/>
      <c r="D288" s="88" t="n"/>
      <c r="E288" s="96" t="n"/>
      <c r="F288" s="96" t="n"/>
      <c r="G288" s="92">
        <f>IF(OR($E288="",$F288=""),"",ROUND(($F288-$E288+IF($F288&lt;$E288,1,0))*1440,0))</f>
        <v/>
      </c>
      <c r="H288" s="88" t="n"/>
      <c r="I288" s="94">
        <f>IF($H288="","",IFERROR(INDEX(PARAMETRES!$S$7:$S$46,MATCH($H288,PARAMETRES!$R$7:$R$46,0)),"Code inconnu"))</f>
        <v/>
      </c>
      <c r="J288" s="94">
        <f>IF($H288="","",IFERROR(INDEX(PARAMETRES!$T$7:$T$46,MATCH($H288,PARAMETRES!$R$7:$R$46,0)),""))</f>
        <v/>
      </c>
      <c r="K288" s="94">
        <f>IF($H288="","",IFERROR(INDEX(PARAMETRES!$U$7:$U$46,MATCH($H288,PARAMETRES!$R$7:$R$46,0)),""))</f>
        <v/>
      </c>
      <c r="L288" s="94">
        <f>IF($H288="","",IFERROR(INDEX(PARAMETRES!$V$7:$V$46,MATCH($H288,PARAMETRES!$R$7:$R$46,0)),""))</f>
        <v/>
      </c>
      <c r="M288" s="88" t="n"/>
      <c r="N288" s="88" t="n"/>
      <c r="O288" s="88" t="n"/>
      <c r="P288" s="94">
        <f>IF($G288="","",IF($G288&gt;=60,"Arrêt majeur — analyse 5 pourquoi",IF($G288&gt;=30,"À analyser en revue quotidienne",IF($K288="Planifié","Arrêt planifié","Aléa courant"))))</f>
        <v/>
      </c>
      <c r="Q288" s="95">
        <f>IF($A288="",0,IF(AND(OR(COCKPIT!$H$4="Toutes",$C288=COCKPIT!$H$4),OR(COCKPIT!$K$4="Toutes",$B288=COCKPIT!$K$4)),1,0))</f>
        <v/>
      </c>
    </row>
    <row r="289" ht="15" customHeight="1">
      <c r="A289" s="87" t="n"/>
      <c r="B289" s="88" t="n"/>
      <c r="C289" s="88" t="n"/>
      <c r="D289" s="88" t="n"/>
      <c r="E289" s="96" t="n"/>
      <c r="F289" s="96" t="n"/>
      <c r="G289" s="92">
        <f>IF(OR($E289="",$F289=""),"",ROUND(($F289-$E289+IF($F289&lt;$E289,1,0))*1440,0))</f>
        <v/>
      </c>
      <c r="H289" s="88" t="n"/>
      <c r="I289" s="94">
        <f>IF($H289="","",IFERROR(INDEX(PARAMETRES!$S$7:$S$46,MATCH($H289,PARAMETRES!$R$7:$R$46,0)),"Code inconnu"))</f>
        <v/>
      </c>
      <c r="J289" s="94">
        <f>IF($H289="","",IFERROR(INDEX(PARAMETRES!$T$7:$T$46,MATCH($H289,PARAMETRES!$R$7:$R$46,0)),""))</f>
        <v/>
      </c>
      <c r="K289" s="94">
        <f>IF($H289="","",IFERROR(INDEX(PARAMETRES!$U$7:$U$46,MATCH($H289,PARAMETRES!$R$7:$R$46,0)),""))</f>
        <v/>
      </c>
      <c r="L289" s="94">
        <f>IF($H289="","",IFERROR(INDEX(PARAMETRES!$V$7:$V$46,MATCH($H289,PARAMETRES!$R$7:$R$46,0)),""))</f>
        <v/>
      </c>
      <c r="M289" s="88" t="n"/>
      <c r="N289" s="88" t="n"/>
      <c r="O289" s="88" t="n"/>
      <c r="P289" s="94">
        <f>IF($G289="","",IF($G289&gt;=60,"Arrêt majeur — analyse 5 pourquoi",IF($G289&gt;=30,"À analyser en revue quotidienne",IF($K289="Planifié","Arrêt planifié","Aléa courant"))))</f>
        <v/>
      </c>
      <c r="Q289" s="95">
        <f>IF($A289="",0,IF(AND(OR(COCKPIT!$H$4="Toutes",$C289=COCKPIT!$H$4),OR(COCKPIT!$K$4="Toutes",$B289=COCKPIT!$K$4)),1,0))</f>
        <v/>
      </c>
    </row>
    <row r="290" ht="15" customHeight="1">
      <c r="A290" s="87" t="n"/>
      <c r="B290" s="88" t="n"/>
      <c r="C290" s="88" t="n"/>
      <c r="D290" s="88" t="n"/>
      <c r="E290" s="96" t="n"/>
      <c r="F290" s="96" t="n"/>
      <c r="G290" s="92">
        <f>IF(OR($E290="",$F290=""),"",ROUND(($F290-$E290+IF($F290&lt;$E290,1,0))*1440,0))</f>
        <v/>
      </c>
      <c r="H290" s="88" t="n"/>
      <c r="I290" s="94">
        <f>IF($H290="","",IFERROR(INDEX(PARAMETRES!$S$7:$S$46,MATCH($H290,PARAMETRES!$R$7:$R$46,0)),"Code inconnu"))</f>
        <v/>
      </c>
      <c r="J290" s="94">
        <f>IF($H290="","",IFERROR(INDEX(PARAMETRES!$T$7:$T$46,MATCH($H290,PARAMETRES!$R$7:$R$46,0)),""))</f>
        <v/>
      </c>
      <c r="K290" s="94">
        <f>IF($H290="","",IFERROR(INDEX(PARAMETRES!$U$7:$U$46,MATCH($H290,PARAMETRES!$R$7:$R$46,0)),""))</f>
        <v/>
      </c>
      <c r="L290" s="94">
        <f>IF($H290="","",IFERROR(INDEX(PARAMETRES!$V$7:$V$46,MATCH($H290,PARAMETRES!$R$7:$R$46,0)),""))</f>
        <v/>
      </c>
      <c r="M290" s="88" t="n"/>
      <c r="N290" s="88" t="n"/>
      <c r="O290" s="88" t="n"/>
      <c r="P290" s="94">
        <f>IF($G290="","",IF($G290&gt;=60,"Arrêt majeur — analyse 5 pourquoi",IF($G290&gt;=30,"À analyser en revue quotidienne",IF($K290="Planifié","Arrêt planifié","Aléa courant"))))</f>
        <v/>
      </c>
      <c r="Q290" s="95">
        <f>IF($A290="",0,IF(AND(OR(COCKPIT!$H$4="Toutes",$C290=COCKPIT!$H$4),OR(COCKPIT!$K$4="Toutes",$B290=COCKPIT!$K$4)),1,0))</f>
        <v/>
      </c>
    </row>
    <row r="291" ht="15" customHeight="1">
      <c r="A291" s="87" t="n"/>
      <c r="B291" s="88" t="n"/>
      <c r="C291" s="88" t="n"/>
      <c r="D291" s="88" t="n"/>
      <c r="E291" s="96" t="n"/>
      <c r="F291" s="96" t="n"/>
      <c r="G291" s="92">
        <f>IF(OR($E291="",$F291=""),"",ROUND(($F291-$E291+IF($F291&lt;$E291,1,0))*1440,0))</f>
        <v/>
      </c>
      <c r="H291" s="88" t="n"/>
      <c r="I291" s="94">
        <f>IF($H291="","",IFERROR(INDEX(PARAMETRES!$S$7:$S$46,MATCH($H291,PARAMETRES!$R$7:$R$46,0)),"Code inconnu"))</f>
        <v/>
      </c>
      <c r="J291" s="94">
        <f>IF($H291="","",IFERROR(INDEX(PARAMETRES!$T$7:$T$46,MATCH($H291,PARAMETRES!$R$7:$R$46,0)),""))</f>
        <v/>
      </c>
      <c r="K291" s="94">
        <f>IF($H291="","",IFERROR(INDEX(PARAMETRES!$U$7:$U$46,MATCH($H291,PARAMETRES!$R$7:$R$46,0)),""))</f>
        <v/>
      </c>
      <c r="L291" s="94">
        <f>IF($H291="","",IFERROR(INDEX(PARAMETRES!$V$7:$V$46,MATCH($H291,PARAMETRES!$R$7:$R$46,0)),""))</f>
        <v/>
      </c>
      <c r="M291" s="88" t="n"/>
      <c r="N291" s="88" t="n"/>
      <c r="O291" s="88" t="n"/>
      <c r="P291" s="94">
        <f>IF($G291="","",IF($G291&gt;=60,"Arrêt majeur — analyse 5 pourquoi",IF($G291&gt;=30,"À analyser en revue quotidienne",IF($K291="Planifié","Arrêt planifié","Aléa courant"))))</f>
        <v/>
      </c>
      <c r="Q291" s="95">
        <f>IF($A291="",0,IF(AND(OR(COCKPIT!$H$4="Toutes",$C291=COCKPIT!$H$4),OR(COCKPIT!$K$4="Toutes",$B291=COCKPIT!$K$4)),1,0))</f>
        <v/>
      </c>
    </row>
    <row r="292" ht="15" customHeight="1">
      <c r="A292" s="87" t="n"/>
      <c r="B292" s="88" t="n"/>
      <c r="C292" s="88" t="n"/>
      <c r="D292" s="88" t="n"/>
      <c r="E292" s="96" t="n"/>
      <c r="F292" s="96" t="n"/>
      <c r="G292" s="92">
        <f>IF(OR($E292="",$F292=""),"",ROUND(($F292-$E292+IF($F292&lt;$E292,1,0))*1440,0))</f>
        <v/>
      </c>
      <c r="H292" s="88" t="n"/>
      <c r="I292" s="94">
        <f>IF($H292="","",IFERROR(INDEX(PARAMETRES!$S$7:$S$46,MATCH($H292,PARAMETRES!$R$7:$R$46,0)),"Code inconnu"))</f>
        <v/>
      </c>
      <c r="J292" s="94">
        <f>IF($H292="","",IFERROR(INDEX(PARAMETRES!$T$7:$T$46,MATCH($H292,PARAMETRES!$R$7:$R$46,0)),""))</f>
        <v/>
      </c>
      <c r="K292" s="94">
        <f>IF($H292="","",IFERROR(INDEX(PARAMETRES!$U$7:$U$46,MATCH($H292,PARAMETRES!$R$7:$R$46,0)),""))</f>
        <v/>
      </c>
      <c r="L292" s="94">
        <f>IF($H292="","",IFERROR(INDEX(PARAMETRES!$V$7:$V$46,MATCH($H292,PARAMETRES!$R$7:$R$46,0)),""))</f>
        <v/>
      </c>
      <c r="M292" s="88" t="n"/>
      <c r="N292" s="88" t="n"/>
      <c r="O292" s="88" t="n"/>
      <c r="P292" s="94">
        <f>IF($G292="","",IF($G292&gt;=60,"Arrêt majeur — analyse 5 pourquoi",IF($G292&gt;=30,"À analyser en revue quotidienne",IF($K292="Planifié","Arrêt planifié","Aléa courant"))))</f>
        <v/>
      </c>
      <c r="Q292" s="95">
        <f>IF($A292="",0,IF(AND(OR(COCKPIT!$H$4="Toutes",$C292=COCKPIT!$H$4),OR(COCKPIT!$K$4="Toutes",$B292=COCKPIT!$K$4)),1,0))</f>
        <v/>
      </c>
    </row>
    <row r="293" ht="15" customHeight="1">
      <c r="A293" s="87" t="n"/>
      <c r="B293" s="88" t="n"/>
      <c r="C293" s="88" t="n"/>
      <c r="D293" s="88" t="n"/>
      <c r="E293" s="96" t="n"/>
      <c r="F293" s="96" t="n"/>
      <c r="G293" s="92">
        <f>IF(OR($E293="",$F293=""),"",ROUND(($F293-$E293+IF($F293&lt;$E293,1,0))*1440,0))</f>
        <v/>
      </c>
      <c r="H293" s="88" t="n"/>
      <c r="I293" s="94">
        <f>IF($H293="","",IFERROR(INDEX(PARAMETRES!$S$7:$S$46,MATCH($H293,PARAMETRES!$R$7:$R$46,0)),"Code inconnu"))</f>
        <v/>
      </c>
      <c r="J293" s="94">
        <f>IF($H293="","",IFERROR(INDEX(PARAMETRES!$T$7:$T$46,MATCH($H293,PARAMETRES!$R$7:$R$46,0)),""))</f>
        <v/>
      </c>
      <c r="K293" s="94">
        <f>IF($H293="","",IFERROR(INDEX(PARAMETRES!$U$7:$U$46,MATCH($H293,PARAMETRES!$R$7:$R$46,0)),""))</f>
        <v/>
      </c>
      <c r="L293" s="94">
        <f>IF($H293="","",IFERROR(INDEX(PARAMETRES!$V$7:$V$46,MATCH($H293,PARAMETRES!$R$7:$R$46,0)),""))</f>
        <v/>
      </c>
      <c r="M293" s="88" t="n"/>
      <c r="N293" s="88" t="n"/>
      <c r="O293" s="88" t="n"/>
      <c r="P293" s="94">
        <f>IF($G293="","",IF($G293&gt;=60,"Arrêt majeur — analyse 5 pourquoi",IF($G293&gt;=30,"À analyser en revue quotidienne",IF($K293="Planifié","Arrêt planifié","Aléa courant"))))</f>
        <v/>
      </c>
      <c r="Q293" s="95">
        <f>IF($A293="",0,IF(AND(OR(COCKPIT!$H$4="Toutes",$C293=COCKPIT!$H$4),OR(COCKPIT!$K$4="Toutes",$B293=COCKPIT!$K$4)),1,0))</f>
        <v/>
      </c>
    </row>
    <row r="294" ht="15" customHeight="1">
      <c r="A294" s="87" t="n"/>
      <c r="B294" s="88" t="n"/>
      <c r="C294" s="88" t="n"/>
      <c r="D294" s="88" t="n"/>
      <c r="E294" s="96" t="n"/>
      <c r="F294" s="96" t="n"/>
      <c r="G294" s="92">
        <f>IF(OR($E294="",$F294=""),"",ROUND(($F294-$E294+IF($F294&lt;$E294,1,0))*1440,0))</f>
        <v/>
      </c>
      <c r="H294" s="88" t="n"/>
      <c r="I294" s="94">
        <f>IF($H294="","",IFERROR(INDEX(PARAMETRES!$S$7:$S$46,MATCH($H294,PARAMETRES!$R$7:$R$46,0)),"Code inconnu"))</f>
        <v/>
      </c>
      <c r="J294" s="94">
        <f>IF($H294="","",IFERROR(INDEX(PARAMETRES!$T$7:$T$46,MATCH($H294,PARAMETRES!$R$7:$R$46,0)),""))</f>
        <v/>
      </c>
      <c r="K294" s="94">
        <f>IF($H294="","",IFERROR(INDEX(PARAMETRES!$U$7:$U$46,MATCH($H294,PARAMETRES!$R$7:$R$46,0)),""))</f>
        <v/>
      </c>
      <c r="L294" s="94">
        <f>IF($H294="","",IFERROR(INDEX(PARAMETRES!$V$7:$V$46,MATCH($H294,PARAMETRES!$R$7:$R$46,0)),""))</f>
        <v/>
      </c>
      <c r="M294" s="88" t="n"/>
      <c r="N294" s="88" t="n"/>
      <c r="O294" s="88" t="n"/>
      <c r="P294" s="94">
        <f>IF($G294="","",IF($G294&gt;=60,"Arrêt majeur — analyse 5 pourquoi",IF($G294&gt;=30,"À analyser en revue quotidienne",IF($K294="Planifié","Arrêt planifié","Aléa courant"))))</f>
        <v/>
      </c>
      <c r="Q294" s="95">
        <f>IF($A294="",0,IF(AND(OR(COCKPIT!$H$4="Toutes",$C294=COCKPIT!$H$4),OR(COCKPIT!$K$4="Toutes",$B294=COCKPIT!$K$4)),1,0))</f>
        <v/>
      </c>
    </row>
    <row r="295" ht="15" customHeight="1">
      <c r="A295" s="87" t="n"/>
      <c r="B295" s="88" t="n"/>
      <c r="C295" s="88" t="n"/>
      <c r="D295" s="88" t="n"/>
      <c r="E295" s="96" t="n"/>
      <c r="F295" s="96" t="n"/>
      <c r="G295" s="92">
        <f>IF(OR($E295="",$F295=""),"",ROUND(($F295-$E295+IF($F295&lt;$E295,1,0))*1440,0))</f>
        <v/>
      </c>
      <c r="H295" s="88" t="n"/>
      <c r="I295" s="94">
        <f>IF($H295="","",IFERROR(INDEX(PARAMETRES!$S$7:$S$46,MATCH($H295,PARAMETRES!$R$7:$R$46,0)),"Code inconnu"))</f>
        <v/>
      </c>
      <c r="J295" s="94">
        <f>IF($H295="","",IFERROR(INDEX(PARAMETRES!$T$7:$T$46,MATCH($H295,PARAMETRES!$R$7:$R$46,0)),""))</f>
        <v/>
      </c>
      <c r="K295" s="94">
        <f>IF($H295="","",IFERROR(INDEX(PARAMETRES!$U$7:$U$46,MATCH($H295,PARAMETRES!$R$7:$R$46,0)),""))</f>
        <v/>
      </c>
      <c r="L295" s="94">
        <f>IF($H295="","",IFERROR(INDEX(PARAMETRES!$V$7:$V$46,MATCH($H295,PARAMETRES!$R$7:$R$46,0)),""))</f>
        <v/>
      </c>
      <c r="M295" s="88" t="n"/>
      <c r="N295" s="88" t="n"/>
      <c r="O295" s="88" t="n"/>
      <c r="P295" s="94">
        <f>IF($G295="","",IF($G295&gt;=60,"Arrêt majeur — analyse 5 pourquoi",IF($G295&gt;=30,"À analyser en revue quotidienne",IF($K295="Planifié","Arrêt planifié","Aléa courant"))))</f>
        <v/>
      </c>
      <c r="Q295" s="95">
        <f>IF($A295="",0,IF(AND(OR(COCKPIT!$H$4="Toutes",$C295=COCKPIT!$H$4),OR(COCKPIT!$K$4="Toutes",$B295=COCKPIT!$K$4)),1,0))</f>
        <v/>
      </c>
    </row>
    <row r="296" ht="15" customHeight="1">
      <c r="A296" s="87" t="n"/>
      <c r="B296" s="88" t="n"/>
      <c r="C296" s="88" t="n"/>
      <c r="D296" s="88" t="n"/>
      <c r="E296" s="96" t="n"/>
      <c r="F296" s="96" t="n"/>
      <c r="G296" s="92">
        <f>IF(OR($E296="",$F296=""),"",ROUND(($F296-$E296+IF($F296&lt;$E296,1,0))*1440,0))</f>
        <v/>
      </c>
      <c r="H296" s="88" t="n"/>
      <c r="I296" s="94">
        <f>IF($H296="","",IFERROR(INDEX(PARAMETRES!$S$7:$S$46,MATCH($H296,PARAMETRES!$R$7:$R$46,0)),"Code inconnu"))</f>
        <v/>
      </c>
      <c r="J296" s="94">
        <f>IF($H296="","",IFERROR(INDEX(PARAMETRES!$T$7:$T$46,MATCH($H296,PARAMETRES!$R$7:$R$46,0)),""))</f>
        <v/>
      </c>
      <c r="K296" s="94">
        <f>IF($H296="","",IFERROR(INDEX(PARAMETRES!$U$7:$U$46,MATCH($H296,PARAMETRES!$R$7:$R$46,0)),""))</f>
        <v/>
      </c>
      <c r="L296" s="94">
        <f>IF($H296="","",IFERROR(INDEX(PARAMETRES!$V$7:$V$46,MATCH($H296,PARAMETRES!$R$7:$R$46,0)),""))</f>
        <v/>
      </c>
      <c r="M296" s="88" t="n"/>
      <c r="N296" s="88" t="n"/>
      <c r="O296" s="88" t="n"/>
      <c r="P296" s="94">
        <f>IF($G296="","",IF($G296&gt;=60,"Arrêt majeur — analyse 5 pourquoi",IF($G296&gt;=30,"À analyser en revue quotidienne",IF($K296="Planifié","Arrêt planifié","Aléa courant"))))</f>
        <v/>
      </c>
      <c r="Q296" s="95">
        <f>IF($A296="",0,IF(AND(OR(COCKPIT!$H$4="Toutes",$C296=COCKPIT!$H$4),OR(COCKPIT!$K$4="Toutes",$B296=COCKPIT!$K$4)),1,0))</f>
        <v/>
      </c>
    </row>
    <row r="297" ht="15" customHeight="1">
      <c r="A297" s="87" t="n"/>
      <c r="B297" s="88" t="n"/>
      <c r="C297" s="88" t="n"/>
      <c r="D297" s="88" t="n"/>
      <c r="E297" s="96" t="n"/>
      <c r="F297" s="96" t="n"/>
      <c r="G297" s="92">
        <f>IF(OR($E297="",$F297=""),"",ROUND(($F297-$E297+IF($F297&lt;$E297,1,0))*1440,0))</f>
        <v/>
      </c>
      <c r="H297" s="88" t="n"/>
      <c r="I297" s="94">
        <f>IF($H297="","",IFERROR(INDEX(PARAMETRES!$S$7:$S$46,MATCH($H297,PARAMETRES!$R$7:$R$46,0)),"Code inconnu"))</f>
        <v/>
      </c>
      <c r="J297" s="94">
        <f>IF($H297="","",IFERROR(INDEX(PARAMETRES!$T$7:$T$46,MATCH($H297,PARAMETRES!$R$7:$R$46,0)),""))</f>
        <v/>
      </c>
      <c r="K297" s="94">
        <f>IF($H297="","",IFERROR(INDEX(PARAMETRES!$U$7:$U$46,MATCH($H297,PARAMETRES!$R$7:$R$46,0)),""))</f>
        <v/>
      </c>
      <c r="L297" s="94">
        <f>IF($H297="","",IFERROR(INDEX(PARAMETRES!$V$7:$V$46,MATCH($H297,PARAMETRES!$R$7:$R$46,0)),""))</f>
        <v/>
      </c>
      <c r="M297" s="88" t="n"/>
      <c r="N297" s="88" t="n"/>
      <c r="O297" s="88" t="n"/>
      <c r="P297" s="94">
        <f>IF($G297="","",IF($G297&gt;=60,"Arrêt majeur — analyse 5 pourquoi",IF($G297&gt;=30,"À analyser en revue quotidienne",IF($K297="Planifié","Arrêt planifié","Aléa courant"))))</f>
        <v/>
      </c>
      <c r="Q297" s="95">
        <f>IF($A297="",0,IF(AND(OR(COCKPIT!$H$4="Toutes",$C297=COCKPIT!$H$4),OR(COCKPIT!$K$4="Toutes",$B297=COCKPIT!$K$4)),1,0))</f>
        <v/>
      </c>
    </row>
    <row r="298" ht="15" customHeight="1">
      <c r="A298" s="87" t="n"/>
      <c r="B298" s="88" t="n"/>
      <c r="C298" s="88" t="n"/>
      <c r="D298" s="88" t="n"/>
      <c r="E298" s="96" t="n"/>
      <c r="F298" s="96" t="n"/>
      <c r="G298" s="92">
        <f>IF(OR($E298="",$F298=""),"",ROUND(($F298-$E298+IF($F298&lt;$E298,1,0))*1440,0))</f>
        <v/>
      </c>
      <c r="H298" s="88" t="n"/>
      <c r="I298" s="94">
        <f>IF($H298="","",IFERROR(INDEX(PARAMETRES!$S$7:$S$46,MATCH($H298,PARAMETRES!$R$7:$R$46,0)),"Code inconnu"))</f>
        <v/>
      </c>
      <c r="J298" s="94">
        <f>IF($H298="","",IFERROR(INDEX(PARAMETRES!$T$7:$T$46,MATCH($H298,PARAMETRES!$R$7:$R$46,0)),""))</f>
        <v/>
      </c>
      <c r="K298" s="94">
        <f>IF($H298="","",IFERROR(INDEX(PARAMETRES!$U$7:$U$46,MATCH($H298,PARAMETRES!$R$7:$R$46,0)),""))</f>
        <v/>
      </c>
      <c r="L298" s="94">
        <f>IF($H298="","",IFERROR(INDEX(PARAMETRES!$V$7:$V$46,MATCH($H298,PARAMETRES!$R$7:$R$46,0)),""))</f>
        <v/>
      </c>
      <c r="M298" s="88" t="n"/>
      <c r="N298" s="88" t="n"/>
      <c r="O298" s="88" t="n"/>
      <c r="P298" s="94">
        <f>IF($G298="","",IF($G298&gt;=60,"Arrêt majeur — analyse 5 pourquoi",IF($G298&gt;=30,"À analyser en revue quotidienne",IF($K298="Planifié","Arrêt planifié","Aléa courant"))))</f>
        <v/>
      </c>
      <c r="Q298" s="95">
        <f>IF($A298="",0,IF(AND(OR(COCKPIT!$H$4="Toutes",$C298=COCKPIT!$H$4),OR(COCKPIT!$K$4="Toutes",$B298=COCKPIT!$K$4)),1,0))</f>
        <v/>
      </c>
    </row>
    <row r="299" ht="15" customHeight="1">
      <c r="A299" s="87" t="n"/>
      <c r="B299" s="88" t="n"/>
      <c r="C299" s="88" t="n"/>
      <c r="D299" s="88" t="n"/>
      <c r="E299" s="96" t="n"/>
      <c r="F299" s="96" t="n"/>
      <c r="G299" s="92">
        <f>IF(OR($E299="",$F299=""),"",ROUND(($F299-$E299+IF($F299&lt;$E299,1,0))*1440,0))</f>
        <v/>
      </c>
      <c r="H299" s="88" t="n"/>
      <c r="I299" s="94">
        <f>IF($H299="","",IFERROR(INDEX(PARAMETRES!$S$7:$S$46,MATCH($H299,PARAMETRES!$R$7:$R$46,0)),"Code inconnu"))</f>
        <v/>
      </c>
      <c r="J299" s="94">
        <f>IF($H299="","",IFERROR(INDEX(PARAMETRES!$T$7:$T$46,MATCH($H299,PARAMETRES!$R$7:$R$46,0)),""))</f>
        <v/>
      </c>
      <c r="K299" s="94">
        <f>IF($H299="","",IFERROR(INDEX(PARAMETRES!$U$7:$U$46,MATCH($H299,PARAMETRES!$R$7:$R$46,0)),""))</f>
        <v/>
      </c>
      <c r="L299" s="94">
        <f>IF($H299="","",IFERROR(INDEX(PARAMETRES!$V$7:$V$46,MATCH($H299,PARAMETRES!$R$7:$R$46,0)),""))</f>
        <v/>
      </c>
      <c r="M299" s="88" t="n"/>
      <c r="N299" s="88" t="n"/>
      <c r="O299" s="88" t="n"/>
      <c r="P299" s="94">
        <f>IF($G299="","",IF($G299&gt;=60,"Arrêt majeur — analyse 5 pourquoi",IF($G299&gt;=30,"À analyser en revue quotidienne",IF($K299="Planifié","Arrêt planifié","Aléa courant"))))</f>
        <v/>
      </c>
      <c r="Q299" s="95">
        <f>IF($A299="",0,IF(AND(OR(COCKPIT!$H$4="Toutes",$C299=COCKPIT!$H$4),OR(COCKPIT!$K$4="Toutes",$B299=COCKPIT!$K$4)),1,0))</f>
        <v/>
      </c>
    </row>
    <row r="300" ht="15" customHeight="1">
      <c r="A300" s="87" t="n"/>
      <c r="B300" s="88" t="n"/>
      <c r="C300" s="88" t="n"/>
      <c r="D300" s="88" t="n"/>
      <c r="E300" s="96" t="n"/>
      <c r="F300" s="96" t="n"/>
      <c r="G300" s="92">
        <f>IF(OR($E300="",$F300=""),"",ROUND(($F300-$E300+IF($F300&lt;$E300,1,0))*1440,0))</f>
        <v/>
      </c>
      <c r="H300" s="88" t="n"/>
      <c r="I300" s="94">
        <f>IF($H300="","",IFERROR(INDEX(PARAMETRES!$S$7:$S$46,MATCH($H300,PARAMETRES!$R$7:$R$46,0)),"Code inconnu"))</f>
        <v/>
      </c>
      <c r="J300" s="94">
        <f>IF($H300="","",IFERROR(INDEX(PARAMETRES!$T$7:$T$46,MATCH($H300,PARAMETRES!$R$7:$R$46,0)),""))</f>
        <v/>
      </c>
      <c r="K300" s="94">
        <f>IF($H300="","",IFERROR(INDEX(PARAMETRES!$U$7:$U$46,MATCH($H300,PARAMETRES!$R$7:$R$46,0)),""))</f>
        <v/>
      </c>
      <c r="L300" s="94">
        <f>IF($H300="","",IFERROR(INDEX(PARAMETRES!$V$7:$V$46,MATCH($H300,PARAMETRES!$R$7:$R$46,0)),""))</f>
        <v/>
      </c>
      <c r="M300" s="88" t="n"/>
      <c r="N300" s="88" t="n"/>
      <c r="O300" s="88" t="n"/>
      <c r="P300" s="94">
        <f>IF($G300="","",IF($G300&gt;=60,"Arrêt majeur — analyse 5 pourquoi",IF($G300&gt;=30,"À analyser en revue quotidienne",IF($K300="Planifié","Arrêt planifié","Aléa courant"))))</f>
        <v/>
      </c>
      <c r="Q300" s="95">
        <f>IF($A300="",0,IF(AND(OR(COCKPIT!$H$4="Toutes",$C300=COCKPIT!$H$4),OR(COCKPIT!$K$4="Toutes",$B300=COCKPIT!$K$4)),1,0))</f>
        <v/>
      </c>
    </row>
    <row r="301" ht="15" customHeight="1">
      <c r="A301" s="87" t="n"/>
      <c r="B301" s="88" t="n"/>
      <c r="C301" s="88" t="n"/>
      <c r="D301" s="88" t="n"/>
      <c r="E301" s="96" t="n"/>
      <c r="F301" s="96" t="n"/>
      <c r="G301" s="92">
        <f>IF(OR($E301="",$F301=""),"",ROUND(($F301-$E301+IF($F301&lt;$E301,1,0))*1440,0))</f>
        <v/>
      </c>
      <c r="H301" s="88" t="n"/>
      <c r="I301" s="94">
        <f>IF($H301="","",IFERROR(INDEX(PARAMETRES!$S$7:$S$46,MATCH($H301,PARAMETRES!$R$7:$R$46,0)),"Code inconnu"))</f>
        <v/>
      </c>
      <c r="J301" s="94">
        <f>IF($H301="","",IFERROR(INDEX(PARAMETRES!$T$7:$T$46,MATCH($H301,PARAMETRES!$R$7:$R$46,0)),""))</f>
        <v/>
      </c>
      <c r="K301" s="94">
        <f>IF($H301="","",IFERROR(INDEX(PARAMETRES!$U$7:$U$46,MATCH($H301,PARAMETRES!$R$7:$R$46,0)),""))</f>
        <v/>
      </c>
      <c r="L301" s="94">
        <f>IF($H301="","",IFERROR(INDEX(PARAMETRES!$V$7:$V$46,MATCH($H301,PARAMETRES!$R$7:$R$46,0)),""))</f>
        <v/>
      </c>
      <c r="M301" s="88" t="n"/>
      <c r="N301" s="88" t="n"/>
      <c r="O301" s="88" t="n"/>
      <c r="P301" s="94">
        <f>IF($G301="","",IF($G301&gt;=60,"Arrêt majeur — analyse 5 pourquoi",IF($G301&gt;=30,"À analyser en revue quotidienne",IF($K301="Planifié","Arrêt planifié","Aléa courant"))))</f>
        <v/>
      </c>
      <c r="Q301" s="95">
        <f>IF($A301="",0,IF(AND(OR(COCKPIT!$H$4="Toutes",$C301=COCKPIT!$H$4),OR(COCKPIT!$K$4="Toutes",$B301=COCKPIT!$K$4)),1,0))</f>
        <v/>
      </c>
    </row>
    <row r="302" ht="15" customHeight="1">
      <c r="A302" s="87" t="n"/>
      <c r="B302" s="88" t="n"/>
      <c r="C302" s="88" t="n"/>
      <c r="D302" s="88" t="n"/>
      <c r="E302" s="96" t="n"/>
      <c r="F302" s="96" t="n"/>
      <c r="G302" s="92">
        <f>IF(OR($E302="",$F302=""),"",ROUND(($F302-$E302+IF($F302&lt;$E302,1,0))*1440,0))</f>
        <v/>
      </c>
      <c r="H302" s="88" t="n"/>
      <c r="I302" s="94">
        <f>IF($H302="","",IFERROR(INDEX(PARAMETRES!$S$7:$S$46,MATCH($H302,PARAMETRES!$R$7:$R$46,0)),"Code inconnu"))</f>
        <v/>
      </c>
      <c r="J302" s="94">
        <f>IF($H302="","",IFERROR(INDEX(PARAMETRES!$T$7:$T$46,MATCH($H302,PARAMETRES!$R$7:$R$46,0)),""))</f>
        <v/>
      </c>
      <c r="K302" s="94">
        <f>IF($H302="","",IFERROR(INDEX(PARAMETRES!$U$7:$U$46,MATCH($H302,PARAMETRES!$R$7:$R$46,0)),""))</f>
        <v/>
      </c>
      <c r="L302" s="94">
        <f>IF($H302="","",IFERROR(INDEX(PARAMETRES!$V$7:$V$46,MATCH($H302,PARAMETRES!$R$7:$R$46,0)),""))</f>
        <v/>
      </c>
      <c r="M302" s="88" t="n"/>
      <c r="N302" s="88" t="n"/>
      <c r="O302" s="88" t="n"/>
      <c r="P302" s="94">
        <f>IF($G302="","",IF($G302&gt;=60,"Arrêt majeur — analyse 5 pourquoi",IF($G302&gt;=30,"À analyser en revue quotidienne",IF($K302="Planifié","Arrêt planifié","Aléa courant"))))</f>
        <v/>
      </c>
      <c r="Q302" s="95">
        <f>IF($A302="",0,IF(AND(OR(COCKPIT!$H$4="Toutes",$C302=COCKPIT!$H$4),OR(COCKPIT!$K$4="Toutes",$B302=COCKPIT!$K$4)),1,0))</f>
        <v/>
      </c>
    </row>
    <row r="303" ht="15" customHeight="1">
      <c r="A303" s="87" t="n"/>
      <c r="B303" s="88" t="n"/>
      <c r="C303" s="88" t="n"/>
      <c r="D303" s="88" t="n"/>
      <c r="E303" s="96" t="n"/>
      <c r="F303" s="96" t="n"/>
      <c r="G303" s="92">
        <f>IF(OR($E303="",$F303=""),"",ROUND(($F303-$E303+IF($F303&lt;$E303,1,0))*1440,0))</f>
        <v/>
      </c>
      <c r="H303" s="88" t="n"/>
      <c r="I303" s="94">
        <f>IF($H303="","",IFERROR(INDEX(PARAMETRES!$S$7:$S$46,MATCH($H303,PARAMETRES!$R$7:$R$46,0)),"Code inconnu"))</f>
        <v/>
      </c>
      <c r="J303" s="94">
        <f>IF($H303="","",IFERROR(INDEX(PARAMETRES!$T$7:$T$46,MATCH($H303,PARAMETRES!$R$7:$R$46,0)),""))</f>
        <v/>
      </c>
      <c r="K303" s="94">
        <f>IF($H303="","",IFERROR(INDEX(PARAMETRES!$U$7:$U$46,MATCH($H303,PARAMETRES!$R$7:$R$46,0)),""))</f>
        <v/>
      </c>
      <c r="L303" s="94">
        <f>IF($H303="","",IFERROR(INDEX(PARAMETRES!$V$7:$V$46,MATCH($H303,PARAMETRES!$R$7:$R$46,0)),""))</f>
        <v/>
      </c>
      <c r="M303" s="88" t="n"/>
      <c r="N303" s="88" t="n"/>
      <c r="O303" s="88" t="n"/>
      <c r="P303" s="94">
        <f>IF($G303="","",IF($G303&gt;=60,"Arrêt majeur — analyse 5 pourquoi",IF($G303&gt;=30,"À analyser en revue quotidienne",IF($K303="Planifié","Arrêt planifié","Aléa courant"))))</f>
        <v/>
      </c>
      <c r="Q303" s="95">
        <f>IF($A303="",0,IF(AND(OR(COCKPIT!$H$4="Toutes",$C303=COCKPIT!$H$4),OR(COCKPIT!$K$4="Toutes",$B303=COCKPIT!$K$4)),1,0))</f>
        <v/>
      </c>
    </row>
    <row r="304" ht="15" customHeight="1">
      <c r="A304" s="87" t="n"/>
      <c r="B304" s="88" t="n"/>
      <c r="C304" s="88" t="n"/>
      <c r="D304" s="88" t="n"/>
      <c r="E304" s="96" t="n"/>
      <c r="F304" s="96" t="n"/>
      <c r="G304" s="92">
        <f>IF(OR($E304="",$F304=""),"",ROUND(($F304-$E304+IF($F304&lt;$E304,1,0))*1440,0))</f>
        <v/>
      </c>
      <c r="H304" s="88" t="n"/>
      <c r="I304" s="94">
        <f>IF($H304="","",IFERROR(INDEX(PARAMETRES!$S$7:$S$46,MATCH($H304,PARAMETRES!$R$7:$R$46,0)),"Code inconnu"))</f>
        <v/>
      </c>
      <c r="J304" s="94">
        <f>IF($H304="","",IFERROR(INDEX(PARAMETRES!$T$7:$T$46,MATCH($H304,PARAMETRES!$R$7:$R$46,0)),""))</f>
        <v/>
      </c>
      <c r="K304" s="94">
        <f>IF($H304="","",IFERROR(INDEX(PARAMETRES!$U$7:$U$46,MATCH($H304,PARAMETRES!$R$7:$R$46,0)),""))</f>
        <v/>
      </c>
      <c r="L304" s="94">
        <f>IF($H304="","",IFERROR(INDEX(PARAMETRES!$V$7:$V$46,MATCH($H304,PARAMETRES!$R$7:$R$46,0)),""))</f>
        <v/>
      </c>
      <c r="M304" s="88" t="n"/>
      <c r="N304" s="88" t="n"/>
      <c r="O304" s="88" t="n"/>
      <c r="P304" s="94">
        <f>IF($G304="","",IF($G304&gt;=60,"Arrêt majeur — analyse 5 pourquoi",IF($G304&gt;=30,"À analyser en revue quotidienne",IF($K304="Planifié","Arrêt planifié","Aléa courant"))))</f>
        <v/>
      </c>
      <c r="Q304" s="95">
        <f>IF($A304="",0,IF(AND(OR(COCKPIT!$H$4="Toutes",$C304=COCKPIT!$H$4),OR(COCKPIT!$K$4="Toutes",$B304=COCKPIT!$K$4)),1,0))</f>
        <v/>
      </c>
    </row>
    <row r="305" ht="15" customHeight="1">
      <c r="A305" s="87" t="n"/>
      <c r="B305" s="88" t="n"/>
      <c r="C305" s="88" t="n"/>
      <c r="D305" s="88" t="n"/>
      <c r="E305" s="96" t="n"/>
      <c r="F305" s="96" t="n"/>
      <c r="G305" s="92">
        <f>IF(OR($E305="",$F305=""),"",ROUND(($F305-$E305+IF($F305&lt;$E305,1,0))*1440,0))</f>
        <v/>
      </c>
      <c r="H305" s="88" t="n"/>
      <c r="I305" s="94">
        <f>IF($H305="","",IFERROR(INDEX(PARAMETRES!$S$7:$S$46,MATCH($H305,PARAMETRES!$R$7:$R$46,0)),"Code inconnu"))</f>
        <v/>
      </c>
      <c r="J305" s="94">
        <f>IF($H305="","",IFERROR(INDEX(PARAMETRES!$T$7:$T$46,MATCH($H305,PARAMETRES!$R$7:$R$46,0)),""))</f>
        <v/>
      </c>
      <c r="K305" s="94">
        <f>IF($H305="","",IFERROR(INDEX(PARAMETRES!$U$7:$U$46,MATCH($H305,PARAMETRES!$R$7:$R$46,0)),""))</f>
        <v/>
      </c>
      <c r="L305" s="94">
        <f>IF($H305="","",IFERROR(INDEX(PARAMETRES!$V$7:$V$46,MATCH($H305,PARAMETRES!$R$7:$R$46,0)),""))</f>
        <v/>
      </c>
      <c r="M305" s="88" t="n"/>
      <c r="N305" s="88" t="n"/>
      <c r="O305" s="88" t="n"/>
      <c r="P305" s="94">
        <f>IF($G305="","",IF($G305&gt;=60,"Arrêt majeur — analyse 5 pourquoi",IF($G305&gt;=30,"À analyser en revue quotidienne",IF($K305="Planifié","Arrêt planifié","Aléa courant"))))</f>
        <v/>
      </c>
      <c r="Q305" s="95">
        <f>IF($A305="",0,IF(AND(OR(COCKPIT!$H$4="Toutes",$C305=COCKPIT!$H$4),OR(COCKPIT!$K$4="Toutes",$B305=COCKPIT!$K$4)),1,0))</f>
        <v/>
      </c>
    </row>
    <row r="306" ht="15" customHeight="1">
      <c r="A306" s="87" t="n"/>
      <c r="B306" s="88" t="n"/>
      <c r="C306" s="88" t="n"/>
      <c r="D306" s="88" t="n"/>
      <c r="E306" s="96" t="n"/>
      <c r="F306" s="96" t="n"/>
      <c r="G306" s="92">
        <f>IF(OR($E306="",$F306=""),"",ROUND(($F306-$E306+IF($F306&lt;$E306,1,0))*1440,0))</f>
        <v/>
      </c>
      <c r="H306" s="88" t="n"/>
      <c r="I306" s="94">
        <f>IF($H306="","",IFERROR(INDEX(PARAMETRES!$S$7:$S$46,MATCH($H306,PARAMETRES!$R$7:$R$46,0)),"Code inconnu"))</f>
        <v/>
      </c>
      <c r="J306" s="94">
        <f>IF($H306="","",IFERROR(INDEX(PARAMETRES!$T$7:$T$46,MATCH($H306,PARAMETRES!$R$7:$R$46,0)),""))</f>
        <v/>
      </c>
      <c r="K306" s="94">
        <f>IF($H306="","",IFERROR(INDEX(PARAMETRES!$U$7:$U$46,MATCH($H306,PARAMETRES!$R$7:$R$46,0)),""))</f>
        <v/>
      </c>
      <c r="L306" s="94">
        <f>IF($H306="","",IFERROR(INDEX(PARAMETRES!$V$7:$V$46,MATCH($H306,PARAMETRES!$R$7:$R$46,0)),""))</f>
        <v/>
      </c>
      <c r="M306" s="88" t="n"/>
      <c r="N306" s="88" t="n"/>
      <c r="O306" s="88" t="n"/>
      <c r="P306" s="94">
        <f>IF($G306="","",IF($G306&gt;=60,"Arrêt majeur — analyse 5 pourquoi",IF($G306&gt;=30,"À analyser en revue quotidienne",IF($K306="Planifié","Arrêt planifié","Aléa courant"))))</f>
        <v/>
      </c>
      <c r="Q306" s="95">
        <f>IF($A306="",0,IF(AND(OR(COCKPIT!$H$4="Toutes",$C306=COCKPIT!$H$4),OR(COCKPIT!$K$4="Toutes",$B306=COCKPIT!$K$4)),1,0))</f>
        <v/>
      </c>
    </row>
    <row r="307" ht="15" customHeight="1">
      <c r="A307" s="87" t="n"/>
      <c r="B307" s="88" t="n"/>
      <c r="C307" s="88" t="n"/>
      <c r="D307" s="88" t="n"/>
      <c r="E307" s="96" t="n"/>
      <c r="F307" s="96" t="n"/>
      <c r="G307" s="92">
        <f>IF(OR($E307="",$F307=""),"",ROUND(($F307-$E307+IF($F307&lt;$E307,1,0))*1440,0))</f>
        <v/>
      </c>
      <c r="H307" s="88" t="n"/>
      <c r="I307" s="94">
        <f>IF($H307="","",IFERROR(INDEX(PARAMETRES!$S$7:$S$46,MATCH($H307,PARAMETRES!$R$7:$R$46,0)),"Code inconnu"))</f>
        <v/>
      </c>
      <c r="J307" s="94">
        <f>IF($H307="","",IFERROR(INDEX(PARAMETRES!$T$7:$T$46,MATCH($H307,PARAMETRES!$R$7:$R$46,0)),""))</f>
        <v/>
      </c>
      <c r="K307" s="94">
        <f>IF($H307="","",IFERROR(INDEX(PARAMETRES!$U$7:$U$46,MATCH($H307,PARAMETRES!$R$7:$R$46,0)),""))</f>
        <v/>
      </c>
      <c r="L307" s="94">
        <f>IF($H307="","",IFERROR(INDEX(PARAMETRES!$V$7:$V$46,MATCH($H307,PARAMETRES!$R$7:$R$46,0)),""))</f>
        <v/>
      </c>
      <c r="M307" s="88" t="n"/>
      <c r="N307" s="88" t="n"/>
      <c r="O307" s="88" t="n"/>
      <c r="P307" s="94">
        <f>IF($G307="","",IF($G307&gt;=60,"Arrêt majeur — analyse 5 pourquoi",IF($G307&gt;=30,"À analyser en revue quotidienne",IF($K307="Planifié","Arrêt planifié","Aléa courant"))))</f>
        <v/>
      </c>
      <c r="Q307" s="95">
        <f>IF($A307="",0,IF(AND(OR(COCKPIT!$H$4="Toutes",$C307=COCKPIT!$H$4),OR(COCKPIT!$K$4="Toutes",$B307=COCKPIT!$K$4)),1,0))</f>
        <v/>
      </c>
    </row>
    <row r="308" ht="15" customHeight="1">
      <c r="A308" s="87" t="n"/>
      <c r="B308" s="88" t="n"/>
      <c r="C308" s="88" t="n"/>
      <c r="D308" s="88" t="n"/>
      <c r="E308" s="96" t="n"/>
      <c r="F308" s="96" t="n"/>
      <c r="G308" s="92">
        <f>IF(OR($E308="",$F308=""),"",ROUND(($F308-$E308+IF($F308&lt;$E308,1,0))*1440,0))</f>
        <v/>
      </c>
      <c r="H308" s="88" t="n"/>
      <c r="I308" s="94">
        <f>IF($H308="","",IFERROR(INDEX(PARAMETRES!$S$7:$S$46,MATCH($H308,PARAMETRES!$R$7:$R$46,0)),"Code inconnu"))</f>
        <v/>
      </c>
      <c r="J308" s="94">
        <f>IF($H308="","",IFERROR(INDEX(PARAMETRES!$T$7:$T$46,MATCH($H308,PARAMETRES!$R$7:$R$46,0)),""))</f>
        <v/>
      </c>
      <c r="K308" s="94">
        <f>IF($H308="","",IFERROR(INDEX(PARAMETRES!$U$7:$U$46,MATCH($H308,PARAMETRES!$R$7:$R$46,0)),""))</f>
        <v/>
      </c>
      <c r="L308" s="94">
        <f>IF($H308="","",IFERROR(INDEX(PARAMETRES!$V$7:$V$46,MATCH($H308,PARAMETRES!$R$7:$R$46,0)),""))</f>
        <v/>
      </c>
      <c r="M308" s="88" t="n"/>
      <c r="N308" s="88" t="n"/>
      <c r="O308" s="88" t="n"/>
      <c r="P308" s="94">
        <f>IF($G308="","",IF($G308&gt;=60,"Arrêt majeur — analyse 5 pourquoi",IF($G308&gt;=30,"À analyser en revue quotidienne",IF($K308="Planifié","Arrêt planifié","Aléa courant"))))</f>
        <v/>
      </c>
      <c r="Q308" s="95">
        <f>IF($A308="",0,IF(AND(OR(COCKPIT!$H$4="Toutes",$C308=COCKPIT!$H$4),OR(COCKPIT!$K$4="Toutes",$B308=COCKPIT!$K$4)),1,0))</f>
        <v/>
      </c>
    </row>
    <row r="309" ht="15" customHeight="1">
      <c r="A309" s="87" t="n"/>
      <c r="B309" s="88" t="n"/>
      <c r="C309" s="88" t="n"/>
      <c r="D309" s="88" t="n"/>
      <c r="E309" s="96" t="n"/>
      <c r="F309" s="96" t="n"/>
      <c r="G309" s="92">
        <f>IF(OR($E309="",$F309=""),"",ROUND(($F309-$E309+IF($F309&lt;$E309,1,0))*1440,0))</f>
        <v/>
      </c>
      <c r="H309" s="88" t="n"/>
      <c r="I309" s="94">
        <f>IF($H309="","",IFERROR(INDEX(PARAMETRES!$S$7:$S$46,MATCH($H309,PARAMETRES!$R$7:$R$46,0)),"Code inconnu"))</f>
        <v/>
      </c>
      <c r="J309" s="94">
        <f>IF($H309="","",IFERROR(INDEX(PARAMETRES!$T$7:$T$46,MATCH($H309,PARAMETRES!$R$7:$R$46,0)),""))</f>
        <v/>
      </c>
      <c r="K309" s="94">
        <f>IF($H309="","",IFERROR(INDEX(PARAMETRES!$U$7:$U$46,MATCH($H309,PARAMETRES!$R$7:$R$46,0)),""))</f>
        <v/>
      </c>
      <c r="L309" s="94">
        <f>IF($H309="","",IFERROR(INDEX(PARAMETRES!$V$7:$V$46,MATCH($H309,PARAMETRES!$R$7:$R$46,0)),""))</f>
        <v/>
      </c>
      <c r="M309" s="88" t="n"/>
      <c r="N309" s="88" t="n"/>
      <c r="O309" s="88" t="n"/>
      <c r="P309" s="94">
        <f>IF($G309="","",IF($G309&gt;=60,"Arrêt majeur — analyse 5 pourquoi",IF($G309&gt;=30,"À analyser en revue quotidienne",IF($K309="Planifié","Arrêt planifié","Aléa courant"))))</f>
        <v/>
      </c>
      <c r="Q309" s="95">
        <f>IF($A309="",0,IF(AND(OR(COCKPIT!$H$4="Toutes",$C309=COCKPIT!$H$4),OR(COCKPIT!$K$4="Toutes",$B309=COCKPIT!$K$4)),1,0))</f>
        <v/>
      </c>
    </row>
    <row r="310" ht="15" customHeight="1">
      <c r="A310" s="87" t="n"/>
      <c r="B310" s="88" t="n"/>
      <c r="C310" s="88" t="n"/>
      <c r="D310" s="88" t="n"/>
      <c r="E310" s="96" t="n"/>
      <c r="F310" s="96" t="n"/>
      <c r="G310" s="92">
        <f>IF(OR($E310="",$F310=""),"",ROUND(($F310-$E310+IF($F310&lt;$E310,1,0))*1440,0))</f>
        <v/>
      </c>
      <c r="H310" s="88" t="n"/>
      <c r="I310" s="94">
        <f>IF($H310="","",IFERROR(INDEX(PARAMETRES!$S$7:$S$46,MATCH($H310,PARAMETRES!$R$7:$R$46,0)),"Code inconnu"))</f>
        <v/>
      </c>
      <c r="J310" s="94">
        <f>IF($H310="","",IFERROR(INDEX(PARAMETRES!$T$7:$T$46,MATCH($H310,PARAMETRES!$R$7:$R$46,0)),""))</f>
        <v/>
      </c>
      <c r="K310" s="94">
        <f>IF($H310="","",IFERROR(INDEX(PARAMETRES!$U$7:$U$46,MATCH($H310,PARAMETRES!$R$7:$R$46,0)),""))</f>
        <v/>
      </c>
      <c r="L310" s="94">
        <f>IF($H310="","",IFERROR(INDEX(PARAMETRES!$V$7:$V$46,MATCH($H310,PARAMETRES!$R$7:$R$46,0)),""))</f>
        <v/>
      </c>
      <c r="M310" s="88" t="n"/>
      <c r="N310" s="88" t="n"/>
      <c r="O310" s="88" t="n"/>
      <c r="P310" s="94">
        <f>IF($G310="","",IF($G310&gt;=60,"Arrêt majeur — analyse 5 pourquoi",IF($G310&gt;=30,"À analyser en revue quotidienne",IF($K310="Planifié","Arrêt planifié","Aléa courant"))))</f>
        <v/>
      </c>
      <c r="Q310" s="95">
        <f>IF($A310="",0,IF(AND(OR(COCKPIT!$H$4="Toutes",$C310=COCKPIT!$H$4),OR(COCKPIT!$K$4="Toutes",$B310=COCKPIT!$K$4)),1,0))</f>
        <v/>
      </c>
    </row>
    <row r="311" ht="15" customHeight="1">
      <c r="A311" s="87" t="n"/>
      <c r="B311" s="88" t="n"/>
      <c r="C311" s="88" t="n"/>
      <c r="D311" s="88" t="n"/>
      <c r="E311" s="96" t="n"/>
      <c r="F311" s="96" t="n"/>
      <c r="G311" s="92">
        <f>IF(OR($E311="",$F311=""),"",ROUND(($F311-$E311+IF($F311&lt;$E311,1,0))*1440,0))</f>
        <v/>
      </c>
      <c r="H311" s="88" t="n"/>
      <c r="I311" s="94">
        <f>IF($H311="","",IFERROR(INDEX(PARAMETRES!$S$7:$S$46,MATCH($H311,PARAMETRES!$R$7:$R$46,0)),"Code inconnu"))</f>
        <v/>
      </c>
      <c r="J311" s="94">
        <f>IF($H311="","",IFERROR(INDEX(PARAMETRES!$T$7:$T$46,MATCH($H311,PARAMETRES!$R$7:$R$46,0)),""))</f>
        <v/>
      </c>
      <c r="K311" s="94">
        <f>IF($H311="","",IFERROR(INDEX(PARAMETRES!$U$7:$U$46,MATCH($H311,PARAMETRES!$R$7:$R$46,0)),""))</f>
        <v/>
      </c>
      <c r="L311" s="94">
        <f>IF($H311="","",IFERROR(INDEX(PARAMETRES!$V$7:$V$46,MATCH($H311,PARAMETRES!$R$7:$R$46,0)),""))</f>
        <v/>
      </c>
      <c r="M311" s="88" t="n"/>
      <c r="N311" s="88" t="n"/>
      <c r="O311" s="88" t="n"/>
      <c r="P311" s="94">
        <f>IF($G311="","",IF($G311&gt;=60,"Arrêt majeur — analyse 5 pourquoi",IF($G311&gt;=30,"À analyser en revue quotidienne",IF($K311="Planifié","Arrêt planifié","Aléa courant"))))</f>
        <v/>
      </c>
      <c r="Q311" s="95">
        <f>IF($A311="",0,IF(AND(OR(COCKPIT!$H$4="Toutes",$C311=COCKPIT!$H$4),OR(COCKPIT!$K$4="Toutes",$B311=COCKPIT!$K$4)),1,0))</f>
        <v/>
      </c>
    </row>
    <row r="312" ht="15" customHeight="1">
      <c r="A312" s="87" t="n"/>
      <c r="B312" s="88" t="n"/>
      <c r="C312" s="88" t="n"/>
      <c r="D312" s="88" t="n"/>
      <c r="E312" s="96" t="n"/>
      <c r="F312" s="96" t="n"/>
      <c r="G312" s="92">
        <f>IF(OR($E312="",$F312=""),"",ROUND(($F312-$E312+IF($F312&lt;$E312,1,0))*1440,0))</f>
        <v/>
      </c>
      <c r="H312" s="88" t="n"/>
      <c r="I312" s="94">
        <f>IF($H312="","",IFERROR(INDEX(PARAMETRES!$S$7:$S$46,MATCH($H312,PARAMETRES!$R$7:$R$46,0)),"Code inconnu"))</f>
        <v/>
      </c>
      <c r="J312" s="94">
        <f>IF($H312="","",IFERROR(INDEX(PARAMETRES!$T$7:$T$46,MATCH($H312,PARAMETRES!$R$7:$R$46,0)),""))</f>
        <v/>
      </c>
      <c r="K312" s="94">
        <f>IF($H312="","",IFERROR(INDEX(PARAMETRES!$U$7:$U$46,MATCH($H312,PARAMETRES!$R$7:$R$46,0)),""))</f>
        <v/>
      </c>
      <c r="L312" s="94">
        <f>IF($H312="","",IFERROR(INDEX(PARAMETRES!$V$7:$V$46,MATCH($H312,PARAMETRES!$R$7:$R$46,0)),""))</f>
        <v/>
      </c>
      <c r="M312" s="88" t="n"/>
      <c r="N312" s="88" t="n"/>
      <c r="O312" s="88" t="n"/>
      <c r="P312" s="94">
        <f>IF($G312="","",IF($G312&gt;=60,"Arrêt majeur — analyse 5 pourquoi",IF($G312&gt;=30,"À analyser en revue quotidienne",IF($K312="Planifié","Arrêt planifié","Aléa courant"))))</f>
        <v/>
      </c>
      <c r="Q312" s="95">
        <f>IF($A312="",0,IF(AND(OR(COCKPIT!$H$4="Toutes",$C312=COCKPIT!$H$4),OR(COCKPIT!$K$4="Toutes",$B312=COCKPIT!$K$4)),1,0))</f>
        <v/>
      </c>
    </row>
    <row r="313" ht="15" customHeight="1">
      <c r="A313" s="87" t="n"/>
      <c r="B313" s="88" t="n"/>
      <c r="C313" s="88" t="n"/>
      <c r="D313" s="88" t="n"/>
      <c r="E313" s="96" t="n"/>
      <c r="F313" s="96" t="n"/>
      <c r="G313" s="92">
        <f>IF(OR($E313="",$F313=""),"",ROUND(($F313-$E313+IF($F313&lt;$E313,1,0))*1440,0))</f>
        <v/>
      </c>
      <c r="H313" s="88" t="n"/>
      <c r="I313" s="94">
        <f>IF($H313="","",IFERROR(INDEX(PARAMETRES!$S$7:$S$46,MATCH($H313,PARAMETRES!$R$7:$R$46,0)),"Code inconnu"))</f>
        <v/>
      </c>
      <c r="J313" s="94">
        <f>IF($H313="","",IFERROR(INDEX(PARAMETRES!$T$7:$T$46,MATCH($H313,PARAMETRES!$R$7:$R$46,0)),""))</f>
        <v/>
      </c>
      <c r="K313" s="94">
        <f>IF($H313="","",IFERROR(INDEX(PARAMETRES!$U$7:$U$46,MATCH($H313,PARAMETRES!$R$7:$R$46,0)),""))</f>
        <v/>
      </c>
      <c r="L313" s="94">
        <f>IF($H313="","",IFERROR(INDEX(PARAMETRES!$V$7:$V$46,MATCH($H313,PARAMETRES!$R$7:$R$46,0)),""))</f>
        <v/>
      </c>
      <c r="M313" s="88" t="n"/>
      <c r="N313" s="88" t="n"/>
      <c r="O313" s="88" t="n"/>
      <c r="P313" s="94">
        <f>IF($G313="","",IF($G313&gt;=60,"Arrêt majeur — analyse 5 pourquoi",IF($G313&gt;=30,"À analyser en revue quotidienne",IF($K313="Planifié","Arrêt planifié","Aléa courant"))))</f>
        <v/>
      </c>
      <c r="Q313" s="95">
        <f>IF($A313="",0,IF(AND(OR(COCKPIT!$H$4="Toutes",$C313=COCKPIT!$H$4),OR(COCKPIT!$K$4="Toutes",$B313=COCKPIT!$K$4)),1,0))</f>
        <v/>
      </c>
    </row>
    <row r="314" ht="15" customHeight="1">
      <c r="A314" s="87" t="n"/>
      <c r="B314" s="88" t="n"/>
      <c r="C314" s="88" t="n"/>
      <c r="D314" s="88" t="n"/>
      <c r="E314" s="96" t="n"/>
      <c r="F314" s="96" t="n"/>
      <c r="G314" s="92">
        <f>IF(OR($E314="",$F314=""),"",ROUND(($F314-$E314+IF($F314&lt;$E314,1,0))*1440,0))</f>
        <v/>
      </c>
      <c r="H314" s="88" t="n"/>
      <c r="I314" s="94">
        <f>IF($H314="","",IFERROR(INDEX(PARAMETRES!$S$7:$S$46,MATCH($H314,PARAMETRES!$R$7:$R$46,0)),"Code inconnu"))</f>
        <v/>
      </c>
      <c r="J314" s="94">
        <f>IF($H314="","",IFERROR(INDEX(PARAMETRES!$T$7:$T$46,MATCH($H314,PARAMETRES!$R$7:$R$46,0)),""))</f>
        <v/>
      </c>
      <c r="K314" s="94">
        <f>IF($H314="","",IFERROR(INDEX(PARAMETRES!$U$7:$U$46,MATCH($H314,PARAMETRES!$R$7:$R$46,0)),""))</f>
        <v/>
      </c>
      <c r="L314" s="94">
        <f>IF($H314="","",IFERROR(INDEX(PARAMETRES!$V$7:$V$46,MATCH($H314,PARAMETRES!$R$7:$R$46,0)),""))</f>
        <v/>
      </c>
      <c r="M314" s="88" t="n"/>
      <c r="N314" s="88" t="n"/>
      <c r="O314" s="88" t="n"/>
      <c r="P314" s="94">
        <f>IF($G314="","",IF($G314&gt;=60,"Arrêt majeur — analyse 5 pourquoi",IF($G314&gt;=30,"À analyser en revue quotidienne",IF($K314="Planifié","Arrêt planifié","Aléa courant"))))</f>
        <v/>
      </c>
      <c r="Q314" s="95">
        <f>IF($A314="",0,IF(AND(OR(COCKPIT!$H$4="Toutes",$C314=COCKPIT!$H$4),OR(COCKPIT!$K$4="Toutes",$B314=COCKPIT!$K$4)),1,0))</f>
        <v/>
      </c>
    </row>
    <row r="315" ht="15" customHeight="1">
      <c r="A315" s="87" t="n"/>
      <c r="B315" s="88" t="n"/>
      <c r="C315" s="88" t="n"/>
      <c r="D315" s="88" t="n"/>
      <c r="E315" s="96" t="n"/>
      <c r="F315" s="96" t="n"/>
      <c r="G315" s="92">
        <f>IF(OR($E315="",$F315=""),"",ROUND(($F315-$E315+IF($F315&lt;$E315,1,0))*1440,0))</f>
        <v/>
      </c>
      <c r="H315" s="88" t="n"/>
      <c r="I315" s="94">
        <f>IF($H315="","",IFERROR(INDEX(PARAMETRES!$S$7:$S$46,MATCH($H315,PARAMETRES!$R$7:$R$46,0)),"Code inconnu"))</f>
        <v/>
      </c>
      <c r="J315" s="94">
        <f>IF($H315="","",IFERROR(INDEX(PARAMETRES!$T$7:$T$46,MATCH($H315,PARAMETRES!$R$7:$R$46,0)),""))</f>
        <v/>
      </c>
      <c r="K315" s="94">
        <f>IF($H315="","",IFERROR(INDEX(PARAMETRES!$U$7:$U$46,MATCH($H315,PARAMETRES!$R$7:$R$46,0)),""))</f>
        <v/>
      </c>
      <c r="L315" s="94">
        <f>IF($H315="","",IFERROR(INDEX(PARAMETRES!$V$7:$V$46,MATCH($H315,PARAMETRES!$R$7:$R$46,0)),""))</f>
        <v/>
      </c>
      <c r="M315" s="88" t="n"/>
      <c r="N315" s="88" t="n"/>
      <c r="O315" s="88" t="n"/>
      <c r="P315" s="94">
        <f>IF($G315="","",IF($G315&gt;=60,"Arrêt majeur — analyse 5 pourquoi",IF($G315&gt;=30,"À analyser en revue quotidienne",IF($K315="Planifié","Arrêt planifié","Aléa courant"))))</f>
        <v/>
      </c>
      <c r="Q315" s="95">
        <f>IF($A315="",0,IF(AND(OR(COCKPIT!$H$4="Toutes",$C315=COCKPIT!$H$4),OR(COCKPIT!$K$4="Toutes",$B315=COCKPIT!$K$4)),1,0))</f>
        <v/>
      </c>
    </row>
    <row r="316" ht="15" customHeight="1">
      <c r="A316" s="87" t="n"/>
      <c r="B316" s="88" t="n"/>
      <c r="C316" s="88" t="n"/>
      <c r="D316" s="88" t="n"/>
      <c r="E316" s="96" t="n"/>
      <c r="F316" s="96" t="n"/>
      <c r="G316" s="92">
        <f>IF(OR($E316="",$F316=""),"",ROUND(($F316-$E316+IF($F316&lt;$E316,1,0))*1440,0))</f>
        <v/>
      </c>
      <c r="H316" s="88" t="n"/>
      <c r="I316" s="94">
        <f>IF($H316="","",IFERROR(INDEX(PARAMETRES!$S$7:$S$46,MATCH($H316,PARAMETRES!$R$7:$R$46,0)),"Code inconnu"))</f>
        <v/>
      </c>
      <c r="J316" s="94">
        <f>IF($H316="","",IFERROR(INDEX(PARAMETRES!$T$7:$T$46,MATCH($H316,PARAMETRES!$R$7:$R$46,0)),""))</f>
        <v/>
      </c>
      <c r="K316" s="94">
        <f>IF($H316="","",IFERROR(INDEX(PARAMETRES!$U$7:$U$46,MATCH($H316,PARAMETRES!$R$7:$R$46,0)),""))</f>
        <v/>
      </c>
      <c r="L316" s="94">
        <f>IF($H316="","",IFERROR(INDEX(PARAMETRES!$V$7:$V$46,MATCH($H316,PARAMETRES!$R$7:$R$46,0)),""))</f>
        <v/>
      </c>
      <c r="M316" s="88" t="n"/>
      <c r="N316" s="88" t="n"/>
      <c r="O316" s="88" t="n"/>
      <c r="P316" s="94">
        <f>IF($G316="","",IF($G316&gt;=60,"Arrêt majeur — analyse 5 pourquoi",IF($G316&gt;=30,"À analyser en revue quotidienne",IF($K316="Planifié","Arrêt planifié","Aléa courant"))))</f>
        <v/>
      </c>
      <c r="Q316" s="95">
        <f>IF($A316="",0,IF(AND(OR(COCKPIT!$H$4="Toutes",$C316=COCKPIT!$H$4),OR(COCKPIT!$K$4="Toutes",$B316=COCKPIT!$K$4)),1,0))</f>
        <v/>
      </c>
    </row>
    <row r="317" ht="15" customHeight="1">
      <c r="A317" s="87" t="n"/>
      <c r="B317" s="88" t="n"/>
      <c r="C317" s="88" t="n"/>
      <c r="D317" s="88" t="n"/>
      <c r="E317" s="96" t="n"/>
      <c r="F317" s="96" t="n"/>
      <c r="G317" s="92">
        <f>IF(OR($E317="",$F317=""),"",ROUND(($F317-$E317+IF($F317&lt;$E317,1,0))*1440,0))</f>
        <v/>
      </c>
      <c r="H317" s="88" t="n"/>
      <c r="I317" s="94">
        <f>IF($H317="","",IFERROR(INDEX(PARAMETRES!$S$7:$S$46,MATCH($H317,PARAMETRES!$R$7:$R$46,0)),"Code inconnu"))</f>
        <v/>
      </c>
      <c r="J317" s="94">
        <f>IF($H317="","",IFERROR(INDEX(PARAMETRES!$T$7:$T$46,MATCH($H317,PARAMETRES!$R$7:$R$46,0)),""))</f>
        <v/>
      </c>
      <c r="K317" s="94">
        <f>IF($H317="","",IFERROR(INDEX(PARAMETRES!$U$7:$U$46,MATCH($H317,PARAMETRES!$R$7:$R$46,0)),""))</f>
        <v/>
      </c>
      <c r="L317" s="94">
        <f>IF($H317="","",IFERROR(INDEX(PARAMETRES!$V$7:$V$46,MATCH($H317,PARAMETRES!$R$7:$R$46,0)),""))</f>
        <v/>
      </c>
      <c r="M317" s="88" t="n"/>
      <c r="N317" s="88" t="n"/>
      <c r="O317" s="88" t="n"/>
      <c r="P317" s="94">
        <f>IF($G317="","",IF($G317&gt;=60,"Arrêt majeur — analyse 5 pourquoi",IF($G317&gt;=30,"À analyser en revue quotidienne",IF($K317="Planifié","Arrêt planifié","Aléa courant"))))</f>
        <v/>
      </c>
      <c r="Q317" s="95">
        <f>IF($A317="",0,IF(AND(OR(COCKPIT!$H$4="Toutes",$C317=COCKPIT!$H$4),OR(COCKPIT!$K$4="Toutes",$B317=COCKPIT!$K$4)),1,0))</f>
        <v/>
      </c>
    </row>
    <row r="318" ht="15" customHeight="1">
      <c r="A318" s="87" t="n"/>
      <c r="B318" s="88" t="n"/>
      <c r="C318" s="88" t="n"/>
      <c r="D318" s="88" t="n"/>
      <c r="E318" s="96" t="n"/>
      <c r="F318" s="96" t="n"/>
      <c r="G318" s="92">
        <f>IF(OR($E318="",$F318=""),"",ROUND(($F318-$E318+IF($F318&lt;$E318,1,0))*1440,0))</f>
        <v/>
      </c>
      <c r="H318" s="88" t="n"/>
      <c r="I318" s="94">
        <f>IF($H318="","",IFERROR(INDEX(PARAMETRES!$S$7:$S$46,MATCH($H318,PARAMETRES!$R$7:$R$46,0)),"Code inconnu"))</f>
        <v/>
      </c>
      <c r="J318" s="94">
        <f>IF($H318="","",IFERROR(INDEX(PARAMETRES!$T$7:$T$46,MATCH($H318,PARAMETRES!$R$7:$R$46,0)),""))</f>
        <v/>
      </c>
      <c r="K318" s="94">
        <f>IF($H318="","",IFERROR(INDEX(PARAMETRES!$U$7:$U$46,MATCH($H318,PARAMETRES!$R$7:$R$46,0)),""))</f>
        <v/>
      </c>
      <c r="L318" s="94">
        <f>IF($H318="","",IFERROR(INDEX(PARAMETRES!$V$7:$V$46,MATCH($H318,PARAMETRES!$R$7:$R$46,0)),""))</f>
        <v/>
      </c>
      <c r="M318" s="88" t="n"/>
      <c r="N318" s="88" t="n"/>
      <c r="O318" s="88" t="n"/>
      <c r="P318" s="94">
        <f>IF($G318="","",IF($G318&gt;=60,"Arrêt majeur — analyse 5 pourquoi",IF($G318&gt;=30,"À analyser en revue quotidienne",IF($K318="Planifié","Arrêt planifié","Aléa courant"))))</f>
        <v/>
      </c>
      <c r="Q318" s="95">
        <f>IF($A318="",0,IF(AND(OR(COCKPIT!$H$4="Toutes",$C318=COCKPIT!$H$4),OR(COCKPIT!$K$4="Toutes",$B318=COCKPIT!$K$4)),1,0))</f>
        <v/>
      </c>
    </row>
    <row r="319" ht="15" customHeight="1">
      <c r="A319" s="87" t="n"/>
      <c r="B319" s="88" t="n"/>
      <c r="C319" s="88" t="n"/>
      <c r="D319" s="88" t="n"/>
      <c r="E319" s="96" t="n"/>
      <c r="F319" s="96" t="n"/>
      <c r="G319" s="92">
        <f>IF(OR($E319="",$F319=""),"",ROUND(($F319-$E319+IF($F319&lt;$E319,1,0))*1440,0))</f>
        <v/>
      </c>
      <c r="H319" s="88" t="n"/>
      <c r="I319" s="94">
        <f>IF($H319="","",IFERROR(INDEX(PARAMETRES!$S$7:$S$46,MATCH($H319,PARAMETRES!$R$7:$R$46,0)),"Code inconnu"))</f>
        <v/>
      </c>
      <c r="J319" s="94">
        <f>IF($H319="","",IFERROR(INDEX(PARAMETRES!$T$7:$T$46,MATCH($H319,PARAMETRES!$R$7:$R$46,0)),""))</f>
        <v/>
      </c>
      <c r="K319" s="94">
        <f>IF($H319="","",IFERROR(INDEX(PARAMETRES!$U$7:$U$46,MATCH($H319,PARAMETRES!$R$7:$R$46,0)),""))</f>
        <v/>
      </c>
      <c r="L319" s="94">
        <f>IF($H319="","",IFERROR(INDEX(PARAMETRES!$V$7:$V$46,MATCH($H319,PARAMETRES!$R$7:$R$46,0)),""))</f>
        <v/>
      </c>
      <c r="M319" s="88" t="n"/>
      <c r="N319" s="88" t="n"/>
      <c r="O319" s="88" t="n"/>
      <c r="P319" s="94">
        <f>IF($G319="","",IF($G319&gt;=60,"Arrêt majeur — analyse 5 pourquoi",IF($G319&gt;=30,"À analyser en revue quotidienne",IF($K319="Planifié","Arrêt planifié","Aléa courant"))))</f>
        <v/>
      </c>
      <c r="Q319" s="95">
        <f>IF($A319="",0,IF(AND(OR(COCKPIT!$H$4="Toutes",$C319=COCKPIT!$H$4),OR(COCKPIT!$K$4="Toutes",$B319=COCKPIT!$K$4)),1,0))</f>
        <v/>
      </c>
    </row>
    <row r="320" ht="15" customHeight="1">
      <c r="A320" s="87" t="n"/>
      <c r="B320" s="88" t="n"/>
      <c r="C320" s="88" t="n"/>
      <c r="D320" s="88" t="n"/>
      <c r="E320" s="96" t="n"/>
      <c r="F320" s="96" t="n"/>
      <c r="G320" s="92">
        <f>IF(OR($E320="",$F320=""),"",ROUND(($F320-$E320+IF($F320&lt;$E320,1,0))*1440,0))</f>
        <v/>
      </c>
      <c r="H320" s="88" t="n"/>
      <c r="I320" s="94">
        <f>IF($H320="","",IFERROR(INDEX(PARAMETRES!$S$7:$S$46,MATCH($H320,PARAMETRES!$R$7:$R$46,0)),"Code inconnu"))</f>
        <v/>
      </c>
      <c r="J320" s="94">
        <f>IF($H320="","",IFERROR(INDEX(PARAMETRES!$T$7:$T$46,MATCH($H320,PARAMETRES!$R$7:$R$46,0)),""))</f>
        <v/>
      </c>
      <c r="K320" s="94">
        <f>IF($H320="","",IFERROR(INDEX(PARAMETRES!$U$7:$U$46,MATCH($H320,PARAMETRES!$R$7:$R$46,0)),""))</f>
        <v/>
      </c>
      <c r="L320" s="94">
        <f>IF($H320="","",IFERROR(INDEX(PARAMETRES!$V$7:$V$46,MATCH($H320,PARAMETRES!$R$7:$R$46,0)),""))</f>
        <v/>
      </c>
      <c r="M320" s="88" t="n"/>
      <c r="N320" s="88" t="n"/>
      <c r="O320" s="88" t="n"/>
      <c r="P320" s="94">
        <f>IF($G320="","",IF($G320&gt;=60,"Arrêt majeur — analyse 5 pourquoi",IF($G320&gt;=30,"À analyser en revue quotidienne",IF($K320="Planifié","Arrêt planifié","Aléa courant"))))</f>
        <v/>
      </c>
      <c r="Q320" s="95">
        <f>IF($A320="",0,IF(AND(OR(COCKPIT!$H$4="Toutes",$C320=COCKPIT!$H$4),OR(COCKPIT!$K$4="Toutes",$B320=COCKPIT!$K$4)),1,0))</f>
        <v/>
      </c>
    </row>
    <row r="321" ht="15" customHeight="1">
      <c r="A321" s="87" t="n"/>
      <c r="B321" s="88" t="n"/>
      <c r="C321" s="88" t="n"/>
      <c r="D321" s="88" t="n"/>
      <c r="E321" s="96" t="n"/>
      <c r="F321" s="96" t="n"/>
      <c r="G321" s="92">
        <f>IF(OR($E321="",$F321=""),"",ROUND(($F321-$E321+IF($F321&lt;$E321,1,0))*1440,0))</f>
        <v/>
      </c>
      <c r="H321" s="88" t="n"/>
      <c r="I321" s="94">
        <f>IF($H321="","",IFERROR(INDEX(PARAMETRES!$S$7:$S$46,MATCH($H321,PARAMETRES!$R$7:$R$46,0)),"Code inconnu"))</f>
        <v/>
      </c>
      <c r="J321" s="94">
        <f>IF($H321="","",IFERROR(INDEX(PARAMETRES!$T$7:$T$46,MATCH($H321,PARAMETRES!$R$7:$R$46,0)),""))</f>
        <v/>
      </c>
      <c r="K321" s="94">
        <f>IF($H321="","",IFERROR(INDEX(PARAMETRES!$U$7:$U$46,MATCH($H321,PARAMETRES!$R$7:$R$46,0)),""))</f>
        <v/>
      </c>
      <c r="L321" s="94">
        <f>IF($H321="","",IFERROR(INDEX(PARAMETRES!$V$7:$V$46,MATCH($H321,PARAMETRES!$R$7:$R$46,0)),""))</f>
        <v/>
      </c>
      <c r="M321" s="88" t="n"/>
      <c r="N321" s="88" t="n"/>
      <c r="O321" s="88" t="n"/>
      <c r="P321" s="94">
        <f>IF($G321="","",IF($G321&gt;=60,"Arrêt majeur — analyse 5 pourquoi",IF($G321&gt;=30,"À analyser en revue quotidienne",IF($K321="Planifié","Arrêt planifié","Aléa courant"))))</f>
        <v/>
      </c>
      <c r="Q321" s="95">
        <f>IF($A321="",0,IF(AND(OR(COCKPIT!$H$4="Toutes",$C321=COCKPIT!$H$4),OR(COCKPIT!$K$4="Toutes",$B321=COCKPIT!$K$4)),1,0))</f>
        <v/>
      </c>
    </row>
    <row r="322" ht="15" customHeight="1">
      <c r="A322" s="87" t="n"/>
      <c r="B322" s="88" t="n"/>
      <c r="C322" s="88" t="n"/>
      <c r="D322" s="88" t="n"/>
      <c r="E322" s="96" t="n"/>
      <c r="F322" s="96" t="n"/>
      <c r="G322" s="92">
        <f>IF(OR($E322="",$F322=""),"",ROUND(($F322-$E322+IF($F322&lt;$E322,1,0))*1440,0))</f>
        <v/>
      </c>
      <c r="H322" s="88" t="n"/>
      <c r="I322" s="94">
        <f>IF($H322="","",IFERROR(INDEX(PARAMETRES!$S$7:$S$46,MATCH($H322,PARAMETRES!$R$7:$R$46,0)),"Code inconnu"))</f>
        <v/>
      </c>
      <c r="J322" s="94">
        <f>IF($H322="","",IFERROR(INDEX(PARAMETRES!$T$7:$T$46,MATCH($H322,PARAMETRES!$R$7:$R$46,0)),""))</f>
        <v/>
      </c>
      <c r="K322" s="94">
        <f>IF($H322="","",IFERROR(INDEX(PARAMETRES!$U$7:$U$46,MATCH($H322,PARAMETRES!$R$7:$R$46,0)),""))</f>
        <v/>
      </c>
      <c r="L322" s="94">
        <f>IF($H322="","",IFERROR(INDEX(PARAMETRES!$V$7:$V$46,MATCH($H322,PARAMETRES!$R$7:$R$46,0)),""))</f>
        <v/>
      </c>
      <c r="M322" s="88" t="n"/>
      <c r="N322" s="88" t="n"/>
      <c r="O322" s="88" t="n"/>
      <c r="P322" s="94">
        <f>IF($G322="","",IF($G322&gt;=60,"Arrêt majeur — analyse 5 pourquoi",IF($G322&gt;=30,"À analyser en revue quotidienne",IF($K322="Planifié","Arrêt planifié","Aléa courant"))))</f>
        <v/>
      </c>
      <c r="Q322" s="95">
        <f>IF($A322="",0,IF(AND(OR(COCKPIT!$H$4="Toutes",$C322=COCKPIT!$H$4),OR(COCKPIT!$K$4="Toutes",$B322=COCKPIT!$K$4)),1,0))</f>
        <v/>
      </c>
    </row>
    <row r="323" ht="15" customHeight="1">
      <c r="A323" s="87" t="n"/>
      <c r="B323" s="88" t="n"/>
      <c r="C323" s="88" t="n"/>
      <c r="D323" s="88" t="n"/>
      <c r="E323" s="96" t="n"/>
      <c r="F323" s="96" t="n"/>
      <c r="G323" s="92">
        <f>IF(OR($E323="",$F323=""),"",ROUND(($F323-$E323+IF($F323&lt;$E323,1,0))*1440,0))</f>
        <v/>
      </c>
      <c r="H323" s="88" t="n"/>
      <c r="I323" s="94">
        <f>IF($H323="","",IFERROR(INDEX(PARAMETRES!$S$7:$S$46,MATCH($H323,PARAMETRES!$R$7:$R$46,0)),"Code inconnu"))</f>
        <v/>
      </c>
      <c r="J323" s="94">
        <f>IF($H323="","",IFERROR(INDEX(PARAMETRES!$T$7:$T$46,MATCH($H323,PARAMETRES!$R$7:$R$46,0)),""))</f>
        <v/>
      </c>
      <c r="K323" s="94">
        <f>IF($H323="","",IFERROR(INDEX(PARAMETRES!$U$7:$U$46,MATCH($H323,PARAMETRES!$R$7:$R$46,0)),""))</f>
        <v/>
      </c>
      <c r="L323" s="94">
        <f>IF($H323="","",IFERROR(INDEX(PARAMETRES!$V$7:$V$46,MATCH($H323,PARAMETRES!$R$7:$R$46,0)),""))</f>
        <v/>
      </c>
      <c r="M323" s="88" t="n"/>
      <c r="N323" s="88" t="n"/>
      <c r="O323" s="88" t="n"/>
      <c r="P323" s="94">
        <f>IF($G323="","",IF($G323&gt;=60,"Arrêt majeur — analyse 5 pourquoi",IF($G323&gt;=30,"À analyser en revue quotidienne",IF($K323="Planifié","Arrêt planifié","Aléa courant"))))</f>
        <v/>
      </c>
      <c r="Q323" s="95">
        <f>IF($A323="",0,IF(AND(OR(COCKPIT!$H$4="Toutes",$C323=COCKPIT!$H$4),OR(COCKPIT!$K$4="Toutes",$B323=COCKPIT!$K$4)),1,0))</f>
        <v/>
      </c>
    </row>
    <row r="324" ht="15" customHeight="1">
      <c r="A324" s="87" t="n"/>
      <c r="B324" s="88" t="n"/>
      <c r="C324" s="88" t="n"/>
      <c r="D324" s="88" t="n"/>
      <c r="E324" s="96" t="n"/>
      <c r="F324" s="96" t="n"/>
      <c r="G324" s="92">
        <f>IF(OR($E324="",$F324=""),"",ROUND(($F324-$E324+IF($F324&lt;$E324,1,0))*1440,0))</f>
        <v/>
      </c>
      <c r="H324" s="88" t="n"/>
      <c r="I324" s="94">
        <f>IF($H324="","",IFERROR(INDEX(PARAMETRES!$S$7:$S$46,MATCH($H324,PARAMETRES!$R$7:$R$46,0)),"Code inconnu"))</f>
        <v/>
      </c>
      <c r="J324" s="94">
        <f>IF($H324="","",IFERROR(INDEX(PARAMETRES!$T$7:$T$46,MATCH($H324,PARAMETRES!$R$7:$R$46,0)),""))</f>
        <v/>
      </c>
      <c r="K324" s="94">
        <f>IF($H324="","",IFERROR(INDEX(PARAMETRES!$U$7:$U$46,MATCH($H324,PARAMETRES!$R$7:$R$46,0)),""))</f>
        <v/>
      </c>
      <c r="L324" s="94">
        <f>IF($H324="","",IFERROR(INDEX(PARAMETRES!$V$7:$V$46,MATCH($H324,PARAMETRES!$R$7:$R$46,0)),""))</f>
        <v/>
      </c>
      <c r="M324" s="88" t="n"/>
      <c r="N324" s="88" t="n"/>
      <c r="O324" s="88" t="n"/>
      <c r="P324" s="94">
        <f>IF($G324="","",IF($G324&gt;=60,"Arrêt majeur — analyse 5 pourquoi",IF($G324&gt;=30,"À analyser en revue quotidienne",IF($K324="Planifié","Arrêt planifié","Aléa courant"))))</f>
        <v/>
      </c>
      <c r="Q324" s="95">
        <f>IF($A324="",0,IF(AND(OR(COCKPIT!$H$4="Toutes",$C324=COCKPIT!$H$4),OR(COCKPIT!$K$4="Toutes",$B324=COCKPIT!$K$4)),1,0))</f>
        <v/>
      </c>
    </row>
    <row r="325" ht="15" customHeight="1">
      <c r="A325" s="87" t="n"/>
      <c r="B325" s="88" t="n"/>
      <c r="C325" s="88" t="n"/>
      <c r="D325" s="88" t="n"/>
      <c r="E325" s="96" t="n"/>
      <c r="F325" s="96" t="n"/>
      <c r="G325" s="92">
        <f>IF(OR($E325="",$F325=""),"",ROUND(($F325-$E325+IF($F325&lt;$E325,1,0))*1440,0))</f>
        <v/>
      </c>
      <c r="H325" s="88" t="n"/>
      <c r="I325" s="94">
        <f>IF($H325="","",IFERROR(INDEX(PARAMETRES!$S$7:$S$46,MATCH($H325,PARAMETRES!$R$7:$R$46,0)),"Code inconnu"))</f>
        <v/>
      </c>
      <c r="J325" s="94">
        <f>IF($H325="","",IFERROR(INDEX(PARAMETRES!$T$7:$T$46,MATCH($H325,PARAMETRES!$R$7:$R$46,0)),""))</f>
        <v/>
      </c>
      <c r="K325" s="94">
        <f>IF($H325="","",IFERROR(INDEX(PARAMETRES!$U$7:$U$46,MATCH($H325,PARAMETRES!$R$7:$R$46,0)),""))</f>
        <v/>
      </c>
      <c r="L325" s="94">
        <f>IF($H325="","",IFERROR(INDEX(PARAMETRES!$V$7:$V$46,MATCH($H325,PARAMETRES!$R$7:$R$46,0)),""))</f>
        <v/>
      </c>
      <c r="M325" s="88" t="n"/>
      <c r="N325" s="88" t="n"/>
      <c r="O325" s="88" t="n"/>
      <c r="P325" s="94">
        <f>IF($G325="","",IF($G325&gt;=60,"Arrêt majeur — analyse 5 pourquoi",IF($G325&gt;=30,"À analyser en revue quotidienne",IF($K325="Planifié","Arrêt planifié","Aléa courant"))))</f>
        <v/>
      </c>
      <c r="Q325" s="95">
        <f>IF($A325="",0,IF(AND(OR(COCKPIT!$H$4="Toutes",$C325=COCKPIT!$H$4),OR(COCKPIT!$K$4="Toutes",$B325=COCKPIT!$K$4)),1,0))</f>
        <v/>
      </c>
    </row>
    <row r="326" ht="15" customHeight="1">
      <c r="A326" s="87" t="n"/>
      <c r="B326" s="88" t="n"/>
      <c r="C326" s="88" t="n"/>
      <c r="D326" s="88" t="n"/>
      <c r="E326" s="96" t="n"/>
      <c r="F326" s="96" t="n"/>
      <c r="G326" s="92">
        <f>IF(OR($E326="",$F326=""),"",ROUND(($F326-$E326+IF($F326&lt;$E326,1,0))*1440,0))</f>
        <v/>
      </c>
      <c r="H326" s="88" t="n"/>
      <c r="I326" s="94">
        <f>IF($H326="","",IFERROR(INDEX(PARAMETRES!$S$7:$S$46,MATCH($H326,PARAMETRES!$R$7:$R$46,0)),"Code inconnu"))</f>
        <v/>
      </c>
      <c r="J326" s="94">
        <f>IF($H326="","",IFERROR(INDEX(PARAMETRES!$T$7:$T$46,MATCH($H326,PARAMETRES!$R$7:$R$46,0)),""))</f>
        <v/>
      </c>
      <c r="K326" s="94">
        <f>IF($H326="","",IFERROR(INDEX(PARAMETRES!$U$7:$U$46,MATCH($H326,PARAMETRES!$R$7:$R$46,0)),""))</f>
        <v/>
      </c>
      <c r="L326" s="94">
        <f>IF($H326="","",IFERROR(INDEX(PARAMETRES!$V$7:$V$46,MATCH($H326,PARAMETRES!$R$7:$R$46,0)),""))</f>
        <v/>
      </c>
      <c r="M326" s="88" t="n"/>
      <c r="N326" s="88" t="n"/>
      <c r="O326" s="88" t="n"/>
      <c r="P326" s="94">
        <f>IF($G326="","",IF($G326&gt;=60,"Arrêt majeur — analyse 5 pourquoi",IF($G326&gt;=30,"À analyser en revue quotidienne",IF($K326="Planifié","Arrêt planifié","Aléa courant"))))</f>
        <v/>
      </c>
      <c r="Q326" s="95">
        <f>IF($A326="",0,IF(AND(OR(COCKPIT!$H$4="Toutes",$C326=COCKPIT!$H$4),OR(COCKPIT!$K$4="Toutes",$B326=COCKPIT!$K$4)),1,0))</f>
        <v/>
      </c>
    </row>
    <row r="327" ht="15" customHeight="1">
      <c r="A327" s="87" t="n"/>
      <c r="B327" s="88" t="n"/>
      <c r="C327" s="88" t="n"/>
      <c r="D327" s="88" t="n"/>
      <c r="E327" s="96" t="n"/>
      <c r="F327" s="96" t="n"/>
      <c r="G327" s="92">
        <f>IF(OR($E327="",$F327=""),"",ROUND(($F327-$E327+IF($F327&lt;$E327,1,0))*1440,0))</f>
        <v/>
      </c>
      <c r="H327" s="88" t="n"/>
      <c r="I327" s="94">
        <f>IF($H327="","",IFERROR(INDEX(PARAMETRES!$S$7:$S$46,MATCH($H327,PARAMETRES!$R$7:$R$46,0)),"Code inconnu"))</f>
        <v/>
      </c>
      <c r="J327" s="94">
        <f>IF($H327="","",IFERROR(INDEX(PARAMETRES!$T$7:$T$46,MATCH($H327,PARAMETRES!$R$7:$R$46,0)),""))</f>
        <v/>
      </c>
      <c r="K327" s="94">
        <f>IF($H327="","",IFERROR(INDEX(PARAMETRES!$U$7:$U$46,MATCH($H327,PARAMETRES!$R$7:$R$46,0)),""))</f>
        <v/>
      </c>
      <c r="L327" s="94">
        <f>IF($H327="","",IFERROR(INDEX(PARAMETRES!$V$7:$V$46,MATCH($H327,PARAMETRES!$R$7:$R$46,0)),""))</f>
        <v/>
      </c>
      <c r="M327" s="88" t="n"/>
      <c r="N327" s="88" t="n"/>
      <c r="O327" s="88" t="n"/>
      <c r="P327" s="94">
        <f>IF($G327="","",IF($G327&gt;=60,"Arrêt majeur — analyse 5 pourquoi",IF($G327&gt;=30,"À analyser en revue quotidienne",IF($K327="Planifié","Arrêt planifié","Aléa courant"))))</f>
        <v/>
      </c>
      <c r="Q327" s="95">
        <f>IF($A327="",0,IF(AND(OR(COCKPIT!$H$4="Toutes",$C327=COCKPIT!$H$4),OR(COCKPIT!$K$4="Toutes",$B327=COCKPIT!$K$4)),1,0))</f>
        <v/>
      </c>
    </row>
    <row r="328" ht="15" customHeight="1">
      <c r="A328" s="87" t="n"/>
      <c r="B328" s="88" t="n"/>
      <c r="C328" s="88" t="n"/>
      <c r="D328" s="88" t="n"/>
      <c r="E328" s="96" t="n"/>
      <c r="F328" s="96" t="n"/>
      <c r="G328" s="92">
        <f>IF(OR($E328="",$F328=""),"",ROUND(($F328-$E328+IF($F328&lt;$E328,1,0))*1440,0))</f>
        <v/>
      </c>
      <c r="H328" s="88" t="n"/>
      <c r="I328" s="94">
        <f>IF($H328="","",IFERROR(INDEX(PARAMETRES!$S$7:$S$46,MATCH($H328,PARAMETRES!$R$7:$R$46,0)),"Code inconnu"))</f>
        <v/>
      </c>
      <c r="J328" s="94">
        <f>IF($H328="","",IFERROR(INDEX(PARAMETRES!$T$7:$T$46,MATCH($H328,PARAMETRES!$R$7:$R$46,0)),""))</f>
        <v/>
      </c>
      <c r="K328" s="94">
        <f>IF($H328="","",IFERROR(INDEX(PARAMETRES!$U$7:$U$46,MATCH($H328,PARAMETRES!$R$7:$R$46,0)),""))</f>
        <v/>
      </c>
      <c r="L328" s="94">
        <f>IF($H328="","",IFERROR(INDEX(PARAMETRES!$V$7:$V$46,MATCH($H328,PARAMETRES!$R$7:$R$46,0)),""))</f>
        <v/>
      </c>
      <c r="M328" s="88" t="n"/>
      <c r="N328" s="88" t="n"/>
      <c r="O328" s="88" t="n"/>
      <c r="P328" s="94">
        <f>IF($G328="","",IF($G328&gt;=60,"Arrêt majeur — analyse 5 pourquoi",IF($G328&gt;=30,"À analyser en revue quotidienne",IF($K328="Planifié","Arrêt planifié","Aléa courant"))))</f>
        <v/>
      </c>
      <c r="Q328" s="95">
        <f>IF($A328="",0,IF(AND(OR(COCKPIT!$H$4="Toutes",$C328=COCKPIT!$H$4),OR(COCKPIT!$K$4="Toutes",$B328=COCKPIT!$K$4)),1,0))</f>
        <v/>
      </c>
    </row>
    <row r="329" ht="15" customHeight="1">
      <c r="A329" s="87" t="n"/>
      <c r="B329" s="88" t="n"/>
      <c r="C329" s="88" t="n"/>
      <c r="D329" s="88" t="n"/>
      <c r="E329" s="96" t="n"/>
      <c r="F329" s="96" t="n"/>
      <c r="G329" s="92">
        <f>IF(OR($E329="",$F329=""),"",ROUND(($F329-$E329+IF($F329&lt;$E329,1,0))*1440,0))</f>
        <v/>
      </c>
      <c r="H329" s="88" t="n"/>
      <c r="I329" s="94">
        <f>IF($H329="","",IFERROR(INDEX(PARAMETRES!$S$7:$S$46,MATCH($H329,PARAMETRES!$R$7:$R$46,0)),"Code inconnu"))</f>
        <v/>
      </c>
      <c r="J329" s="94">
        <f>IF($H329="","",IFERROR(INDEX(PARAMETRES!$T$7:$T$46,MATCH($H329,PARAMETRES!$R$7:$R$46,0)),""))</f>
        <v/>
      </c>
      <c r="K329" s="94">
        <f>IF($H329="","",IFERROR(INDEX(PARAMETRES!$U$7:$U$46,MATCH($H329,PARAMETRES!$R$7:$R$46,0)),""))</f>
        <v/>
      </c>
      <c r="L329" s="94">
        <f>IF($H329="","",IFERROR(INDEX(PARAMETRES!$V$7:$V$46,MATCH($H329,PARAMETRES!$R$7:$R$46,0)),""))</f>
        <v/>
      </c>
      <c r="M329" s="88" t="n"/>
      <c r="N329" s="88" t="n"/>
      <c r="O329" s="88" t="n"/>
      <c r="P329" s="94">
        <f>IF($G329="","",IF($G329&gt;=60,"Arrêt majeur — analyse 5 pourquoi",IF($G329&gt;=30,"À analyser en revue quotidienne",IF($K329="Planifié","Arrêt planifié","Aléa courant"))))</f>
        <v/>
      </c>
      <c r="Q329" s="95">
        <f>IF($A329="",0,IF(AND(OR(COCKPIT!$H$4="Toutes",$C329=COCKPIT!$H$4),OR(COCKPIT!$K$4="Toutes",$B329=COCKPIT!$K$4)),1,0))</f>
        <v/>
      </c>
    </row>
    <row r="330" ht="15" customHeight="1">
      <c r="A330" s="87" t="n"/>
      <c r="B330" s="88" t="n"/>
      <c r="C330" s="88" t="n"/>
      <c r="D330" s="88" t="n"/>
      <c r="E330" s="96" t="n"/>
      <c r="F330" s="96" t="n"/>
      <c r="G330" s="92">
        <f>IF(OR($E330="",$F330=""),"",ROUND(($F330-$E330+IF($F330&lt;$E330,1,0))*1440,0))</f>
        <v/>
      </c>
      <c r="H330" s="88" t="n"/>
      <c r="I330" s="94">
        <f>IF($H330="","",IFERROR(INDEX(PARAMETRES!$S$7:$S$46,MATCH($H330,PARAMETRES!$R$7:$R$46,0)),"Code inconnu"))</f>
        <v/>
      </c>
      <c r="J330" s="94">
        <f>IF($H330="","",IFERROR(INDEX(PARAMETRES!$T$7:$T$46,MATCH($H330,PARAMETRES!$R$7:$R$46,0)),""))</f>
        <v/>
      </c>
      <c r="K330" s="94">
        <f>IF($H330="","",IFERROR(INDEX(PARAMETRES!$U$7:$U$46,MATCH($H330,PARAMETRES!$R$7:$R$46,0)),""))</f>
        <v/>
      </c>
      <c r="L330" s="94">
        <f>IF($H330="","",IFERROR(INDEX(PARAMETRES!$V$7:$V$46,MATCH($H330,PARAMETRES!$R$7:$R$46,0)),""))</f>
        <v/>
      </c>
      <c r="M330" s="88" t="n"/>
      <c r="N330" s="88" t="n"/>
      <c r="O330" s="88" t="n"/>
      <c r="P330" s="94">
        <f>IF($G330="","",IF($G330&gt;=60,"Arrêt majeur — analyse 5 pourquoi",IF($G330&gt;=30,"À analyser en revue quotidienne",IF($K330="Planifié","Arrêt planifié","Aléa courant"))))</f>
        <v/>
      </c>
      <c r="Q330" s="95">
        <f>IF($A330="",0,IF(AND(OR(COCKPIT!$H$4="Toutes",$C330=COCKPIT!$H$4),OR(COCKPIT!$K$4="Toutes",$B330=COCKPIT!$K$4)),1,0))</f>
        <v/>
      </c>
    </row>
    <row r="331" ht="15" customHeight="1">
      <c r="A331" s="87" t="n"/>
      <c r="B331" s="88" t="n"/>
      <c r="C331" s="88" t="n"/>
      <c r="D331" s="88" t="n"/>
      <c r="E331" s="96" t="n"/>
      <c r="F331" s="96" t="n"/>
      <c r="G331" s="92">
        <f>IF(OR($E331="",$F331=""),"",ROUND(($F331-$E331+IF($F331&lt;$E331,1,0))*1440,0))</f>
        <v/>
      </c>
      <c r="H331" s="88" t="n"/>
      <c r="I331" s="94">
        <f>IF($H331="","",IFERROR(INDEX(PARAMETRES!$S$7:$S$46,MATCH($H331,PARAMETRES!$R$7:$R$46,0)),"Code inconnu"))</f>
        <v/>
      </c>
      <c r="J331" s="94">
        <f>IF($H331="","",IFERROR(INDEX(PARAMETRES!$T$7:$T$46,MATCH($H331,PARAMETRES!$R$7:$R$46,0)),""))</f>
        <v/>
      </c>
      <c r="K331" s="94">
        <f>IF($H331="","",IFERROR(INDEX(PARAMETRES!$U$7:$U$46,MATCH($H331,PARAMETRES!$R$7:$R$46,0)),""))</f>
        <v/>
      </c>
      <c r="L331" s="94">
        <f>IF($H331="","",IFERROR(INDEX(PARAMETRES!$V$7:$V$46,MATCH($H331,PARAMETRES!$R$7:$R$46,0)),""))</f>
        <v/>
      </c>
      <c r="M331" s="88" t="n"/>
      <c r="N331" s="88" t="n"/>
      <c r="O331" s="88" t="n"/>
      <c r="P331" s="94">
        <f>IF($G331="","",IF($G331&gt;=60,"Arrêt majeur — analyse 5 pourquoi",IF($G331&gt;=30,"À analyser en revue quotidienne",IF($K331="Planifié","Arrêt planifié","Aléa courant"))))</f>
        <v/>
      </c>
      <c r="Q331" s="95">
        <f>IF($A331="",0,IF(AND(OR(COCKPIT!$H$4="Toutes",$C331=COCKPIT!$H$4),OR(COCKPIT!$K$4="Toutes",$B331=COCKPIT!$K$4)),1,0))</f>
        <v/>
      </c>
    </row>
    <row r="332" ht="15" customHeight="1">
      <c r="A332" s="87" t="n"/>
      <c r="B332" s="88" t="n"/>
      <c r="C332" s="88" t="n"/>
      <c r="D332" s="88" t="n"/>
      <c r="E332" s="96" t="n"/>
      <c r="F332" s="96" t="n"/>
      <c r="G332" s="92">
        <f>IF(OR($E332="",$F332=""),"",ROUND(($F332-$E332+IF($F332&lt;$E332,1,0))*1440,0))</f>
        <v/>
      </c>
      <c r="H332" s="88" t="n"/>
      <c r="I332" s="94">
        <f>IF($H332="","",IFERROR(INDEX(PARAMETRES!$S$7:$S$46,MATCH($H332,PARAMETRES!$R$7:$R$46,0)),"Code inconnu"))</f>
        <v/>
      </c>
      <c r="J332" s="94">
        <f>IF($H332="","",IFERROR(INDEX(PARAMETRES!$T$7:$T$46,MATCH($H332,PARAMETRES!$R$7:$R$46,0)),""))</f>
        <v/>
      </c>
      <c r="K332" s="94">
        <f>IF($H332="","",IFERROR(INDEX(PARAMETRES!$U$7:$U$46,MATCH($H332,PARAMETRES!$R$7:$R$46,0)),""))</f>
        <v/>
      </c>
      <c r="L332" s="94">
        <f>IF($H332="","",IFERROR(INDEX(PARAMETRES!$V$7:$V$46,MATCH($H332,PARAMETRES!$R$7:$R$46,0)),""))</f>
        <v/>
      </c>
      <c r="M332" s="88" t="n"/>
      <c r="N332" s="88" t="n"/>
      <c r="O332" s="88" t="n"/>
      <c r="P332" s="94">
        <f>IF($G332="","",IF($G332&gt;=60,"Arrêt majeur — analyse 5 pourquoi",IF($G332&gt;=30,"À analyser en revue quotidienne",IF($K332="Planifié","Arrêt planifié","Aléa courant"))))</f>
        <v/>
      </c>
      <c r="Q332" s="95">
        <f>IF($A332="",0,IF(AND(OR(COCKPIT!$H$4="Toutes",$C332=COCKPIT!$H$4),OR(COCKPIT!$K$4="Toutes",$B332=COCKPIT!$K$4)),1,0))</f>
        <v/>
      </c>
    </row>
    <row r="333" ht="15" customHeight="1">
      <c r="A333" s="87" t="n"/>
      <c r="B333" s="88" t="n"/>
      <c r="C333" s="88" t="n"/>
      <c r="D333" s="88" t="n"/>
      <c r="E333" s="96" t="n"/>
      <c r="F333" s="96" t="n"/>
      <c r="G333" s="92">
        <f>IF(OR($E333="",$F333=""),"",ROUND(($F333-$E333+IF($F333&lt;$E333,1,0))*1440,0))</f>
        <v/>
      </c>
      <c r="H333" s="88" t="n"/>
      <c r="I333" s="94">
        <f>IF($H333="","",IFERROR(INDEX(PARAMETRES!$S$7:$S$46,MATCH($H333,PARAMETRES!$R$7:$R$46,0)),"Code inconnu"))</f>
        <v/>
      </c>
      <c r="J333" s="94">
        <f>IF($H333="","",IFERROR(INDEX(PARAMETRES!$T$7:$T$46,MATCH($H333,PARAMETRES!$R$7:$R$46,0)),""))</f>
        <v/>
      </c>
      <c r="K333" s="94">
        <f>IF($H333="","",IFERROR(INDEX(PARAMETRES!$U$7:$U$46,MATCH($H333,PARAMETRES!$R$7:$R$46,0)),""))</f>
        <v/>
      </c>
      <c r="L333" s="94">
        <f>IF($H333="","",IFERROR(INDEX(PARAMETRES!$V$7:$V$46,MATCH($H333,PARAMETRES!$R$7:$R$46,0)),""))</f>
        <v/>
      </c>
      <c r="M333" s="88" t="n"/>
      <c r="N333" s="88" t="n"/>
      <c r="O333" s="88" t="n"/>
      <c r="P333" s="94">
        <f>IF($G333="","",IF($G333&gt;=60,"Arrêt majeur — analyse 5 pourquoi",IF($G333&gt;=30,"À analyser en revue quotidienne",IF($K333="Planifié","Arrêt planifié","Aléa courant"))))</f>
        <v/>
      </c>
      <c r="Q333" s="95">
        <f>IF($A333="",0,IF(AND(OR(COCKPIT!$H$4="Toutes",$C333=COCKPIT!$H$4),OR(COCKPIT!$K$4="Toutes",$B333=COCKPIT!$K$4)),1,0))</f>
        <v/>
      </c>
    </row>
    <row r="334" ht="15" customHeight="1">
      <c r="A334" s="87" t="n"/>
      <c r="B334" s="88" t="n"/>
      <c r="C334" s="88" t="n"/>
      <c r="D334" s="88" t="n"/>
      <c r="E334" s="96" t="n"/>
      <c r="F334" s="96" t="n"/>
      <c r="G334" s="92">
        <f>IF(OR($E334="",$F334=""),"",ROUND(($F334-$E334+IF($F334&lt;$E334,1,0))*1440,0))</f>
        <v/>
      </c>
      <c r="H334" s="88" t="n"/>
      <c r="I334" s="94">
        <f>IF($H334="","",IFERROR(INDEX(PARAMETRES!$S$7:$S$46,MATCH($H334,PARAMETRES!$R$7:$R$46,0)),"Code inconnu"))</f>
        <v/>
      </c>
      <c r="J334" s="94">
        <f>IF($H334="","",IFERROR(INDEX(PARAMETRES!$T$7:$T$46,MATCH($H334,PARAMETRES!$R$7:$R$46,0)),""))</f>
        <v/>
      </c>
      <c r="K334" s="94">
        <f>IF($H334="","",IFERROR(INDEX(PARAMETRES!$U$7:$U$46,MATCH($H334,PARAMETRES!$R$7:$R$46,0)),""))</f>
        <v/>
      </c>
      <c r="L334" s="94">
        <f>IF($H334="","",IFERROR(INDEX(PARAMETRES!$V$7:$V$46,MATCH($H334,PARAMETRES!$R$7:$R$46,0)),""))</f>
        <v/>
      </c>
      <c r="M334" s="88" t="n"/>
      <c r="N334" s="88" t="n"/>
      <c r="O334" s="88" t="n"/>
      <c r="P334" s="94">
        <f>IF($G334="","",IF($G334&gt;=60,"Arrêt majeur — analyse 5 pourquoi",IF($G334&gt;=30,"À analyser en revue quotidienne",IF($K334="Planifié","Arrêt planifié","Aléa courant"))))</f>
        <v/>
      </c>
      <c r="Q334" s="95">
        <f>IF($A334="",0,IF(AND(OR(COCKPIT!$H$4="Toutes",$C334=COCKPIT!$H$4),OR(COCKPIT!$K$4="Toutes",$B334=COCKPIT!$K$4)),1,0))</f>
        <v/>
      </c>
    </row>
    <row r="335" ht="15" customHeight="1">
      <c r="A335" s="87" t="n"/>
      <c r="B335" s="88" t="n"/>
      <c r="C335" s="88" t="n"/>
      <c r="D335" s="88" t="n"/>
      <c r="E335" s="96" t="n"/>
      <c r="F335" s="96" t="n"/>
      <c r="G335" s="92">
        <f>IF(OR($E335="",$F335=""),"",ROUND(($F335-$E335+IF($F335&lt;$E335,1,0))*1440,0))</f>
        <v/>
      </c>
      <c r="H335" s="88" t="n"/>
      <c r="I335" s="94">
        <f>IF($H335="","",IFERROR(INDEX(PARAMETRES!$S$7:$S$46,MATCH($H335,PARAMETRES!$R$7:$R$46,0)),"Code inconnu"))</f>
        <v/>
      </c>
      <c r="J335" s="94">
        <f>IF($H335="","",IFERROR(INDEX(PARAMETRES!$T$7:$T$46,MATCH($H335,PARAMETRES!$R$7:$R$46,0)),""))</f>
        <v/>
      </c>
      <c r="K335" s="94">
        <f>IF($H335="","",IFERROR(INDEX(PARAMETRES!$U$7:$U$46,MATCH($H335,PARAMETRES!$R$7:$R$46,0)),""))</f>
        <v/>
      </c>
      <c r="L335" s="94">
        <f>IF($H335="","",IFERROR(INDEX(PARAMETRES!$V$7:$V$46,MATCH($H335,PARAMETRES!$R$7:$R$46,0)),""))</f>
        <v/>
      </c>
      <c r="M335" s="88" t="n"/>
      <c r="N335" s="88" t="n"/>
      <c r="O335" s="88" t="n"/>
      <c r="P335" s="94">
        <f>IF($G335="","",IF($G335&gt;=60,"Arrêt majeur — analyse 5 pourquoi",IF($G335&gt;=30,"À analyser en revue quotidienne",IF($K335="Planifié","Arrêt planifié","Aléa courant"))))</f>
        <v/>
      </c>
      <c r="Q335" s="95">
        <f>IF($A335="",0,IF(AND(OR(COCKPIT!$H$4="Toutes",$C335=COCKPIT!$H$4),OR(COCKPIT!$K$4="Toutes",$B335=COCKPIT!$K$4)),1,0))</f>
        <v/>
      </c>
    </row>
    <row r="336" ht="15" customHeight="1">
      <c r="A336" s="87" t="n"/>
      <c r="B336" s="88" t="n"/>
      <c r="C336" s="88" t="n"/>
      <c r="D336" s="88" t="n"/>
      <c r="E336" s="96" t="n"/>
      <c r="F336" s="96" t="n"/>
      <c r="G336" s="92">
        <f>IF(OR($E336="",$F336=""),"",ROUND(($F336-$E336+IF($F336&lt;$E336,1,0))*1440,0))</f>
        <v/>
      </c>
      <c r="H336" s="88" t="n"/>
      <c r="I336" s="94">
        <f>IF($H336="","",IFERROR(INDEX(PARAMETRES!$S$7:$S$46,MATCH($H336,PARAMETRES!$R$7:$R$46,0)),"Code inconnu"))</f>
        <v/>
      </c>
      <c r="J336" s="94">
        <f>IF($H336="","",IFERROR(INDEX(PARAMETRES!$T$7:$T$46,MATCH($H336,PARAMETRES!$R$7:$R$46,0)),""))</f>
        <v/>
      </c>
      <c r="K336" s="94">
        <f>IF($H336="","",IFERROR(INDEX(PARAMETRES!$U$7:$U$46,MATCH($H336,PARAMETRES!$R$7:$R$46,0)),""))</f>
        <v/>
      </c>
      <c r="L336" s="94">
        <f>IF($H336="","",IFERROR(INDEX(PARAMETRES!$V$7:$V$46,MATCH($H336,PARAMETRES!$R$7:$R$46,0)),""))</f>
        <v/>
      </c>
      <c r="M336" s="88" t="n"/>
      <c r="N336" s="88" t="n"/>
      <c r="O336" s="88" t="n"/>
      <c r="P336" s="94">
        <f>IF($G336="","",IF($G336&gt;=60,"Arrêt majeur — analyse 5 pourquoi",IF($G336&gt;=30,"À analyser en revue quotidienne",IF($K336="Planifié","Arrêt planifié","Aléa courant"))))</f>
        <v/>
      </c>
      <c r="Q336" s="95">
        <f>IF($A336="",0,IF(AND(OR(COCKPIT!$H$4="Toutes",$C336=COCKPIT!$H$4),OR(COCKPIT!$K$4="Toutes",$B336=COCKPIT!$K$4)),1,0))</f>
        <v/>
      </c>
    </row>
    <row r="337" ht="15" customHeight="1">
      <c r="A337" s="87" t="n"/>
      <c r="B337" s="88" t="n"/>
      <c r="C337" s="88" t="n"/>
      <c r="D337" s="88" t="n"/>
      <c r="E337" s="96" t="n"/>
      <c r="F337" s="96" t="n"/>
      <c r="G337" s="92">
        <f>IF(OR($E337="",$F337=""),"",ROUND(($F337-$E337+IF($F337&lt;$E337,1,0))*1440,0))</f>
        <v/>
      </c>
      <c r="H337" s="88" t="n"/>
      <c r="I337" s="94">
        <f>IF($H337="","",IFERROR(INDEX(PARAMETRES!$S$7:$S$46,MATCH($H337,PARAMETRES!$R$7:$R$46,0)),"Code inconnu"))</f>
        <v/>
      </c>
      <c r="J337" s="94">
        <f>IF($H337="","",IFERROR(INDEX(PARAMETRES!$T$7:$T$46,MATCH($H337,PARAMETRES!$R$7:$R$46,0)),""))</f>
        <v/>
      </c>
      <c r="K337" s="94">
        <f>IF($H337="","",IFERROR(INDEX(PARAMETRES!$U$7:$U$46,MATCH($H337,PARAMETRES!$R$7:$R$46,0)),""))</f>
        <v/>
      </c>
      <c r="L337" s="94">
        <f>IF($H337="","",IFERROR(INDEX(PARAMETRES!$V$7:$V$46,MATCH($H337,PARAMETRES!$R$7:$R$46,0)),""))</f>
        <v/>
      </c>
      <c r="M337" s="88" t="n"/>
      <c r="N337" s="88" t="n"/>
      <c r="O337" s="88" t="n"/>
      <c r="P337" s="94">
        <f>IF($G337="","",IF($G337&gt;=60,"Arrêt majeur — analyse 5 pourquoi",IF($G337&gt;=30,"À analyser en revue quotidienne",IF($K337="Planifié","Arrêt planifié","Aléa courant"))))</f>
        <v/>
      </c>
      <c r="Q337" s="95">
        <f>IF($A337="",0,IF(AND(OR(COCKPIT!$H$4="Toutes",$C337=COCKPIT!$H$4),OR(COCKPIT!$K$4="Toutes",$B337=COCKPIT!$K$4)),1,0))</f>
        <v/>
      </c>
    </row>
    <row r="338" ht="15" customHeight="1">
      <c r="A338" s="87" t="n"/>
      <c r="B338" s="88" t="n"/>
      <c r="C338" s="88" t="n"/>
      <c r="D338" s="88" t="n"/>
      <c r="E338" s="96" t="n"/>
      <c r="F338" s="96" t="n"/>
      <c r="G338" s="92">
        <f>IF(OR($E338="",$F338=""),"",ROUND(($F338-$E338+IF($F338&lt;$E338,1,0))*1440,0))</f>
        <v/>
      </c>
      <c r="H338" s="88" t="n"/>
      <c r="I338" s="94">
        <f>IF($H338="","",IFERROR(INDEX(PARAMETRES!$S$7:$S$46,MATCH($H338,PARAMETRES!$R$7:$R$46,0)),"Code inconnu"))</f>
        <v/>
      </c>
      <c r="J338" s="94">
        <f>IF($H338="","",IFERROR(INDEX(PARAMETRES!$T$7:$T$46,MATCH($H338,PARAMETRES!$R$7:$R$46,0)),""))</f>
        <v/>
      </c>
      <c r="K338" s="94">
        <f>IF($H338="","",IFERROR(INDEX(PARAMETRES!$U$7:$U$46,MATCH($H338,PARAMETRES!$R$7:$R$46,0)),""))</f>
        <v/>
      </c>
      <c r="L338" s="94">
        <f>IF($H338="","",IFERROR(INDEX(PARAMETRES!$V$7:$V$46,MATCH($H338,PARAMETRES!$R$7:$R$46,0)),""))</f>
        <v/>
      </c>
      <c r="M338" s="88" t="n"/>
      <c r="N338" s="88" t="n"/>
      <c r="O338" s="88" t="n"/>
      <c r="P338" s="94">
        <f>IF($G338="","",IF($G338&gt;=60,"Arrêt majeur — analyse 5 pourquoi",IF($G338&gt;=30,"À analyser en revue quotidienne",IF($K338="Planifié","Arrêt planifié","Aléa courant"))))</f>
        <v/>
      </c>
      <c r="Q338" s="95">
        <f>IF($A338="",0,IF(AND(OR(COCKPIT!$H$4="Toutes",$C338=COCKPIT!$H$4),OR(COCKPIT!$K$4="Toutes",$B338=COCKPIT!$K$4)),1,0))</f>
        <v/>
      </c>
    </row>
    <row r="339" ht="15" customHeight="1">
      <c r="A339" s="87" t="n"/>
      <c r="B339" s="88" t="n"/>
      <c r="C339" s="88" t="n"/>
      <c r="D339" s="88" t="n"/>
      <c r="E339" s="96" t="n"/>
      <c r="F339" s="96" t="n"/>
      <c r="G339" s="92">
        <f>IF(OR($E339="",$F339=""),"",ROUND(($F339-$E339+IF($F339&lt;$E339,1,0))*1440,0))</f>
        <v/>
      </c>
      <c r="H339" s="88" t="n"/>
      <c r="I339" s="94">
        <f>IF($H339="","",IFERROR(INDEX(PARAMETRES!$S$7:$S$46,MATCH($H339,PARAMETRES!$R$7:$R$46,0)),"Code inconnu"))</f>
        <v/>
      </c>
      <c r="J339" s="94">
        <f>IF($H339="","",IFERROR(INDEX(PARAMETRES!$T$7:$T$46,MATCH($H339,PARAMETRES!$R$7:$R$46,0)),""))</f>
        <v/>
      </c>
      <c r="K339" s="94">
        <f>IF($H339="","",IFERROR(INDEX(PARAMETRES!$U$7:$U$46,MATCH($H339,PARAMETRES!$R$7:$R$46,0)),""))</f>
        <v/>
      </c>
      <c r="L339" s="94">
        <f>IF($H339="","",IFERROR(INDEX(PARAMETRES!$V$7:$V$46,MATCH($H339,PARAMETRES!$R$7:$R$46,0)),""))</f>
        <v/>
      </c>
      <c r="M339" s="88" t="n"/>
      <c r="N339" s="88" t="n"/>
      <c r="O339" s="88" t="n"/>
      <c r="P339" s="94">
        <f>IF($G339="","",IF($G339&gt;=60,"Arrêt majeur — analyse 5 pourquoi",IF($G339&gt;=30,"À analyser en revue quotidienne",IF($K339="Planifié","Arrêt planifié","Aléa courant"))))</f>
        <v/>
      </c>
      <c r="Q339" s="95">
        <f>IF($A339="",0,IF(AND(OR(COCKPIT!$H$4="Toutes",$C339=COCKPIT!$H$4),OR(COCKPIT!$K$4="Toutes",$B339=COCKPIT!$K$4)),1,0))</f>
        <v/>
      </c>
    </row>
    <row r="340" ht="15" customHeight="1">
      <c r="A340" s="87" t="n"/>
      <c r="B340" s="88" t="n"/>
      <c r="C340" s="88" t="n"/>
      <c r="D340" s="88" t="n"/>
      <c r="E340" s="96" t="n"/>
      <c r="F340" s="96" t="n"/>
      <c r="G340" s="92">
        <f>IF(OR($E340="",$F340=""),"",ROUND(($F340-$E340+IF($F340&lt;$E340,1,0))*1440,0))</f>
        <v/>
      </c>
      <c r="H340" s="88" t="n"/>
      <c r="I340" s="94">
        <f>IF($H340="","",IFERROR(INDEX(PARAMETRES!$S$7:$S$46,MATCH($H340,PARAMETRES!$R$7:$R$46,0)),"Code inconnu"))</f>
        <v/>
      </c>
      <c r="J340" s="94">
        <f>IF($H340="","",IFERROR(INDEX(PARAMETRES!$T$7:$T$46,MATCH($H340,PARAMETRES!$R$7:$R$46,0)),""))</f>
        <v/>
      </c>
      <c r="K340" s="94">
        <f>IF($H340="","",IFERROR(INDEX(PARAMETRES!$U$7:$U$46,MATCH($H340,PARAMETRES!$R$7:$R$46,0)),""))</f>
        <v/>
      </c>
      <c r="L340" s="94">
        <f>IF($H340="","",IFERROR(INDEX(PARAMETRES!$V$7:$V$46,MATCH($H340,PARAMETRES!$R$7:$R$46,0)),""))</f>
        <v/>
      </c>
      <c r="M340" s="88" t="n"/>
      <c r="N340" s="88" t="n"/>
      <c r="O340" s="88" t="n"/>
      <c r="P340" s="94">
        <f>IF($G340="","",IF($G340&gt;=60,"Arrêt majeur — analyse 5 pourquoi",IF($G340&gt;=30,"À analyser en revue quotidienne",IF($K340="Planifié","Arrêt planifié","Aléa courant"))))</f>
        <v/>
      </c>
      <c r="Q340" s="95">
        <f>IF($A340="",0,IF(AND(OR(COCKPIT!$H$4="Toutes",$C340=COCKPIT!$H$4),OR(COCKPIT!$K$4="Toutes",$B340=COCKPIT!$K$4)),1,0))</f>
        <v/>
      </c>
    </row>
    <row r="341" ht="15" customHeight="1">
      <c r="A341" s="87" t="n"/>
      <c r="B341" s="88" t="n"/>
      <c r="C341" s="88" t="n"/>
      <c r="D341" s="88" t="n"/>
      <c r="E341" s="96" t="n"/>
      <c r="F341" s="96" t="n"/>
      <c r="G341" s="92">
        <f>IF(OR($E341="",$F341=""),"",ROUND(($F341-$E341+IF($F341&lt;$E341,1,0))*1440,0))</f>
        <v/>
      </c>
      <c r="H341" s="88" t="n"/>
      <c r="I341" s="94">
        <f>IF($H341="","",IFERROR(INDEX(PARAMETRES!$S$7:$S$46,MATCH($H341,PARAMETRES!$R$7:$R$46,0)),"Code inconnu"))</f>
        <v/>
      </c>
      <c r="J341" s="94">
        <f>IF($H341="","",IFERROR(INDEX(PARAMETRES!$T$7:$T$46,MATCH($H341,PARAMETRES!$R$7:$R$46,0)),""))</f>
        <v/>
      </c>
      <c r="K341" s="94">
        <f>IF($H341="","",IFERROR(INDEX(PARAMETRES!$U$7:$U$46,MATCH($H341,PARAMETRES!$R$7:$R$46,0)),""))</f>
        <v/>
      </c>
      <c r="L341" s="94">
        <f>IF($H341="","",IFERROR(INDEX(PARAMETRES!$V$7:$V$46,MATCH($H341,PARAMETRES!$R$7:$R$46,0)),""))</f>
        <v/>
      </c>
      <c r="M341" s="88" t="n"/>
      <c r="N341" s="88" t="n"/>
      <c r="O341" s="88" t="n"/>
      <c r="P341" s="94">
        <f>IF($G341="","",IF($G341&gt;=60,"Arrêt majeur — analyse 5 pourquoi",IF($G341&gt;=30,"À analyser en revue quotidienne",IF($K341="Planifié","Arrêt planifié","Aléa courant"))))</f>
        <v/>
      </c>
      <c r="Q341" s="95">
        <f>IF($A341="",0,IF(AND(OR(COCKPIT!$H$4="Toutes",$C341=COCKPIT!$H$4),OR(COCKPIT!$K$4="Toutes",$B341=COCKPIT!$K$4)),1,0))</f>
        <v/>
      </c>
    </row>
    <row r="342" ht="15" customHeight="1">
      <c r="A342" s="87" t="n"/>
      <c r="B342" s="88" t="n"/>
      <c r="C342" s="88" t="n"/>
      <c r="D342" s="88" t="n"/>
      <c r="E342" s="96" t="n"/>
      <c r="F342" s="96" t="n"/>
      <c r="G342" s="92">
        <f>IF(OR($E342="",$F342=""),"",ROUND(($F342-$E342+IF($F342&lt;$E342,1,0))*1440,0))</f>
        <v/>
      </c>
      <c r="H342" s="88" t="n"/>
      <c r="I342" s="94">
        <f>IF($H342="","",IFERROR(INDEX(PARAMETRES!$S$7:$S$46,MATCH($H342,PARAMETRES!$R$7:$R$46,0)),"Code inconnu"))</f>
        <v/>
      </c>
      <c r="J342" s="94">
        <f>IF($H342="","",IFERROR(INDEX(PARAMETRES!$T$7:$T$46,MATCH($H342,PARAMETRES!$R$7:$R$46,0)),""))</f>
        <v/>
      </c>
      <c r="K342" s="94">
        <f>IF($H342="","",IFERROR(INDEX(PARAMETRES!$U$7:$U$46,MATCH($H342,PARAMETRES!$R$7:$R$46,0)),""))</f>
        <v/>
      </c>
      <c r="L342" s="94">
        <f>IF($H342="","",IFERROR(INDEX(PARAMETRES!$V$7:$V$46,MATCH($H342,PARAMETRES!$R$7:$R$46,0)),""))</f>
        <v/>
      </c>
      <c r="M342" s="88" t="n"/>
      <c r="N342" s="88" t="n"/>
      <c r="O342" s="88" t="n"/>
      <c r="P342" s="94">
        <f>IF($G342="","",IF($G342&gt;=60,"Arrêt majeur — analyse 5 pourquoi",IF($G342&gt;=30,"À analyser en revue quotidienne",IF($K342="Planifié","Arrêt planifié","Aléa courant"))))</f>
        <v/>
      </c>
      <c r="Q342" s="95">
        <f>IF($A342="",0,IF(AND(OR(COCKPIT!$H$4="Toutes",$C342=COCKPIT!$H$4),OR(COCKPIT!$K$4="Toutes",$B342=COCKPIT!$K$4)),1,0))</f>
        <v/>
      </c>
    </row>
    <row r="343" ht="15" customHeight="1">
      <c r="A343" s="87" t="n"/>
      <c r="B343" s="88" t="n"/>
      <c r="C343" s="88" t="n"/>
      <c r="D343" s="88" t="n"/>
      <c r="E343" s="96" t="n"/>
      <c r="F343" s="96" t="n"/>
      <c r="G343" s="92">
        <f>IF(OR($E343="",$F343=""),"",ROUND(($F343-$E343+IF($F343&lt;$E343,1,0))*1440,0))</f>
        <v/>
      </c>
      <c r="H343" s="88" t="n"/>
      <c r="I343" s="94">
        <f>IF($H343="","",IFERROR(INDEX(PARAMETRES!$S$7:$S$46,MATCH($H343,PARAMETRES!$R$7:$R$46,0)),"Code inconnu"))</f>
        <v/>
      </c>
      <c r="J343" s="94">
        <f>IF($H343="","",IFERROR(INDEX(PARAMETRES!$T$7:$T$46,MATCH($H343,PARAMETRES!$R$7:$R$46,0)),""))</f>
        <v/>
      </c>
      <c r="K343" s="94">
        <f>IF($H343="","",IFERROR(INDEX(PARAMETRES!$U$7:$U$46,MATCH($H343,PARAMETRES!$R$7:$R$46,0)),""))</f>
        <v/>
      </c>
      <c r="L343" s="94">
        <f>IF($H343="","",IFERROR(INDEX(PARAMETRES!$V$7:$V$46,MATCH($H343,PARAMETRES!$R$7:$R$46,0)),""))</f>
        <v/>
      </c>
      <c r="M343" s="88" t="n"/>
      <c r="N343" s="88" t="n"/>
      <c r="O343" s="88" t="n"/>
      <c r="P343" s="94">
        <f>IF($G343="","",IF($G343&gt;=60,"Arrêt majeur — analyse 5 pourquoi",IF($G343&gt;=30,"À analyser en revue quotidienne",IF($K343="Planifié","Arrêt planifié","Aléa courant"))))</f>
        <v/>
      </c>
      <c r="Q343" s="95">
        <f>IF($A343="",0,IF(AND(OR(COCKPIT!$H$4="Toutes",$C343=COCKPIT!$H$4),OR(COCKPIT!$K$4="Toutes",$B343=COCKPIT!$K$4)),1,0))</f>
        <v/>
      </c>
    </row>
    <row r="344" ht="15" customHeight="1">
      <c r="A344" s="87" t="n"/>
      <c r="B344" s="88" t="n"/>
      <c r="C344" s="88" t="n"/>
      <c r="D344" s="88" t="n"/>
      <c r="E344" s="96" t="n"/>
      <c r="F344" s="96" t="n"/>
      <c r="G344" s="92">
        <f>IF(OR($E344="",$F344=""),"",ROUND(($F344-$E344+IF($F344&lt;$E344,1,0))*1440,0))</f>
        <v/>
      </c>
      <c r="H344" s="88" t="n"/>
      <c r="I344" s="94">
        <f>IF($H344="","",IFERROR(INDEX(PARAMETRES!$S$7:$S$46,MATCH($H344,PARAMETRES!$R$7:$R$46,0)),"Code inconnu"))</f>
        <v/>
      </c>
      <c r="J344" s="94">
        <f>IF($H344="","",IFERROR(INDEX(PARAMETRES!$T$7:$T$46,MATCH($H344,PARAMETRES!$R$7:$R$46,0)),""))</f>
        <v/>
      </c>
      <c r="K344" s="94">
        <f>IF($H344="","",IFERROR(INDEX(PARAMETRES!$U$7:$U$46,MATCH($H344,PARAMETRES!$R$7:$R$46,0)),""))</f>
        <v/>
      </c>
      <c r="L344" s="94">
        <f>IF($H344="","",IFERROR(INDEX(PARAMETRES!$V$7:$V$46,MATCH($H344,PARAMETRES!$R$7:$R$46,0)),""))</f>
        <v/>
      </c>
      <c r="M344" s="88" t="n"/>
      <c r="N344" s="88" t="n"/>
      <c r="O344" s="88" t="n"/>
      <c r="P344" s="94">
        <f>IF($G344="","",IF($G344&gt;=60,"Arrêt majeur — analyse 5 pourquoi",IF($G344&gt;=30,"À analyser en revue quotidienne",IF($K344="Planifié","Arrêt planifié","Aléa courant"))))</f>
        <v/>
      </c>
      <c r="Q344" s="95">
        <f>IF($A344="",0,IF(AND(OR(COCKPIT!$H$4="Toutes",$C344=COCKPIT!$H$4),OR(COCKPIT!$K$4="Toutes",$B344=COCKPIT!$K$4)),1,0))</f>
        <v/>
      </c>
    </row>
    <row r="345" ht="15" customHeight="1">
      <c r="A345" s="87" t="n"/>
      <c r="B345" s="88" t="n"/>
      <c r="C345" s="88" t="n"/>
      <c r="D345" s="88" t="n"/>
      <c r="E345" s="96" t="n"/>
      <c r="F345" s="96" t="n"/>
      <c r="G345" s="92">
        <f>IF(OR($E345="",$F345=""),"",ROUND(($F345-$E345+IF($F345&lt;$E345,1,0))*1440,0))</f>
        <v/>
      </c>
      <c r="H345" s="88" t="n"/>
      <c r="I345" s="94">
        <f>IF($H345="","",IFERROR(INDEX(PARAMETRES!$S$7:$S$46,MATCH($H345,PARAMETRES!$R$7:$R$46,0)),"Code inconnu"))</f>
        <v/>
      </c>
      <c r="J345" s="94">
        <f>IF($H345="","",IFERROR(INDEX(PARAMETRES!$T$7:$T$46,MATCH($H345,PARAMETRES!$R$7:$R$46,0)),""))</f>
        <v/>
      </c>
      <c r="K345" s="94">
        <f>IF($H345="","",IFERROR(INDEX(PARAMETRES!$U$7:$U$46,MATCH($H345,PARAMETRES!$R$7:$R$46,0)),""))</f>
        <v/>
      </c>
      <c r="L345" s="94">
        <f>IF($H345="","",IFERROR(INDEX(PARAMETRES!$V$7:$V$46,MATCH($H345,PARAMETRES!$R$7:$R$46,0)),""))</f>
        <v/>
      </c>
      <c r="M345" s="88" t="n"/>
      <c r="N345" s="88" t="n"/>
      <c r="O345" s="88" t="n"/>
      <c r="P345" s="94">
        <f>IF($G345="","",IF($G345&gt;=60,"Arrêt majeur — analyse 5 pourquoi",IF($G345&gt;=30,"À analyser en revue quotidienne",IF($K345="Planifié","Arrêt planifié","Aléa courant"))))</f>
        <v/>
      </c>
      <c r="Q345" s="95">
        <f>IF($A345="",0,IF(AND(OR(COCKPIT!$H$4="Toutes",$C345=COCKPIT!$H$4),OR(COCKPIT!$K$4="Toutes",$B345=COCKPIT!$K$4)),1,0))</f>
        <v/>
      </c>
    </row>
    <row r="346" ht="15" customHeight="1">
      <c r="A346" s="87" t="n"/>
      <c r="B346" s="88" t="n"/>
      <c r="C346" s="88" t="n"/>
      <c r="D346" s="88" t="n"/>
      <c r="E346" s="96" t="n"/>
      <c r="F346" s="96" t="n"/>
      <c r="G346" s="92">
        <f>IF(OR($E346="",$F346=""),"",ROUND(($F346-$E346+IF($F346&lt;$E346,1,0))*1440,0))</f>
        <v/>
      </c>
      <c r="H346" s="88" t="n"/>
      <c r="I346" s="94">
        <f>IF($H346="","",IFERROR(INDEX(PARAMETRES!$S$7:$S$46,MATCH($H346,PARAMETRES!$R$7:$R$46,0)),"Code inconnu"))</f>
        <v/>
      </c>
      <c r="J346" s="94">
        <f>IF($H346="","",IFERROR(INDEX(PARAMETRES!$T$7:$T$46,MATCH($H346,PARAMETRES!$R$7:$R$46,0)),""))</f>
        <v/>
      </c>
      <c r="K346" s="94">
        <f>IF($H346="","",IFERROR(INDEX(PARAMETRES!$U$7:$U$46,MATCH($H346,PARAMETRES!$R$7:$R$46,0)),""))</f>
        <v/>
      </c>
      <c r="L346" s="94">
        <f>IF($H346="","",IFERROR(INDEX(PARAMETRES!$V$7:$V$46,MATCH($H346,PARAMETRES!$R$7:$R$46,0)),""))</f>
        <v/>
      </c>
      <c r="M346" s="88" t="n"/>
      <c r="N346" s="88" t="n"/>
      <c r="O346" s="88" t="n"/>
      <c r="P346" s="94">
        <f>IF($G346="","",IF($G346&gt;=60,"Arrêt majeur — analyse 5 pourquoi",IF($G346&gt;=30,"À analyser en revue quotidienne",IF($K346="Planifié","Arrêt planifié","Aléa courant"))))</f>
        <v/>
      </c>
      <c r="Q346" s="95">
        <f>IF($A346="",0,IF(AND(OR(COCKPIT!$H$4="Toutes",$C346=COCKPIT!$H$4),OR(COCKPIT!$K$4="Toutes",$B346=COCKPIT!$K$4)),1,0))</f>
        <v/>
      </c>
    </row>
    <row r="347" ht="15" customHeight="1">
      <c r="A347" s="87" t="n"/>
      <c r="B347" s="88" t="n"/>
      <c r="C347" s="88" t="n"/>
      <c r="D347" s="88" t="n"/>
      <c r="E347" s="96" t="n"/>
      <c r="F347" s="96" t="n"/>
      <c r="G347" s="92">
        <f>IF(OR($E347="",$F347=""),"",ROUND(($F347-$E347+IF($F347&lt;$E347,1,0))*1440,0))</f>
        <v/>
      </c>
      <c r="H347" s="88" t="n"/>
      <c r="I347" s="94">
        <f>IF($H347="","",IFERROR(INDEX(PARAMETRES!$S$7:$S$46,MATCH($H347,PARAMETRES!$R$7:$R$46,0)),"Code inconnu"))</f>
        <v/>
      </c>
      <c r="J347" s="94">
        <f>IF($H347="","",IFERROR(INDEX(PARAMETRES!$T$7:$T$46,MATCH($H347,PARAMETRES!$R$7:$R$46,0)),""))</f>
        <v/>
      </c>
      <c r="K347" s="94">
        <f>IF($H347="","",IFERROR(INDEX(PARAMETRES!$U$7:$U$46,MATCH($H347,PARAMETRES!$R$7:$R$46,0)),""))</f>
        <v/>
      </c>
      <c r="L347" s="94">
        <f>IF($H347="","",IFERROR(INDEX(PARAMETRES!$V$7:$V$46,MATCH($H347,PARAMETRES!$R$7:$R$46,0)),""))</f>
        <v/>
      </c>
      <c r="M347" s="88" t="n"/>
      <c r="N347" s="88" t="n"/>
      <c r="O347" s="88" t="n"/>
      <c r="P347" s="94">
        <f>IF($G347="","",IF($G347&gt;=60,"Arrêt majeur — analyse 5 pourquoi",IF($G347&gt;=30,"À analyser en revue quotidienne",IF($K347="Planifié","Arrêt planifié","Aléa courant"))))</f>
        <v/>
      </c>
      <c r="Q347" s="95">
        <f>IF($A347="",0,IF(AND(OR(COCKPIT!$H$4="Toutes",$C347=COCKPIT!$H$4),OR(COCKPIT!$K$4="Toutes",$B347=COCKPIT!$K$4)),1,0))</f>
        <v/>
      </c>
    </row>
    <row r="348" ht="15" customHeight="1">
      <c r="A348" s="87" t="n"/>
      <c r="B348" s="88" t="n"/>
      <c r="C348" s="88" t="n"/>
      <c r="D348" s="88" t="n"/>
      <c r="E348" s="96" t="n"/>
      <c r="F348" s="96" t="n"/>
      <c r="G348" s="92">
        <f>IF(OR($E348="",$F348=""),"",ROUND(($F348-$E348+IF($F348&lt;$E348,1,0))*1440,0))</f>
        <v/>
      </c>
      <c r="H348" s="88" t="n"/>
      <c r="I348" s="94">
        <f>IF($H348="","",IFERROR(INDEX(PARAMETRES!$S$7:$S$46,MATCH($H348,PARAMETRES!$R$7:$R$46,0)),"Code inconnu"))</f>
        <v/>
      </c>
      <c r="J348" s="94">
        <f>IF($H348="","",IFERROR(INDEX(PARAMETRES!$T$7:$T$46,MATCH($H348,PARAMETRES!$R$7:$R$46,0)),""))</f>
        <v/>
      </c>
      <c r="K348" s="94">
        <f>IF($H348="","",IFERROR(INDEX(PARAMETRES!$U$7:$U$46,MATCH($H348,PARAMETRES!$R$7:$R$46,0)),""))</f>
        <v/>
      </c>
      <c r="L348" s="94">
        <f>IF($H348="","",IFERROR(INDEX(PARAMETRES!$V$7:$V$46,MATCH($H348,PARAMETRES!$R$7:$R$46,0)),""))</f>
        <v/>
      </c>
      <c r="M348" s="88" t="n"/>
      <c r="N348" s="88" t="n"/>
      <c r="O348" s="88" t="n"/>
      <c r="P348" s="94">
        <f>IF($G348="","",IF($G348&gt;=60,"Arrêt majeur — analyse 5 pourquoi",IF($G348&gt;=30,"À analyser en revue quotidienne",IF($K348="Planifié","Arrêt planifié","Aléa courant"))))</f>
        <v/>
      </c>
      <c r="Q348" s="95">
        <f>IF($A348="",0,IF(AND(OR(COCKPIT!$H$4="Toutes",$C348=COCKPIT!$H$4),OR(COCKPIT!$K$4="Toutes",$B348=COCKPIT!$K$4)),1,0))</f>
        <v/>
      </c>
    </row>
    <row r="349" ht="15" customHeight="1">
      <c r="A349" s="87" t="n"/>
      <c r="B349" s="88" t="n"/>
      <c r="C349" s="88" t="n"/>
      <c r="D349" s="88" t="n"/>
      <c r="E349" s="96" t="n"/>
      <c r="F349" s="96" t="n"/>
      <c r="G349" s="92">
        <f>IF(OR($E349="",$F349=""),"",ROUND(($F349-$E349+IF($F349&lt;$E349,1,0))*1440,0))</f>
        <v/>
      </c>
      <c r="H349" s="88" t="n"/>
      <c r="I349" s="94">
        <f>IF($H349="","",IFERROR(INDEX(PARAMETRES!$S$7:$S$46,MATCH($H349,PARAMETRES!$R$7:$R$46,0)),"Code inconnu"))</f>
        <v/>
      </c>
      <c r="J349" s="94">
        <f>IF($H349="","",IFERROR(INDEX(PARAMETRES!$T$7:$T$46,MATCH($H349,PARAMETRES!$R$7:$R$46,0)),""))</f>
        <v/>
      </c>
      <c r="K349" s="94">
        <f>IF($H349="","",IFERROR(INDEX(PARAMETRES!$U$7:$U$46,MATCH($H349,PARAMETRES!$R$7:$R$46,0)),""))</f>
        <v/>
      </c>
      <c r="L349" s="94">
        <f>IF($H349="","",IFERROR(INDEX(PARAMETRES!$V$7:$V$46,MATCH($H349,PARAMETRES!$R$7:$R$46,0)),""))</f>
        <v/>
      </c>
      <c r="M349" s="88" t="n"/>
      <c r="N349" s="88" t="n"/>
      <c r="O349" s="88" t="n"/>
      <c r="P349" s="94">
        <f>IF($G349="","",IF($G349&gt;=60,"Arrêt majeur — analyse 5 pourquoi",IF($G349&gt;=30,"À analyser en revue quotidienne",IF($K349="Planifié","Arrêt planifié","Aléa courant"))))</f>
        <v/>
      </c>
      <c r="Q349" s="95">
        <f>IF($A349="",0,IF(AND(OR(COCKPIT!$H$4="Toutes",$C349=COCKPIT!$H$4),OR(COCKPIT!$K$4="Toutes",$B349=COCKPIT!$K$4)),1,0))</f>
        <v/>
      </c>
    </row>
    <row r="350" ht="15" customHeight="1">
      <c r="A350" s="87" t="n"/>
      <c r="B350" s="88" t="n"/>
      <c r="C350" s="88" t="n"/>
      <c r="D350" s="88" t="n"/>
      <c r="E350" s="96" t="n"/>
      <c r="F350" s="96" t="n"/>
      <c r="G350" s="92">
        <f>IF(OR($E350="",$F350=""),"",ROUND(($F350-$E350+IF($F350&lt;$E350,1,0))*1440,0))</f>
        <v/>
      </c>
      <c r="H350" s="88" t="n"/>
      <c r="I350" s="94">
        <f>IF($H350="","",IFERROR(INDEX(PARAMETRES!$S$7:$S$46,MATCH($H350,PARAMETRES!$R$7:$R$46,0)),"Code inconnu"))</f>
        <v/>
      </c>
      <c r="J350" s="94">
        <f>IF($H350="","",IFERROR(INDEX(PARAMETRES!$T$7:$T$46,MATCH($H350,PARAMETRES!$R$7:$R$46,0)),""))</f>
        <v/>
      </c>
      <c r="K350" s="94">
        <f>IF($H350="","",IFERROR(INDEX(PARAMETRES!$U$7:$U$46,MATCH($H350,PARAMETRES!$R$7:$R$46,0)),""))</f>
        <v/>
      </c>
      <c r="L350" s="94">
        <f>IF($H350="","",IFERROR(INDEX(PARAMETRES!$V$7:$V$46,MATCH($H350,PARAMETRES!$R$7:$R$46,0)),""))</f>
        <v/>
      </c>
      <c r="M350" s="88" t="n"/>
      <c r="N350" s="88" t="n"/>
      <c r="O350" s="88" t="n"/>
      <c r="P350" s="94">
        <f>IF($G350="","",IF($G350&gt;=60,"Arrêt majeur — analyse 5 pourquoi",IF($G350&gt;=30,"À analyser en revue quotidienne",IF($K350="Planifié","Arrêt planifié","Aléa courant"))))</f>
        <v/>
      </c>
      <c r="Q350" s="95">
        <f>IF($A350="",0,IF(AND(OR(COCKPIT!$H$4="Toutes",$C350=COCKPIT!$H$4),OR(COCKPIT!$K$4="Toutes",$B350=COCKPIT!$K$4)),1,0))</f>
        <v/>
      </c>
    </row>
    <row r="351" ht="15" customHeight="1">
      <c r="A351" s="87" t="n"/>
      <c r="B351" s="88" t="n"/>
      <c r="C351" s="88" t="n"/>
      <c r="D351" s="88" t="n"/>
      <c r="E351" s="96" t="n"/>
      <c r="F351" s="96" t="n"/>
      <c r="G351" s="92">
        <f>IF(OR($E351="",$F351=""),"",ROUND(($F351-$E351+IF($F351&lt;$E351,1,0))*1440,0))</f>
        <v/>
      </c>
      <c r="H351" s="88" t="n"/>
      <c r="I351" s="94">
        <f>IF($H351="","",IFERROR(INDEX(PARAMETRES!$S$7:$S$46,MATCH($H351,PARAMETRES!$R$7:$R$46,0)),"Code inconnu"))</f>
        <v/>
      </c>
      <c r="J351" s="94">
        <f>IF($H351="","",IFERROR(INDEX(PARAMETRES!$T$7:$T$46,MATCH($H351,PARAMETRES!$R$7:$R$46,0)),""))</f>
        <v/>
      </c>
      <c r="K351" s="94">
        <f>IF($H351="","",IFERROR(INDEX(PARAMETRES!$U$7:$U$46,MATCH($H351,PARAMETRES!$R$7:$R$46,0)),""))</f>
        <v/>
      </c>
      <c r="L351" s="94">
        <f>IF($H351="","",IFERROR(INDEX(PARAMETRES!$V$7:$V$46,MATCH($H351,PARAMETRES!$R$7:$R$46,0)),""))</f>
        <v/>
      </c>
      <c r="M351" s="88" t="n"/>
      <c r="N351" s="88" t="n"/>
      <c r="O351" s="88" t="n"/>
      <c r="P351" s="94">
        <f>IF($G351="","",IF($G351&gt;=60,"Arrêt majeur — analyse 5 pourquoi",IF($G351&gt;=30,"À analyser en revue quotidienne",IF($K351="Planifié","Arrêt planifié","Aléa courant"))))</f>
        <v/>
      </c>
      <c r="Q351" s="95">
        <f>IF($A351="",0,IF(AND(OR(COCKPIT!$H$4="Toutes",$C351=COCKPIT!$H$4),OR(COCKPIT!$K$4="Toutes",$B351=COCKPIT!$K$4)),1,0))</f>
        <v/>
      </c>
    </row>
    <row r="352" ht="15" customHeight="1">
      <c r="A352" s="87" t="n"/>
      <c r="B352" s="88" t="n"/>
      <c r="C352" s="88" t="n"/>
      <c r="D352" s="88" t="n"/>
      <c r="E352" s="96" t="n"/>
      <c r="F352" s="96" t="n"/>
      <c r="G352" s="92">
        <f>IF(OR($E352="",$F352=""),"",ROUND(($F352-$E352+IF($F352&lt;$E352,1,0))*1440,0))</f>
        <v/>
      </c>
      <c r="H352" s="88" t="n"/>
      <c r="I352" s="94">
        <f>IF($H352="","",IFERROR(INDEX(PARAMETRES!$S$7:$S$46,MATCH($H352,PARAMETRES!$R$7:$R$46,0)),"Code inconnu"))</f>
        <v/>
      </c>
      <c r="J352" s="94">
        <f>IF($H352="","",IFERROR(INDEX(PARAMETRES!$T$7:$T$46,MATCH($H352,PARAMETRES!$R$7:$R$46,0)),""))</f>
        <v/>
      </c>
      <c r="K352" s="94">
        <f>IF($H352="","",IFERROR(INDEX(PARAMETRES!$U$7:$U$46,MATCH($H352,PARAMETRES!$R$7:$R$46,0)),""))</f>
        <v/>
      </c>
      <c r="L352" s="94">
        <f>IF($H352="","",IFERROR(INDEX(PARAMETRES!$V$7:$V$46,MATCH($H352,PARAMETRES!$R$7:$R$46,0)),""))</f>
        <v/>
      </c>
      <c r="M352" s="88" t="n"/>
      <c r="N352" s="88" t="n"/>
      <c r="O352" s="88" t="n"/>
      <c r="P352" s="94">
        <f>IF($G352="","",IF($G352&gt;=60,"Arrêt majeur — analyse 5 pourquoi",IF($G352&gt;=30,"À analyser en revue quotidienne",IF($K352="Planifié","Arrêt planifié","Aléa courant"))))</f>
        <v/>
      </c>
      <c r="Q352" s="95">
        <f>IF($A352="",0,IF(AND(OR(COCKPIT!$H$4="Toutes",$C352=COCKPIT!$H$4),OR(COCKPIT!$K$4="Toutes",$B352=COCKPIT!$K$4)),1,0))</f>
        <v/>
      </c>
    </row>
    <row r="353" ht="15" customHeight="1">
      <c r="A353" s="87" t="n"/>
      <c r="B353" s="88" t="n"/>
      <c r="C353" s="88" t="n"/>
      <c r="D353" s="88" t="n"/>
      <c r="E353" s="96" t="n"/>
      <c r="F353" s="96" t="n"/>
      <c r="G353" s="92">
        <f>IF(OR($E353="",$F353=""),"",ROUND(($F353-$E353+IF($F353&lt;$E353,1,0))*1440,0))</f>
        <v/>
      </c>
      <c r="H353" s="88" t="n"/>
      <c r="I353" s="94">
        <f>IF($H353="","",IFERROR(INDEX(PARAMETRES!$S$7:$S$46,MATCH($H353,PARAMETRES!$R$7:$R$46,0)),"Code inconnu"))</f>
        <v/>
      </c>
      <c r="J353" s="94">
        <f>IF($H353="","",IFERROR(INDEX(PARAMETRES!$T$7:$T$46,MATCH($H353,PARAMETRES!$R$7:$R$46,0)),""))</f>
        <v/>
      </c>
      <c r="K353" s="94">
        <f>IF($H353="","",IFERROR(INDEX(PARAMETRES!$U$7:$U$46,MATCH($H353,PARAMETRES!$R$7:$R$46,0)),""))</f>
        <v/>
      </c>
      <c r="L353" s="94">
        <f>IF($H353="","",IFERROR(INDEX(PARAMETRES!$V$7:$V$46,MATCH($H353,PARAMETRES!$R$7:$R$46,0)),""))</f>
        <v/>
      </c>
      <c r="M353" s="88" t="n"/>
      <c r="N353" s="88" t="n"/>
      <c r="O353" s="88" t="n"/>
      <c r="P353" s="94">
        <f>IF($G353="","",IF($G353&gt;=60,"Arrêt majeur — analyse 5 pourquoi",IF($G353&gt;=30,"À analyser en revue quotidienne",IF($K353="Planifié","Arrêt planifié","Aléa courant"))))</f>
        <v/>
      </c>
      <c r="Q353" s="95">
        <f>IF($A353="",0,IF(AND(OR(COCKPIT!$H$4="Toutes",$C353=COCKPIT!$H$4),OR(COCKPIT!$K$4="Toutes",$B353=COCKPIT!$K$4)),1,0))</f>
        <v/>
      </c>
    </row>
    <row r="354" ht="15" customHeight="1">
      <c r="A354" s="87" t="n"/>
      <c r="B354" s="88" t="n"/>
      <c r="C354" s="88" t="n"/>
      <c r="D354" s="88" t="n"/>
      <c r="E354" s="96" t="n"/>
      <c r="F354" s="96" t="n"/>
      <c r="G354" s="92">
        <f>IF(OR($E354="",$F354=""),"",ROUND(($F354-$E354+IF($F354&lt;$E354,1,0))*1440,0))</f>
        <v/>
      </c>
      <c r="H354" s="88" t="n"/>
      <c r="I354" s="94">
        <f>IF($H354="","",IFERROR(INDEX(PARAMETRES!$S$7:$S$46,MATCH($H354,PARAMETRES!$R$7:$R$46,0)),"Code inconnu"))</f>
        <v/>
      </c>
      <c r="J354" s="94">
        <f>IF($H354="","",IFERROR(INDEX(PARAMETRES!$T$7:$T$46,MATCH($H354,PARAMETRES!$R$7:$R$46,0)),""))</f>
        <v/>
      </c>
      <c r="K354" s="94">
        <f>IF($H354="","",IFERROR(INDEX(PARAMETRES!$U$7:$U$46,MATCH($H354,PARAMETRES!$R$7:$R$46,0)),""))</f>
        <v/>
      </c>
      <c r="L354" s="94">
        <f>IF($H354="","",IFERROR(INDEX(PARAMETRES!$V$7:$V$46,MATCH($H354,PARAMETRES!$R$7:$R$46,0)),""))</f>
        <v/>
      </c>
      <c r="M354" s="88" t="n"/>
      <c r="N354" s="88" t="n"/>
      <c r="O354" s="88" t="n"/>
      <c r="P354" s="94">
        <f>IF($G354="","",IF($G354&gt;=60,"Arrêt majeur — analyse 5 pourquoi",IF($G354&gt;=30,"À analyser en revue quotidienne",IF($K354="Planifié","Arrêt planifié","Aléa courant"))))</f>
        <v/>
      </c>
      <c r="Q354" s="95">
        <f>IF($A354="",0,IF(AND(OR(COCKPIT!$H$4="Toutes",$C354=COCKPIT!$H$4),OR(COCKPIT!$K$4="Toutes",$B354=COCKPIT!$K$4)),1,0))</f>
        <v/>
      </c>
    </row>
    <row r="355" ht="15" customHeight="1">
      <c r="A355" s="87" t="n"/>
      <c r="B355" s="88" t="n"/>
      <c r="C355" s="88" t="n"/>
      <c r="D355" s="88" t="n"/>
      <c r="E355" s="96" t="n"/>
      <c r="F355" s="96" t="n"/>
      <c r="G355" s="92">
        <f>IF(OR($E355="",$F355=""),"",ROUND(($F355-$E355+IF($F355&lt;$E355,1,0))*1440,0))</f>
        <v/>
      </c>
      <c r="H355" s="88" t="n"/>
      <c r="I355" s="94">
        <f>IF($H355="","",IFERROR(INDEX(PARAMETRES!$S$7:$S$46,MATCH($H355,PARAMETRES!$R$7:$R$46,0)),"Code inconnu"))</f>
        <v/>
      </c>
      <c r="J355" s="94">
        <f>IF($H355="","",IFERROR(INDEX(PARAMETRES!$T$7:$T$46,MATCH($H355,PARAMETRES!$R$7:$R$46,0)),""))</f>
        <v/>
      </c>
      <c r="K355" s="94">
        <f>IF($H355="","",IFERROR(INDEX(PARAMETRES!$U$7:$U$46,MATCH($H355,PARAMETRES!$R$7:$R$46,0)),""))</f>
        <v/>
      </c>
      <c r="L355" s="94">
        <f>IF($H355="","",IFERROR(INDEX(PARAMETRES!$V$7:$V$46,MATCH($H355,PARAMETRES!$R$7:$R$46,0)),""))</f>
        <v/>
      </c>
      <c r="M355" s="88" t="n"/>
      <c r="N355" s="88" t="n"/>
      <c r="O355" s="88" t="n"/>
      <c r="P355" s="94">
        <f>IF($G355="","",IF($G355&gt;=60,"Arrêt majeur — analyse 5 pourquoi",IF($G355&gt;=30,"À analyser en revue quotidienne",IF($K355="Planifié","Arrêt planifié","Aléa courant"))))</f>
        <v/>
      </c>
      <c r="Q355" s="95">
        <f>IF($A355="",0,IF(AND(OR(COCKPIT!$H$4="Toutes",$C355=COCKPIT!$H$4),OR(COCKPIT!$K$4="Toutes",$B355=COCKPIT!$K$4)),1,0))</f>
        <v/>
      </c>
    </row>
    <row r="356" ht="15" customHeight="1">
      <c r="A356" s="87" t="n"/>
      <c r="B356" s="88" t="n"/>
      <c r="C356" s="88" t="n"/>
      <c r="D356" s="88" t="n"/>
      <c r="E356" s="96" t="n"/>
      <c r="F356" s="96" t="n"/>
      <c r="G356" s="92">
        <f>IF(OR($E356="",$F356=""),"",ROUND(($F356-$E356+IF($F356&lt;$E356,1,0))*1440,0))</f>
        <v/>
      </c>
      <c r="H356" s="88" t="n"/>
      <c r="I356" s="94">
        <f>IF($H356="","",IFERROR(INDEX(PARAMETRES!$S$7:$S$46,MATCH($H356,PARAMETRES!$R$7:$R$46,0)),"Code inconnu"))</f>
        <v/>
      </c>
      <c r="J356" s="94">
        <f>IF($H356="","",IFERROR(INDEX(PARAMETRES!$T$7:$T$46,MATCH($H356,PARAMETRES!$R$7:$R$46,0)),""))</f>
        <v/>
      </c>
      <c r="K356" s="94">
        <f>IF($H356="","",IFERROR(INDEX(PARAMETRES!$U$7:$U$46,MATCH($H356,PARAMETRES!$R$7:$R$46,0)),""))</f>
        <v/>
      </c>
      <c r="L356" s="94">
        <f>IF($H356="","",IFERROR(INDEX(PARAMETRES!$V$7:$V$46,MATCH($H356,PARAMETRES!$R$7:$R$46,0)),""))</f>
        <v/>
      </c>
      <c r="M356" s="88" t="n"/>
      <c r="N356" s="88" t="n"/>
      <c r="O356" s="88" t="n"/>
      <c r="P356" s="94">
        <f>IF($G356="","",IF($G356&gt;=60,"Arrêt majeur — analyse 5 pourquoi",IF($G356&gt;=30,"À analyser en revue quotidienne",IF($K356="Planifié","Arrêt planifié","Aléa courant"))))</f>
        <v/>
      </c>
      <c r="Q356" s="95">
        <f>IF($A356="",0,IF(AND(OR(COCKPIT!$H$4="Toutes",$C356=COCKPIT!$H$4),OR(COCKPIT!$K$4="Toutes",$B356=COCKPIT!$K$4)),1,0))</f>
        <v/>
      </c>
    </row>
    <row r="357" ht="15" customHeight="1">
      <c r="A357" s="87" t="n"/>
      <c r="B357" s="88" t="n"/>
      <c r="C357" s="88" t="n"/>
      <c r="D357" s="88" t="n"/>
      <c r="E357" s="96" t="n"/>
      <c r="F357" s="96" t="n"/>
      <c r="G357" s="92">
        <f>IF(OR($E357="",$F357=""),"",ROUND(($F357-$E357+IF($F357&lt;$E357,1,0))*1440,0))</f>
        <v/>
      </c>
      <c r="H357" s="88" t="n"/>
      <c r="I357" s="94">
        <f>IF($H357="","",IFERROR(INDEX(PARAMETRES!$S$7:$S$46,MATCH($H357,PARAMETRES!$R$7:$R$46,0)),"Code inconnu"))</f>
        <v/>
      </c>
      <c r="J357" s="94">
        <f>IF($H357="","",IFERROR(INDEX(PARAMETRES!$T$7:$T$46,MATCH($H357,PARAMETRES!$R$7:$R$46,0)),""))</f>
        <v/>
      </c>
      <c r="K357" s="94">
        <f>IF($H357="","",IFERROR(INDEX(PARAMETRES!$U$7:$U$46,MATCH($H357,PARAMETRES!$R$7:$R$46,0)),""))</f>
        <v/>
      </c>
      <c r="L357" s="94">
        <f>IF($H357="","",IFERROR(INDEX(PARAMETRES!$V$7:$V$46,MATCH($H357,PARAMETRES!$R$7:$R$46,0)),""))</f>
        <v/>
      </c>
      <c r="M357" s="88" t="n"/>
      <c r="N357" s="88" t="n"/>
      <c r="O357" s="88" t="n"/>
      <c r="P357" s="94">
        <f>IF($G357="","",IF($G357&gt;=60,"Arrêt majeur — analyse 5 pourquoi",IF($G357&gt;=30,"À analyser en revue quotidienne",IF($K357="Planifié","Arrêt planifié","Aléa courant"))))</f>
        <v/>
      </c>
      <c r="Q357" s="95">
        <f>IF($A357="",0,IF(AND(OR(COCKPIT!$H$4="Toutes",$C357=COCKPIT!$H$4),OR(COCKPIT!$K$4="Toutes",$B357=COCKPIT!$K$4)),1,0))</f>
        <v/>
      </c>
    </row>
    <row r="358" ht="15" customHeight="1">
      <c r="A358" s="87" t="n"/>
      <c r="B358" s="88" t="n"/>
      <c r="C358" s="88" t="n"/>
      <c r="D358" s="88" t="n"/>
      <c r="E358" s="96" t="n"/>
      <c r="F358" s="96" t="n"/>
      <c r="G358" s="92">
        <f>IF(OR($E358="",$F358=""),"",ROUND(($F358-$E358+IF($F358&lt;$E358,1,0))*1440,0))</f>
        <v/>
      </c>
      <c r="H358" s="88" t="n"/>
      <c r="I358" s="94">
        <f>IF($H358="","",IFERROR(INDEX(PARAMETRES!$S$7:$S$46,MATCH($H358,PARAMETRES!$R$7:$R$46,0)),"Code inconnu"))</f>
        <v/>
      </c>
      <c r="J358" s="94">
        <f>IF($H358="","",IFERROR(INDEX(PARAMETRES!$T$7:$T$46,MATCH($H358,PARAMETRES!$R$7:$R$46,0)),""))</f>
        <v/>
      </c>
      <c r="K358" s="94">
        <f>IF($H358="","",IFERROR(INDEX(PARAMETRES!$U$7:$U$46,MATCH($H358,PARAMETRES!$R$7:$R$46,0)),""))</f>
        <v/>
      </c>
      <c r="L358" s="94">
        <f>IF($H358="","",IFERROR(INDEX(PARAMETRES!$V$7:$V$46,MATCH($H358,PARAMETRES!$R$7:$R$46,0)),""))</f>
        <v/>
      </c>
      <c r="M358" s="88" t="n"/>
      <c r="N358" s="88" t="n"/>
      <c r="O358" s="88" t="n"/>
      <c r="P358" s="94">
        <f>IF($G358="","",IF($G358&gt;=60,"Arrêt majeur — analyse 5 pourquoi",IF($G358&gt;=30,"À analyser en revue quotidienne",IF($K358="Planifié","Arrêt planifié","Aléa courant"))))</f>
        <v/>
      </c>
      <c r="Q358" s="95">
        <f>IF($A358="",0,IF(AND(OR(COCKPIT!$H$4="Toutes",$C358=COCKPIT!$H$4),OR(COCKPIT!$K$4="Toutes",$B358=COCKPIT!$K$4)),1,0))</f>
        <v/>
      </c>
    </row>
    <row r="359" ht="15" customHeight="1">
      <c r="A359" s="87" t="n"/>
      <c r="B359" s="88" t="n"/>
      <c r="C359" s="88" t="n"/>
      <c r="D359" s="88" t="n"/>
      <c r="E359" s="96" t="n"/>
      <c r="F359" s="96" t="n"/>
      <c r="G359" s="92">
        <f>IF(OR($E359="",$F359=""),"",ROUND(($F359-$E359+IF($F359&lt;$E359,1,0))*1440,0))</f>
        <v/>
      </c>
      <c r="H359" s="88" t="n"/>
      <c r="I359" s="94">
        <f>IF($H359="","",IFERROR(INDEX(PARAMETRES!$S$7:$S$46,MATCH($H359,PARAMETRES!$R$7:$R$46,0)),"Code inconnu"))</f>
        <v/>
      </c>
      <c r="J359" s="94">
        <f>IF($H359="","",IFERROR(INDEX(PARAMETRES!$T$7:$T$46,MATCH($H359,PARAMETRES!$R$7:$R$46,0)),""))</f>
        <v/>
      </c>
      <c r="K359" s="94">
        <f>IF($H359="","",IFERROR(INDEX(PARAMETRES!$U$7:$U$46,MATCH($H359,PARAMETRES!$R$7:$R$46,0)),""))</f>
        <v/>
      </c>
      <c r="L359" s="94">
        <f>IF($H359="","",IFERROR(INDEX(PARAMETRES!$V$7:$V$46,MATCH($H359,PARAMETRES!$R$7:$R$46,0)),""))</f>
        <v/>
      </c>
      <c r="M359" s="88" t="n"/>
      <c r="N359" s="88" t="n"/>
      <c r="O359" s="88" t="n"/>
      <c r="P359" s="94">
        <f>IF($G359="","",IF($G359&gt;=60,"Arrêt majeur — analyse 5 pourquoi",IF($G359&gt;=30,"À analyser en revue quotidienne",IF($K359="Planifié","Arrêt planifié","Aléa courant"))))</f>
        <v/>
      </c>
      <c r="Q359" s="95">
        <f>IF($A359="",0,IF(AND(OR(COCKPIT!$H$4="Toutes",$C359=COCKPIT!$H$4),OR(COCKPIT!$K$4="Toutes",$B359=COCKPIT!$K$4)),1,0))</f>
        <v/>
      </c>
    </row>
    <row r="360" ht="15" customHeight="1">
      <c r="A360" s="87" t="n"/>
      <c r="B360" s="88" t="n"/>
      <c r="C360" s="88" t="n"/>
      <c r="D360" s="88" t="n"/>
      <c r="E360" s="96" t="n"/>
      <c r="F360" s="96" t="n"/>
      <c r="G360" s="92">
        <f>IF(OR($E360="",$F360=""),"",ROUND(($F360-$E360+IF($F360&lt;$E360,1,0))*1440,0))</f>
        <v/>
      </c>
      <c r="H360" s="88" t="n"/>
      <c r="I360" s="94">
        <f>IF($H360="","",IFERROR(INDEX(PARAMETRES!$S$7:$S$46,MATCH($H360,PARAMETRES!$R$7:$R$46,0)),"Code inconnu"))</f>
        <v/>
      </c>
      <c r="J360" s="94">
        <f>IF($H360="","",IFERROR(INDEX(PARAMETRES!$T$7:$T$46,MATCH($H360,PARAMETRES!$R$7:$R$46,0)),""))</f>
        <v/>
      </c>
      <c r="K360" s="94">
        <f>IF($H360="","",IFERROR(INDEX(PARAMETRES!$U$7:$U$46,MATCH($H360,PARAMETRES!$R$7:$R$46,0)),""))</f>
        <v/>
      </c>
      <c r="L360" s="94">
        <f>IF($H360="","",IFERROR(INDEX(PARAMETRES!$V$7:$V$46,MATCH($H360,PARAMETRES!$R$7:$R$46,0)),""))</f>
        <v/>
      </c>
      <c r="M360" s="88" t="n"/>
      <c r="N360" s="88" t="n"/>
      <c r="O360" s="88" t="n"/>
      <c r="P360" s="94">
        <f>IF($G360="","",IF($G360&gt;=60,"Arrêt majeur — analyse 5 pourquoi",IF($G360&gt;=30,"À analyser en revue quotidienne",IF($K360="Planifié","Arrêt planifié","Aléa courant"))))</f>
        <v/>
      </c>
      <c r="Q360" s="95">
        <f>IF($A360="",0,IF(AND(OR(COCKPIT!$H$4="Toutes",$C360=COCKPIT!$H$4),OR(COCKPIT!$K$4="Toutes",$B360=COCKPIT!$K$4)),1,0))</f>
        <v/>
      </c>
    </row>
    <row r="361" ht="15" customHeight="1">
      <c r="A361" s="87" t="n"/>
      <c r="B361" s="88" t="n"/>
      <c r="C361" s="88" t="n"/>
      <c r="D361" s="88" t="n"/>
      <c r="E361" s="96" t="n"/>
      <c r="F361" s="96" t="n"/>
      <c r="G361" s="92">
        <f>IF(OR($E361="",$F361=""),"",ROUND(($F361-$E361+IF($F361&lt;$E361,1,0))*1440,0))</f>
        <v/>
      </c>
      <c r="H361" s="88" t="n"/>
      <c r="I361" s="94">
        <f>IF($H361="","",IFERROR(INDEX(PARAMETRES!$S$7:$S$46,MATCH($H361,PARAMETRES!$R$7:$R$46,0)),"Code inconnu"))</f>
        <v/>
      </c>
      <c r="J361" s="94">
        <f>IF($H361="","",IFERROR(INDEX(PARAMETRES!$T$7:$T$46,MATCH($H361,PARAMETRES!$R$7:$R$46,0)),""))</f>
        <v/>
      </c>
      <c r="K361" s="94">
        <f>IF($H361="","",IFERROR(INDEX(PARAMETRES!$U$7:$U$46,MATCH($H361,PARAMETRES!$R$7:$R$46,0)),""))</f>
        <v/>
      </c>
      <c r="L361" s="94">
        <f>IF($H361="","",IFERROR(INDEX(PARAMETRES!$V$7:$V$46,MATCH($H361,PARAMETRES!$R$7:$R$46,0)),""))</f>
        <v/>
      </c>
      <c r="M361" s="88" t="n"/>
      <c r="N361" s="88" t="n"/>
      <c r="O361" s="88" t="n"/>
      <c r="P361" s="94">
        <f>IF($G361="","",IF($G361&gt;=60,"Arrêt majeur — analyse 5 pourquoi",IF($G361&gt;=30,"À analyser en revue quotidienne",IF($K361="Planifié","Arrêt planifié","Aléa courant"))))</f>
        <v/>
      </c>
      <c r="Q361" s="95">
        <f>IF($A361="",0,IF(AND(OR(COCKPIT!$H$4="Toutes",$C361=COCKPIT!$H$4),OR(COCKPIT!$K$4="Toutes",$B361=COCKPIT!$K$4)),1,0))</f>
        <v/>
      </c>
    </row>
    <row r="362" ht="15" customHeight="1">
      <c r="A362" s="87" t="n"/>
      <c r="B362" s="88" t="n"/>
      <c r="C362" s="88" t="n"/>
      <c r="D362" s="88" t="n"/>
      <c r="E362" s="96" t="n"/>
      <c r="F362" s="96" t="n"/>
      <c r="G362" s="92">
        <f>IF(OR($E362="",$F362=""),"",ROUND(($F362-$E362+IF($F362&lt;$E362,1,0))*1440,0))</f>
        <v/>
      </c>
      <c r="H362" s="88" t="n"/>
      <c r="I362" s="94">
        <f>IF($H362="","",IFERROR(INDEX(PARAMETRES!$S$7:$S$46,MATCH($H362,PARAMETRES!$R$7:$R$46,0)),"Code inconnu"))</f>
        <v/>
      </c>
      <c r="J362" s="94">
        <f>IF($H362="","",IFERROR(INDEX(PARAMETRES!$T$7:$T$46,MATCH($H362,PARAMETRES!$R$7:$R$46,0)),""))</f>
        <v/>
      </c>
      <c r="K362" s="94">
        <f>IF($H362="","",IFERROR(INDEX(PARAMETRES!$U$7:$U$46,MATCH($H362,PARAMETRES!$R$7:$R$46,0)),""))</f>
        <v/>
      </c>
      <c r="L362" s="94">
        <f>IF($H362="","",IFERROR(INDEX(PARAMETRES!$V$7:$V$46,MATCH($H362,PARAMETRES!$R$7:$R$46,0)),""))</f>
        <v/>
      </c>
      <c r="M362" s="88" t="n"/>
      <c r="N362" s="88" t="n"/>
      <c r="O362" s="88" t="n"/>
      <c r="P362" s="94">
        <f>IF($G362="","",IF($G362&gt;=60,"Arrêt majeur — analyse 5 pourquoi",IF($G362&gt;=30,"À analyser en revue quotidienne",IF($K362="Planifié","Arrêt planifié","Aléa courant"))))</f>
        <v/>
      </c>
      <c r="Q362" s="95">
        <f>IF($A362="",0,IF(AND(OR(COCKPIT!$H$4="Toutes",$C362=COCKPIT!$H$4),OR(COCKPIT!$K$4="Toutes",$B362=COCKPIT!$K$4)),1,0))</f>
        <v/>
      </c>
    </row>
    <row r="363" ht="15" customHeight="1">
      <c r="A363" s="87" t="n"/>
      <c r="B363" s="88" t="n"/>
      <c r="C363" s="88" t="n"/>
      <c r="D363" s="88" t="n"/>
      <c r="E363" s="96" t="n"/>
      <c r="F363" s="96" t="n"/>
      <c r="G363" s="92">
        <f>IF(OR($E363="",$F363=""),"",ROUND(($F363-$E363+IF($F363&lt;$E363,1,0))*1440,0))</f>
        <v/>
      </c>
      <c r="H363" s="88" t="n"/>
      <c r="I363" s="94">
        <f>IF($H363="","",IFERROR(INDEX(PARAMETRES!$S$7:$S$46,MATCH($H363,PARAMETRES!$R$7:$R$46,0)),"Code inconnu"))</f>
        <v/>
      </c>
      <c r="J363" s="94">
        <f>IF($H363="","",IFERROR(INDEX(PARAMETRES!$T$7:$T$46,MATCH($H363,PARAMETRES!$R$7:$R$46,0)),""))</f>
        <v/>
      </c>
      <c r="K363" s="94">
        <f>IF($H363="","",IFERROR(INDEX(PARAMETRES!$U$7:$U$46,MATCH($H363,PARAMETRES!$R$7:$R$46,0)),""))</f>
        <v/>
      </c>
      <c r="L363" s="94">
        <f>IF($H363="","",IFERROR(INDEX(PARAMETRES!$V$7:$V$46,MATCH($H363,PARAMETRES!$R$7:$R$46,0)),""))</f>
        <v/>
      </c>
      <c r="M363" s="88" t="n"/>
      <c r="N363" s="88" t="n"/>
      <c r="O363" s="88" t="n"/>
      <c r="P363" s="94">
        <f>IF($G363="","",IF($G363&gt;=60,"Arrêt majeur — analyse 5 pourquoi",IF($G363&gt;=30,"À analyser en revue quotidienne",IF($K363="Planifié","Arrêt planifié","Aléa courant"))))</f>
        <v/>
      </c>
      <c r="Q363" s="95">
        <f>IF($A363="",0,IF(AND(OR(COCKPIT!$H$4="Toutes",$C363=COCKPIT!$H$4),OR(COCKPIT!$K$4="Toutes",$B363=COCKPIT!$K$4)),1,0))</f>
        <v/>
      </c>
    </row>
    <row r="364" ht="15" customHeight="1">
      <c r="A364" s="87" t="n"/>
      <c r="B364" s="88" t="n"/>
      <c r="C364" s="88" t="n"/>
      <c r="D364" s="88" t="n"/>
      <c r="E364" s="96" t="n"/>
      <c r="F364" s="96" t="n"/>
      <c r="G364" s="92">
        <f>IF(OR($E364="",$F364=""),"",ROUND(($F364-$E364+IF($F364&lt;$E364,1,0))*1440,0))</f>
        <v/>
      </c>
      <c r="H364" s="88" t="n"/>
      <c r="I364" s="94">
        <f>IF($H364="","",IFERROR(INDEX(PARAMETRES!$S$7:$S$46,MATCH($H364,PARAMETRES!$R$7:$R$46,0)),"Code inconnu"))</f>
        <v/>
      </c>
      <c r="J364" s="94">
        <f>IF($H364="","",IFERROR(INDEX(PARAMETRES!$T$7:$T$46,MATCH($H364,PARAMETRES!$R$7:$R$46,0)),""))</f>
        <v/>
      </c>
      <c r="K364" s="94">
        <f>IF($H364="","",IFERROR(INDEX(PARAMETRES!$U$7:$U$46,MATCH($H364,PARAMETRES!$R$7:$R$46,0)),""))</f>
        <v/>
      </c>
      <c r="L364" s="94">
        <f>IF($H364="","",IFERROR(INDEX(PARAMETRES!$V$7:$V$46,MATCH($H364,PARAMETRES!$R$7:$R$46,0)),""))</f>
        <v/>
      </c>
      <c r="M364" s="88" t="n"/>
      <c r="N364" s="88" t="n"/>
      <c r="O364" s="88" t="n"/>
      <c r="P364" s="94">
        <f>IF($G364="","",IF($G364&gt;=60,"Arrêt majeur — analyse 5 pourquoi",IF($G364&gt;=30,"À analyser en revue quotidienne",IF($K364="Planifié","Arrêt planifié","Aléa courant"))))</f>
        <v/>
      </c>
      <c r="Q364" s="95">
        <f>IF($A364="",0,IF(AND(OR(COCKPIT!$H$4="Toutes",$C364=COCKPIT!$H$4),OR(COCKPIT!$K$4="Toutes",$B364=COCKPIT!$K$4)),1,0))</f>
        <v/>
      </c>
    </row>
    <row r="365" ht="15" customHeight="1">
      <c r="A365" s="87" t="n"/>
      <c r="B365" s="88" t="n"/>
      <c r="C365" s="88" t="n"/>
      <c r="D365" s="88" t="n"/>
      <c r="E365" s="96" t="n"/>
      <c r="F365" s="96" t="n"/>
      <c r="G365" s="92">
        <f>IF(OR($E365="",$F365=""),"",ROUND(($F365-$E365+IF($F365&lt;$E365,1,0))*1440,0))</f>
        <v/>
      </c>
      <c r="H365" s="88" t="n"/>
      <c r="I365" s="94">
        <f>IF($H365="","",IFERROR(INDEX(PARAMETRES!$S$7:$S$46,MATCH($H365,PARAMETRES!$R$7:$R$46,0)),"Code inconnu"))</f>
        <v/>
      </c>
      <c r="J365" s="94">
        <f>IF($H365="","",IFERROR(INDEX(PARAMETRES!$T$7:$T$46,MATCH($H365,PARAMETRES!$R$7:$R$46,0)),""))</f>
        <v/>
      </c>
      <c r="K365" s="94">
        <f>IF($H365="","",IFERROR(INDEX(PARAMETRES!$U$7:$U$46,MATCH($H365,PARAMETRES!$R$7:$R$46,0)),""))</f>
        <v/>
      </c>
      <c r="L365" s="94">
        <f>IF($H365="","",IFERROR(INDEX(PARAMETRES!$V$7:$V$46,MATCH($H365,PARAMETRES!$R$7:$R$46,0)),""))</f>
        <v/>
      </c>
      <c r="M365" s="88" t="n"/>
      <c r="N365" s="88" t="n"/>
      <c r="O365" s="88" t="n"/>
      <c r="P365" s="94">
        <f>IF($G365="","",IF($G365&gt;=60,"Arrêt majeur — analyse 5 pourquoi",IF($G365&gt;=30,"À analyser en revue quotidienne",IF($K365="Planifié","Arrêt planifié","Aléa courant"))))</f>
        <v/>
      </c>
      <c r="Q365" s="95">
        <f>IF($A365="",0,IF(AND(OR(COCKPIT!$H$4="Toutes",$C365=COCKPIT!$H$4),OR(COCKPIT!$K$4="Toutes",$B365=COCKPIT!$K$4)),1,0))</f>
        <v/>
      </c>
    </row>
    <row r="366" ht="15" customHeight="1">
      <c r="A366" s="87" t="n"/>
      <c r="B366" s="88" t="n"/>
      <c r="C366" s="88" t="n"/>
      <c r="D366" s="88" t="n"/>
      <c r="E366" s="96" t="n"/>
      <c r="F366" s="96" t="n"/>
      <c r="G366" s="92">
        <f>IF(OR($E366="",$F366=""),"",ROUND(($F366-$E366+IF($F366&lt;$E366,1,0))*1440,0))</f>
        <v/>
      </c>
      <c r="H366" s="88" t="n"/>
      <c r="I366" s="94">
        <f>IF($H366="","",IFERROR(INDEX(PARAMETRES!$S$7:$S$46,MATCH($H366,PARAMETRES!$R$7:$R$46,0)),"Code inconnu"))</f>
        <v/>
      </c>
      <c r="J366" s="94">
        <f>IF($H366="","",IFERROR(INDEX(PARAMETRES!$T$7:$T$46,MATCH($H366,PARAMETRES!$R$7:$R$46,0)),""))</f>
        <v/>
      </c>
      <c r="K366" s="94">
        <f>IF($H366="","",IFERROR(INDEX(PARAMETRES!$U$7:$U$46,MATCH($H366,PARAMETRES!$R$7:$R$46,0)),""))</f>
        <v/>
      </c>
      <c r="L366" s="94">
        <f>IF($H366="","",IFERROR(INDEX(PARAMETRES!$V$7:$V$46,MATCH($H366,PARAMETRES!$R$7:$R$46,0)),""))</f>
        <v/>
      </c>
      <c r="M366" s="88" t="n"/>
      <c r="N366" s="88" t="n"/>
      <c r="O366" s="88" t="n"/>
      <c r="P366" s="94">
        <f>IF($G366="","",IF($G366&gt;=60,"Arrêt majeur — analyse 5 pourquoi",IF($G366&gt;=30,"À analyser en revue quotidienne",IF($K366="Planifié","Arrêt planifié","Aléa courant"))))</f>
        <v/>
      </c>
      <c r="Q366" s="95">
        <f>IF($A366="",0,IF(AND(OR(COCKPIT!$H$4="Toutes",$C366=COCKPIT!$H$4),OR(COCKPIT!$K$4="Toutes",$B366=COCKPIT!$K$4)),1,0))</f>
        <v/>
      </c>
    </row>
    <row r="367" ht="15" customHeight="1">
      <c r="A367" s="87" t="n"/>
      <c r="B367" s="88" t="n"/>
      <c r="C367" s="88" t="n"/>
      <c r="D367" s="88" t="n"/>
      <c r="E367" s="96" t="n"/>
      <c r="F367" s="96" t="n"/>
      <c r="G367" s="92">
        <f>IF(OR($E367="",$F367=""),"",ROUND(($F367-$E367+IF($F367&lt;$E367,1,0))*1440,0))</f>
        <v/>
      </c>
      <c r="H367" s="88" t="n"/>
      <c r="I367" s="94">
        <f>IF($H367="","",IFERROR(INDEX(PARAMETRES!$S$7:$S$46,MATCH($H367,PARAMETRES!$R$7:$R$46,0)),"Code inconnu"))</f>
        <v/>
      </c>
      <c r="J367" s="94">
        <f>IF($H367="","",IFERROR(INDEX(PARAMETRES!$T$7:$T$46,MATCH($H367,PARAMETRES!$R$7:$R$46,0)),""))</f>
        <v/>
      </c>
      <c r="K367" s="94">
        <f>IF($H367="","",IFERROR(INDEX(PARAMETRES!$U$7:$U$46,MATCH($H367,PARAMETRES!$R$7:$R$46,0)),""))</f>
        <v/>
      </c>
      <c r="L367" s="94">
        <f>IF($H367="","",IFERROR(INDEX(PARAMETRES!$V$7:$V$46,MATCH($H367,PARAMETRES!$R$7:$R$46,0)),""))</f>
        <v/>
      </c>
      <c r="M367" s="88" t="n"/>
      <c r="N367" s="88" t="n"/>
      <c r="O367" s="88" t="n"/>
      <c r="P367" s="94">
        <f>IF($G367="","",IF($G367&gt;=60,"Arrêt majeur — analyse 5 pourquoi",IF($G367&gt;=30,"À analyser en revue quotidienne",IF($K367="Planifié","Arrêt planifié","Aléa courant"))))</f>
        <v/>
      </c>
      <c r="Q367" s="95">
        <f>IF($A367="",0,IF(AND(OR(COCKPIT!$H$4="Toutes",$C367=COCKPIT!$H$4),OR(COCKPIT!$K$4="Toutes",$B367=COCKPIT!$K$4)),1,0))</f>
        <v/>
      </c>
    </row>
    <row r="368" ht="15" customHeight="1">
      <c r="A368" s="87" t="n"/>
      <c r="B368" s="88" t="n"/>
      <c r="C368" s="88" t="n"/>
      <c r="D368" s="88" t="n"/>
      <c r="E368" s="96" t="n"/>
      <c r="F368" s="96" t="n"/>
      <c r="G368" s="92">
        <f>IF(OR($E368="",$F368=""),"",ROUND(($F368-$E368+IF($F368&lt;$E368,1,0))*1440,0))</f>
        <v/>
      </c>
      <c r="H368" s="88" t="n"/>
      <c r="I368" s="94">
        <f>IF($H368="","",IFERROR(INDEX(PARAMETRES!$S$7:$S$46,MATCH($H368,PARAMETRES!$R$7:$R$46,0)),"Code inconnu"))</f>
        <v/>
      </c>
      <c r="J368" s="94">
        <f>IF($H368="","",IFERROR(INDEX(PARAMETRES!$T$7:$T$46,MATCH($H368,PARAMETRES!$R$7:$R$46,0)),""))</f>
        <v/>
      </c>
      <c r="K368" s="94">
        <f>IF($H368="","",IFERROR(INDEX(PARAMETRES!$U$7:$U$46,MATCH($H368,PARAMETRES!$R$7:$R$46,0)),""))</f>
        <v/>
      </c>
      <c r="L368" s="94">
        <f>IF($H368="","",IFERROR(INDEX(PARAMETRES!$V$7:$V$46,MATCH($H368,PARAMETRES!$R$7:$R$46,0)),""))</f>
        <v/>
      </c>
      <c r="M368" s="88" t="n"/>
      <c r="N368" s="88" t="n"/>
      <c r="O368" s="88" t="n"/>
      <c r="P368" s="94">
        <f>IF($G368="","",IF($G368&gt;=60,"Arrêt majeur — analyse 5 pourquoi",IF($G368&gt;=30,"À analyser en revue quotidienne",IF($K368="Planifié","Arrêt planifié","Aléa courant"))))</f>
        <v/>
      </c>
      <c r="Q368" s="95">
        <f>IF($A368="",0,IF(AND(OR(COCKPIT!$H$4="Toutes",$C368=COCKPIT!$H$4),OR(COCKPIT!$K$4="Toutes",$B368=COCKPIT!$K$4)),1,0))</f>
        <v/>
      </c>
    </row>
    <row r="369" ht="15" customHeight="1">
      <c r="A369" s="87" t="n"/>
      <c r="B369" s="88" t="n"/>
      <c r="C369" s="88" t="n"/>
      <c r="D369" s="88" t="n"/>
      <c r="E369" s="96" t="n"/>
      <c r="F369" s="96" t="n"/>
      <c r="G369" s="92">
        <f>IF(OR($E369="",$F369=""),"",ROUND(($F369-$E369+IF($F369&lt;$E369,1,0))*1440,0))</f>
        <v/>
      </c>
      <c r="H369" s="88" t="n"/>
      <c r="I369" s="94">
        <f>IF($H369="","",IFERROR(INDEX(PARAMETRES!$S$7:$S$46,MATCH($H369,PARAMETRES!$R$7:$R$46,0)),"Code inconnu"))</f>
        <v/>
      </c>
      <c r="J369" s="94">
        <f>IF($H369="","",IFERROR(INDEX(PARAMETRES!$T$7:$T$46,MATCH($H369,PARAMETRES!$R$7:$R$46,0)),""))</f>
        <v/>
      </c>
      <c r="K369" s="94">
        <f>IF($H369="","",IFERROR(INDEX(PARAMETRES!$U$7:$U$46,MATCH($H369,PARAMETRES!$R$7:$R$46,0)),""))</f>
        <v/>
      </c>
      <c r="L369" s="94">
        <f>IF($H369="","",IFERROR(INDEX(PARAMETRES!$V$7:$V$46,MATCH($H369,PARAMETRES!$R$7:$R$46,0)),""))</f>
        <v/>
      </c>
      <c r="M369" s="88" t="n"/>
      <c r="N369" s="88" t="n"/>
      <c r="O369" s="88" t="n"/>
      <c r="P369" s="94">
        <f>IF($G369="","",IF($G369&gt;=60,"Arrêt majeur — analyse 5 pourquoi",IF($G369&gt;=30,"À analyser en revue quotidienne",IF($K369="Planifié","Arrêt planifié","Aléa courant"))))</f>
        <v/>
      </c>
      <c r="Q369" s="95">
        <f>IF($A369="",0,IF(AND(OR(COCKPIT!$H$4="Toutes",$C369=COCKPIT!$H$4),OR(COCKPIT!$K$4="Toutes",$B369=COCKPIT!$K$4)),1,0))</f>
        <v/>
      </c>
    </row>
    <row r="370" ht="15" customHeight="1">
      <c r="A370" s="87" t="n"/>
      <c r="B370" s="88" t="n"/>
      <c r="C370" s="88" t="n"/>
      <c r="D370" s="88" t="n"/>
      <c r="E370" s="96" t="n"/>
      <c r="F370" s="96" t="n"/>
      <c r="G370" s="92">
        <f>IF(OR($E370="",$F370=""),"",ROUND(($F370-$E370+IF($F370&lt;$E370,1,0))*1440,0))</f>
        <v/>
      </c>
      <c r="H370" s="88" t="n"/>
      <c r="I370" s="94">
        <f>IF($H370="","",IFERROR(INDEX(PARAMETRES!$S$7:$S$46,MATCH($H370,PARAMETRES!$R$7:$R$46,0)),"Code inconnu"))</f>
        <v/>
      </c>
      <c r="J370" s="94">
        <f>IF($H370="","",IFERROR(INDEX(PARAMETRES!$T$7:$T$46,MATCH($H370,PARAMETRES!$R$7:$R$46,0)),""))</f>
        <v/>
      </c>
      <c r="K370" s="94">
        <f>IF($H370="","",IFERROR(INDEX(PARAMETRES!$U$7:$U$46,MATCH($H370,PARAMETRES!$R$7:$R$46,0)),""))</f>
        <v/>
      </c>
      <c r="L370" s="94">
        <f>IF($H370="","",IFERROR(INDEX(PARAMETRES!$V$7:$V$46,MATCH($H370,PARAMETRES!$R$7:$R$46,0)),""))</f>
        <v/>
      </c>
      <c r="M370" s="88" t="n"/>
      <c r="N370" s="88" t="n"/>
      <c r="O370" s="88" t="n"/>
      <c r="P370" s="94">
        <f>IF($G370="","",IF($G370&gt;=60,"Arrêt majeur — analyse 5 pourquoi",IF($G370&gt;=30,"À analyser en revue quotidienne",IF($K370="Planifié","Arrêt planifié","Aléa courant"))))</f>
        <v/>
      </c>
      <c r="Q370" s="95">
        <f>IF($A370="",0,IF(AND(OR(COCKPIT!$H$4="Toutes",$C370=COCKPIT!$H$4),OR(COCKPIT!$K$4="Toutes",$B370=COCKPIT!$K$4)),1,0))</f>
        <v/>
      </c>
    </row>
    <row r="371" ht="15" customHeight="1">
      <c r="A371" s="87" t="n"/>
      <c r="B371" s="88" t="n"/>
      <c r="C371" s="88" t="n"/>
      <c r="D371" s="88" t="n"/>
      <c r="E371" s="96" t="n"/>
      <c r="F371" s="96" t="n"/>
      <c r="G371" s="92">
        <f>IF(OR($E371="",$F371=""),"",ROUND(($F371-$E371+IF($F371&lt;$E371,1,0))*1440,0))</f>
        <v/>
      </c>
      <c r="H371" s="88" t="n"/>
      <c r="I371" s="94">
        <f>IF($H371="","",IFERROR(INDEX(PARAMETRES!$S$7:$S$46,MATCH($H371,PARAMETRES!$R$7:$R$46,0)),"Code inconnu"))</f>
        <v/>
      </c>
      <c r="J371" s="94">
        <f>IF($H371="","",IFERROR(INDEX(PARAMETRES!$T$7:$T$46,MATCH($H371,PARAMETRES!$R$7:$R$46,0)),""))</f>
        <v/>
      </c>
      <c r="K371" s="94">
        <f>IF($H371="","",IFERROR(INDEX(PARAMETRES!$U$7:$U$46,MATCH($H371,PARAMETRES!$R$7:$R$46,0)),""))</f>
        <v/>
      </c>
      <c r="L371" s="94">
        <f>IF($H371="","",IFERROR(INDEX(PARAMETRES!$V$7:$V$46,MATCH($H371,PARAMETRES!$R$7:$R$46,0)),""))</f>
        <v/>
      </c>
      <c r="M371" s="88" t="n"/>
      <c r="N371" s="88" t="n"/>
      <c r="O371" s="88" t="n"/>
      <c r="P371" s="94">
        <f>IF($G371="","",IF($G371&gt;=60,"Arrêt majeur — analyse 5 pourquoi",IF($G371&gt;=30,"À analyser en revue quotidienne",IF($K371="Planifié","Arrêt planifié","Aléa courant"))))</f>
        <v/>
      </c>
      <c r="Q371" s="95">
        <f>IF($A371="",0,IF(AND(OR(COCKPIT!$H$4="Toutes",$C371=COCKPIT!$H$4),OR(COCKPIT!$K$4="Toutes",$B371=COCKPIT!$K$4)),1,0))</f>
        <v/>
      </c>
    </row>
    <row r="372" ht="15" customHeight="1">
      <c r="A372" s="87" t="n"/>
      <c r="B372" s="88" t="n"/>
      <c r="C372" s="88" t="n"/>
      <c r="D372" s="88" t="n"/>
      <c r="E372" s="96" t="n"/>
      <c r="F372" s="96" t="n"/>
      <c r="G372" s="92">
        <f>IF(OR($E372="",$F372=""),"",ROUND(($F372-$E372+IF($F372&lt;$E372,1,0))*1440,0))</f>
        <v/>
      </c>
      <c r="H372" s="88" t="n"/>
      <c r="I372" s="94">
        <f>IF($H372="","",IFERROR(INDEX(PARAMETRES!$S$7:$S$46,MATCH($H372,PARAMETRES!$R$7:$R$46,0)),"Code inconnu"))</f>
        <v/>
      </c>
      <c r="J372" s="94">
        <f>IF($H372="","",IFERROR(INDEX(PARAMETRES!$T$7:$T$46,MATCH($H372,PARAMETRES!$R$7:$R$46,0)),""))</f>
        <v/>
      </c>
      <c r="K372" s="94">
        <f>IF($H372="","",IFERROR(INDEX(PARAMETRES!$U$7:$U$46,MATCH($H372,PARAMETRES!$R$7:$R$46,0)),""))</f>
        <v/>
      </c>
      <c r="L372" s="94">
        <f>IF($H372="","",IFERROR(INDEX(PARAMETRES!$V$7:$V$46,MATCH($H372,PARAMETRES!$R$7:$R$46,0)),""))</f>
        <v/>
      </c>
      <c r="M372" s="88" t="n"/>
      <c r="N372" s="88" t="n"/>
      <c r="O372" s="88" t="n"/>
      <c r="P372" s="94">
        <f>IF($G372="","",IF($G372&gt;=60,"Arrêt majeur — analyse 5 pourquoi",IF($G372&gt;=30,"À analyser en revue quotidienne",IF($K372="Planifié","Arrêt planifié","Aléa courant"))))</f>
        <v/>
      </c>
      <c r="Q372" s="95">
        <f>IF($A372="",0,IF(AND(OR(COCKPIT!$H$4="Toutes",$C372=COCKPIT!$H$4),OR(COCKPIT!$K$4="Toutes",$B372=COCKPIT!$K$4)),1,0))</f>
        <v/>
      </c>
    </row>
    <row r="373" ht="15" customHeight="1">
      <c r="A373" s="87" t="n"/>
      <c r="B373" s="88" t="n"/>
      <c r="C373" s="88" t="n"/>
      <c r="D373" s="88" t="n"/>
      <c r="E373" s="96" t="n"/>
      <c r="F373" s="96" t="n"/>
      <c r="G373" s="92">
        <f>IF(OR($E373="",$F373=""),"",ROUND(($F373-$E373+IF($F373&lt;$E373,1,0))*1440,0))</f>
        <v/>
      </c>
      <c r="H373" s="88" t="n"/>
      <c r="I373" s="94">
        <f>IF($H373="","",IFERROR(INDEX(PARAMETRES!$S$7:$S$46,MATCH($H373,PARAMETRES!$R$7:$R$46,0)),"Code inconnu"))</f>
        <v/>
      </c>
      <c r="J373" s="94">
        <f>IF($H373="","",IFERROR(INDEX(PARAMETRES!$T$7:$T$46,MATCH($H373,PARAMETRES!$R$7:$R$46,0)),""))</f>
        <v/>
      </c>
      <c r="K373" s="94">
        <f>IF($H373="","",IFERROR(INDEX(PARAMETRES!$U$7:$U$46,MATCH($H373,PARAMETRES!$R$7:$R$46,0)),""))</f>
        <v/>
      </c>
      <c r="L373" s="94">
        <f>IF($H373="","",IFERROR(INDEX(PARAMETRES!$V$7:$V$46,MATCH($H373,PARAMETRES!$R$7:$R$46,0)),""))</f>
        <v/>
      </c>
      <c r="M373" s="88" t="n"/>
      <c r="N373" s="88" t="n"/>
      <c r="O373" s="88" t="n"/>
      <c r="P373" s="94">
        <f>IF($G373="","",IF($G373&gt;=60,"Arrêt majeur — analyse 5 pourquoi",IF($G373&gt;=30,"À analyser en revue quotidienne",IF($K373="Planifié","Arrêt planifié","Aléa courant"))))</f>
        <v/>
      </c>
      <c r="Q373" s="95">
        <f>IF($A373="",0,IF(AND(OR(COCKPIT!$H$4="Toutes",$C373=COCKPIT!$H$4),OR(COCKPIT!$K$4="Toutes",$B373=COCKPIT!$K$4)),1,0))</f>
        <v/>
      </c>
    </row>
    <row r="374" ht="15" customHeight="1">
      <c r="A374" s="87" t="n"/>
      <c r="B374" s="88" t="n"/>
      <c r="C374" s="88" t="n"/>
      <c r="D374" s="88" t="n"/>
      <c r="E374" s="96" t="n"/>
      <c r="F374" s="96" t="n"/>
      <c r="G374" s="92">
        <f>IF(OR($E374="",$F374=""),"",ROUND(($F374-$E374+IF($F374&lt;$E374,1,0))*1440,0))</f>
        <v/>
      </c>
      <c r="H374" s="88" t="n"/>
      <c r="I374" s="94">
        <f>IF($H374="","",IFERROR(INDEX(PARAMETRES!$S$7:$S$46,MATCH($H374,PARAMETRES!$R$7:$R$46,0)),"Code inconnu"))</f>
        <v/>
      </c>
      <c r="J374" s="94">
        <f>IF($H374="","",IFERROR(INDEX(PARAMETRES!$T$7:$T$46,MATCH($H374,PARAMETRES!$R$7:$R$46,0)),""))</f>
        <v/>
      </c>
      <c r="K374" s="94">
        <f>IF($H374="","",IFERROR(INDEX(PARAMETRES!$U$7:$U$46,MATCH($H374,PARAMETRES!$R$7:$R$46,0)),""))</f>
        <v/>
      </c>
      <c r="L374" s="94">
        <f>IF($H374="","",IFERROR(INDEX(PARAMETRES!$V$7:$V$46,MATCH($H374,PARAMETRES!$R$7:$R$46,0)),""))</f>
        <v/>
      </c>
      <c r="M374" s="88" t="n"/>
      <c r="N374" s="88" t="n"/>
      <c r="O374" s="88" t="n"/>
      <c r="P374" s="94">
        <f>IF($G374="","",IF($G374&gt;=60,"Arrêt majeur — analyse 5 pourquoi",IF($G374&gt;=30,"À analyser en revue quotidienne",IF($K374="Planifié","Arrêt planifié","Aléa courant"))))</f>
        <v/>
      </c>
      <c r="Q374" s="95">
        <f>IF($A374="",0,IF(AND(OR(COCKPIT!$H$4="Toutes",$C374=COCKPIT!$H$4),OR(COCKPIT!$K$4="Toutes",$B374=COCKPIT!$K$4)),1,0))</f>
        <v/>
      </c>
    </row>
    <row r="375" ht="15" customHeight="1">
      <c r="A375" s="87" t="n"/>
      <c r="B375" s="88" t="n"/>
      <c r="C375" s="88" t="n"/>
      <c r="D375" s="88" t="n"/>
      <c r="E375" s="96" t="n"/>
      <c r="F375" s="96" t="n"/>
      <c r="G375" s="92">
        <f>IF(OR($E375="",$F375=""),"",ROUND(($F375-$E375+IF($F375&lt;$E375,1,0))*1440,0))</f>
        <v/>
      </c>
      <c r="H375" s="88" t="n"/>
      <c r="I375" s="94">
        <f>IF($H375="","",IFERROR(INDEX(PARAMETRES!$S$7:$S$46,MATCH($H375,PARAMETRES!$R$7:$R$46,0)),"Code inconnu"))</f>
        <v/>
      </c>
      <c r="J375" s="94">
        <f>IF($H375="","",IFERROR(INDEX(PARAMETRES!$T$7:$T$46,MATCH($H375,PARAMETRES!$R$7:$R$46,0)),""))</f>
        <v/>
      </c>
      <c r="K375" s="94">
        <f>IF($H375="","",IFERROR(INDEX(PARAMETRES!$U$7:$U$46,MATCH($H375,PARAMETRES!$R$7:$R$46,0)),""))</f>
        <v/>
      </c>
      <c r="L375" s="94">
        <f>IF($H375="","",IFERROR(INDEX(PARAMETRES!$V$7:$V$46,MATCH($H375,PARAMETRES!$R$7:$R$46,0)),""))</f>
        <v/>
      </c>
      <c r="M375" s="88" t="n"/>
      <c r="N375" s="88" t="n"/>
      <c r="O375" s="88" t="n"/>
      <c r="P375" s="94">
        <f>IF($G375="","",IF($G375&gt;=60,"Arrêt majeur — analyse 5 pourquoi",IF($G375&gt;=30,"À analyser en revue quotidienne",IF($K375="Planifié","Arrêt planifié","Aléa courant"))))</f>
        <v/>
      </c>
      <c r="Q375" s="95">
        <f>IF($A375="",0,IF(AND(OR(COCKPIT!$H$4="Toutes",$C375=COCKPIT!$H$4),OR(COCKPIT!$K$4="Toutes",$B375=COCKPIT!$K$4)),1,0))</f>
        <v/>
      </c>
    </row>
    <row r="376" ht="15" customHeight="1">
      <c r="A376" s="87" t="n"/>
      <c r="B376" s="88" t="n"/>
      <c r="C376" s="88" t="n"/>
      <c r="D376" s="88" t="n"/>
      <c r="E376" s="96" t="n"/>
      <c r="F376" s="96" t="n"/>
      <c r="G376" s="92">
        <f>IF(OR($E376="",$F376=""),"",ROUND(($F376-$E376+IF($F376&lt;$E376,1,0))*1440,0))</f>
        <v/>
      </c>
      <c r="H376" s="88" t="n"/>
      <c r="I376" s="94">
        <f>IF($H376="","",IFERROR(INDEX(PARAMETRES!$S$7:$S$46,MATCH($H376,PARAMETRES!$R$7:$R$46,0)),"Code inconnu"))</f>
        <v/>
      </c>
      <c r="J376" s="94">
        <f>IF($H376="","",IFERROR(INDEX(PARAMETRES!$T$7:$T$46,MATCH($H376,PARAMETRES!$R$7:$R$46,0)),""))</f>
        <v/>
      </c>
      <c r="K376" s="94">
        <f>IF($H376="","",IFERROR(INDEX(PARAMETRES!$U$7:$U$46,MATCH($H376,PARAMETRES!$R$7:$R$46,0)),""))</f>
        <v/>
      </c>
      <c r="L376" s="94">
        <f>IF($H376="","",IFERROR(INDEX(PARAMETRES!$V$7:$V$46,MATCH($H376,PARAMETRES!$R$7:$R$46,0)),""))</f>
        <v/>
      </c>
      <c r="M376" s="88" t="n"/>
      <c r="N376" s="88" t="n"/>
      <c r="O376" s="88" t="n"/>
      <c r="P376" s="94">
        <f>IF($G376="","",IF($G376&gt;=60,"Arrêt majeur — analyse 5 pourquoi",IF($G376&gt;=30,"À analyser en revue quotidienne",IF($K376="Planifié","Arrêt planifié","Aléa courant"))))</f>
        <v/>
      </c>
      <c r="Q376" s="95">
        <f>IF($A376="",0,IF(AND(OR(COCKPIT!$H$4="Toutes",$C376=COCKPIT!$H$4),OR(COCKPIT!$K$4="Toutes",$B376=COCKPIT!$K$4)),1,0))</f>
        <v/>
      </c>
    </row>
    <row r="377" ht="15" customHeight="1">
      <c r="A377" s="87" t="n"/>
      <c r="B377" s="88" t="n"/>
      <c r="C377" s="88" t="n"/>
      <c r="D377" s="88" t="n"/>
      <c r="E377" s="96" t="n"/>
      <c r="F377" s="96" t="n"/>
      <c r="G377" s="92">
        <f>IF(OR($E377="",$F377=""),"",ROUND(($F377-$E377+IF($F377&lt;$E377,1,0))*1440,0))</f>
        <v/>
      </c>
      <c r="H377" s="88" t="n"/>
      <c r="I377" s="94">
        <f>IF($H377="","",IFERROR(INDEX(PARAMETRES!$S$7:$S$46,MATCH($H377,PARAMETRES!$R$7:$R$46,0)),"Code inconnu"))</f>
        <v/>
      </c>
      <c r="J377" s="94">
        <f>IF($H377="","",IFERROR(INDEX(PARAMETRES!$T$7:$T$46,MATCH($H377,PARAMETRES!$R$7:$R$46,0)),""))</f>
        <v/>
      </c>
      <c r="K377" s="94">
        <f>IF($H377="","",IFERROR(INDEX(PARAMETRES!$U$7:$U$46,MATCH($H377,PARAMETRES!$R$7:$R$46,0)),""))</f>
        <v/>
      </c>
      <c r="L377" s="94">
        <f>IF($H377="","",IFERROR(INDEX(PARAMETRES!$V$7:$V$46,MATCH($H377,PARAMETRES!$R$7:$R$46,0)),""))</f>
        <v/>
      </c>
      <c r="M377" s="88" t="n"/>
      <c r="N377" s="88" t="n"/>
      <c r="O377" s="88" t="n"/>
      <c r="P377" s="94">
        <f>IF($G377="","",IF($G377&gt;=60,"Arrêt majeur — analyse 5 pourquoi",IF($G377&gt;=30,"À analyser en revue quotidienne",IF($K377="Planifié","Arrêt planifié","Aléa courant"))))</f>
        <v/>
      </c>
      <c r="Q377" s="95">
        <f>IF($A377="",0,IF(AND(OR(COCKPIT!$H$4="Toutes",$C377=COCKPIT!$H$4),OR(COCKPIT!$K$4="Toutes",$B377=COCKPIT!$K$4)),1,0))</f>
        <v/>
      </c>
    </row>
    <row r="378" ht="15" customHeight="1">
      <c r="A378" s="87" t="n"/>
      <c r="B378" s="88" t="n"/>
      <c r="C378" s="88" t="n"/>
      <c r="D378" s="88" t="n"/>
      <c r="E378" s="96" t="n"/>
      <c r="F378" s="96" t="n"/>
      <c r="G378" s="92">
        <f>IF(OR($E378="",$F378=""),"",ROUND(($F378-$E378+IF($F378&lt;$E378,1,0))*1440,0))</f>
        <v/>
      </c>
      <c r="H378" s="88" t="n"/>
      <c r="I378" s="94">
        <f>IF($H378="","",IFERROR(INDEX(PARAMETRES!$S$7:$S$46,MATCH($H378,PARAMETRES!$R$7:$R$46,0)),"Code inconnu"))</f>
        <v/>
      </c>
      <c r="J378" s="94">
        <f>IF($H378="","",IFERROR(INDEX(PARAMETRES!$T$7:$T$46,MATCH($H378,PARAMETRES!$R$7:$R$46,0)),""))</f>
        <v/>
      </c>
      <c r="K378" s="94">
        <f>IF($H378="","",IFERROR(INDEX(PARAMETRES!$U$7:$U$46,MATCH($H378,PARAMETRES!$R$7:$R$46,0)),""))</f>
        <v/>
      </c>
      <c r="L378" s="94">
        <f>IF($H378="","",IFERROR(INDEX(PARAMETRES!$V$7:$V$46,MATCH($H378,PARAMETRES!$R$7:$R$46,0)),""))</f>
        <v/>
      </c>
      <c r="M378" s="88" t="n"/>
      <c r="N378" s="88" t="n"/>
      <c r="O378" s="88" t="n"/>
      <c r="P378" s="94">
        <f>IF($G378="","",IF($G378&gt;=60,"Arrêt majeur — analyse 5 pourquoi",IF($G378&gt;=30,"À analyser en revue quotidienne",IF($K378="Planifié","Arrêt planifié","Aléa courant"))))</f>
        <v/>
      </c>
      <c r="Q378" s="95">
        <f>IF($A378="",0,IF(AND(OR(COCKPIT!$H$4="Toutes",$C378=COCKPIT!$H$4),OR(COCKPIT!$K$4="Toutes",$B378=COCKPIT!$K$4)),1,0))</f>
        <v/>
      </c>
    </row>
    <row r="379" ht="15" customHeight="1">
      <c r="A379" s="87" t="n"/>
      <c r="B379" s="88" t="n"/>
      <c r="C379" s="88" t="n"/>
      <c r="D379" s="88" t="n"/>
      <c r="E379" s="96" t="n"/>
      <c r="F379" s="96" t="n"/>
      <c r="G379" s="92">
        <f>IF(OR($E379="",$F379=""),"",ROUND(($F379-$E379+IF($F379&lt;$E379,1,0))*1440,0))</f>
        <v/>
      </c>
      <c r="H379" s="88" t="n"/>
      <c r="I379" s="94">
        <f>IF($H379="","",IFERROR(INDEX(PARAMETRES!$S$7:$S$46,MATCH($H379,PARAMETRES!$R$7:$R$46,0)),"Code inconnu"))</f>
        <v/>
      </c>
      <c r="J379" s="94">
        <f>IF($H379="","",IFERROR(INDEX(PARAMETRES!$T$7:$T$46,MATCH($H379,PARAMETRES!$R$7:$R$46,0)),""))</f>
        <v/>
      </c>
      <c r="K379" s="94">
        <f>IF($H379="","",IFERROR(INDEX(PARAMETRES!$U$7:$U$46,MATCH($H379,PARAMETRES!$R$7:$R$46,0)),""))</f>
        <v/>
      </c>
      <c r="L379" s="94">
        <f>IF($H379="","",IFERROR(INDEX(PARAMETRES!$V$7:$V$46,MATCH($H379,PARAMETRES!$R$7:$R$46,0)),""))</f>
        <v/>
      </c>
      <c r="M379" s="88" t="n"/>
      <c r="N379" s="88" t="n"/>
      <c r="O379" s="88" t="n"/>
      <c r="P379" s="94">
        <f>IF($G379="","",IF($G379&gt;=60,"Arrêt majeur — analyse 5 pourquoi",IF($G379&gt;=30,"À analyser en revue quotidienne",IF($K379="Planifié","Arrêt planifié","Aléa courant"))))</f>
        <v/>
      </c>
      <c r="Q379" s="95">
        <f>IF($A379="",0,IF(AND(OR(COCKPIT!$H$4="Toutes",$C379=COCKPIT!$H$4),OR(COCKPIT!$K$4="Toutes",$B379=COCKPIT!$K$4)),1,0))</f>
        <v/>
      </c>
    </row>
    <row r="380" ht="15" customHeight="1">
      <c r="A380" s="87" t="n"/>
      <c r="B380" s="88" t="n"/>
      <c r="C380" s="88" t="n"/>
      <c r="D380" s="88" t="n"/>
      <c r="E380" s="96" t="n"/>
      <c r="F380" s="96" t="n"/>
      <c r="G380" s="92">
        <f>IF(OR($E380="",$F380=""),"",ROUND(($F380-$E380+IF($F380&lt;$E380,1,0))*1440,0))</f>
        <v/>
      </c>
      <c r="H380" s="88" t="n"/>
      <c r="I380" s="94">
        <f>IF($H380="","",IFERROR(INDEX(PARAMETRES!$S$7:$S$46,MATCH($H380,PARAMETRES!$R$7:$R$46,0)),"Code inconnu"))</f>
        <v/>
      </c>
      <c r="J380" s="94">
        <f>IF($H380="","",IFERROR(INDEX(PARAMETRES!$T$7:$T$46,MATCH($H380,PARAMETRES!$R$7:$R$46,0)),""))</f>
        <v/>
      </c>
      <c r="K380" s="94">
        <f>IF($H380="","",IFERROR(INDEX(PARAMETRES!$U$7:$U$46,MATCH($H380,PARAMETRES!$R$7:$R$46,0)),""))</f>
        <v/>
      </c>
      <c r="L380" s="94">
        <f>IF($H380="","",IFERROR(INDEX(PARAMETRES!$V$7:$V$46,MATCH($H380,PARAMETRES!$R$7:$R$46,0)),""))</f>
        <v/>
      </c>
      <c r="M380" s="88" t="n"/>
      <c r="N380" s="88" t="n"/>
      <c r="O380" s="88" t="n"/>
      <c r="P380" s="94">
        <f>IF($G380="","",IF($G380&gt;=60,"Arrêt majeur — analyse 5 pourquoi",IF($G380&gt;=30,"À analyser en revue quotidienne",IF($K380="Planifié","Arrêt planifié","Aléa courant"))))</f>
        <v/>
      </c>
      <c r="Q380" s="95">
        <f>IF($A380="",0,IF(AND(OR(COCKPIT!$H$4="Toutes",$C380=COCKPIT!$H$4),OR(COCKPIT!$K$4="Toutes",$B380=COCKPIT!$K$4)),1,0))</f>
        <v/>
      </c>
    </row>
    <row r="381" ht="15" customHeight="1">
      <c r="A381" s="87" t="n"/>
      <c r="B381" s="88" t="n"/>
      <c r="C381" s="88" t="n"/>
      <c r="D381" s="88" t="n"/>
      <c r="E381" s="96" t="n"/>
      <c r="F381" s="96" t="n"/>
      <c r="G381" s="92">
        <f>IF(OR($E381="",$F381=""),"",ROUND(($F381-$E381+IF($F381&lt;$E381,1,0))*1440,0))</f>
        <v/>
      </c>
      <c r="H381" s="88" t="n"/>
      <c r="I381" s="94">
        <f>IF($H381="","",IFERROR(INDEX(PARAMETRES!$S$7:$S$46,MATCH($H381,PARAMETRES!$R$7:$R$46,0)),"Code inconnu"))</f>
        <v/>
      </c>
      <c r="J381" s="94">
        <f>IF($H381="","",IFERROR(INDEX(PARAMETRES!$T$7:$T$46,MATCH($H381,PARAMETRES!$R$7:$R$46,0)),""))</f>
        <v/>
      </c>
      <c r="K381" s="94">
        <f>IF($H381="","",IFERROR(INDEX(PARAMETRES!$U$7:$U$46,MATCH($H381,PARAMETRES!$R$7:$R$46,0)),""))</f>
        <v/>
      </c>
      <c r="L381" s="94">
        <f>IF($H381="","",IFERROR(INDEX(PARAMETRES!$V$7:$V$46,MATCH($H381,PARAMETRES!$R$7:$R$46,0)),""))</f>
        <v/>
      </c>
      <c r="M381" s="88" t="n"/>
      <c r="N381" s="88" t="n"/>
      <c r="O381" s="88" t="n"/>
      <c r="P381" s="94">
        <f>IF($G381="","",IF($G381&gt;=60,"Arrêt majeur — analyse 5 pourquoi",IF($G381&gt;=30,"À analyser en revue quotidienne",IF($K381="Planifié","Arrêt planifié","Aléa courant"))))</f>
        <v/>
      </c>
      <c r="Q381" s="95">
        <f>IF($A381="",0,IF(AND(OR(COCKPIT!$H$4="Toutes",$C381=COCKPIT!$H$4),OR(COCKPIT!$K$4="Toutes",$B381=COCKPIT!$K$4)),1,0))</f>
        <v/>
      </c>
    </row>
    <row r="382" ht="15" customHeight="1">
      <c r="A382" s="87" t="n"/>
      <c r="B382" s="88" t="n"/>
      <c r="C382" s="88" t="n"/>
      <c r="D382" s="88" t="n"/>
      <c r="E382" s="96" t="n"/>
      <c r="F382" s="96" t="n"/>
      <c r="G382" s="92">
        <f>IF(OR($E382="",$F382=""),"",ROUND(($F382-$E382+IF($F382&lt;$E382,1,0))*1440,0))</f>
        <v/>
      </c>
      <c r="H382" s="88" t="n"/>
      <c r="I382" s="94">
        <f>IF($H382="","",IFERROR(INDEX(PARAMETRES!$S$7:$S$46,MATCH($H382,PARAMETRES!$R$7:$R$46,0)),"Code inconnu"))</f>
        <v/>
      </c>
      <c r="J382" s="94">
        <f>IF($H382="","",IFERROR(INDEX(PARAMETRES!$T$7:$T$46,MATCH($H382,PARAMETRES!$R$7:$R$46,0)),""))</f>
        <v/>
      </c>
      <c r="K382" s="94">
        <f>IF($H382="","",IFERROR(INDEX(PARAMETRES!$U$7:$U$46,MATCH($H382,PARAMETRES!$R$7:$R$46,0)),""))</f>
        <v/>
      </c>
      <c r="L382" s="94">
        <f>IF($H382="","",IFERROR(INDEX(PARAMETRES!$V$7:$V$46,MATCH($H382,PARAMETRES!$R$7:$R$46,0)),""))</f>
        <v/>
      </c>
      <c r="M382" s="88" t="n"/>
      <c r="N382" s="88" t="n"/>
      <c r="O382" s="88" t="n"/>
      <c r="P382" s="94">
        <f>IF($G382="","",IF($G382&gt;=60,"Arrêt majeur — analyse 5 pourquoi",IF($G382&gt;=30,"À analyser en revue quotidienne",IF($K382="Planifié","Arrêt planifié","Aléa courant"))))</f>
        <v/>
      </c>
      <c r="Q382" s="95">
        <f>IF($A382="",0,IF(AND(OR(COCKPIT!$H$4="Toutes",$C382=COCKPIT!$H$4),OR(COCKPIT!$K$4="Toutes",$B382=COCKPIT!$K$4)),1,0))</f>
        <v/>
      </c>
    </row>
    <row r="383" ht="15" customHeight="1">
      <c r="A383" s="87" t="n"/>
      <c r="B383" s="88" t="n"/>
      <c r="C383" s="88" t="n"/>
      <c r="D383" s="88" t="n"/>
      <c r="E383" s="96" t="n"/>
      <c r="F383" s="96" t="n"/>
      <c r="G383" s="92">
        <f>IF(OR($E383="",$F383=""),"",ROUND(($F383-$E383+IF($F383&lt;$E383,1,0))*1440,0))</f>
        <v/>
      </c>
      <c r="H383" s="88" t="n"/>
      <c r="I383" s="94">
        <f>IF($H383="","",IFERROR(INDEX(PARAMETRES!$S$7:$S$46,MATCH($H383,PARAMETRES!$R$7:$R$46,0)),"Code inconnu"))</f>
        <v/>
      </c>
      <c r="J383" s="94">
        <f>IF($H383="","",IFERROR(INDEX(PARAMETRES!$T$7:$T$46,MATCH($H383,PARAMETRES!$R$7:$R$46,0)),""))</f>
        <v/>
      </c>
      <c r="K383" s="94">
        <f>IF($H383="","",IFERROR(INDEX(PARAMETRES!$U$7:$U$46,MATCH($H383,PARAMETRES!$R$7:$R$46,0)),""))</f>
        <v/>
      </c>
      <c r="L383" s="94">
        <f>IF($H383="","",IFERROR(INDEX(PARAMETRES!$V$7:$V$46,MATCH($H383,PARAMETRES!$R$7:$R$46,0)),""))</f>
        <v/>
      </c>
      <c r="M383" s="88" t="n"/>
      <c r="N383" s="88" t="n"/>
      <c r="O383" s="88" t="n"/>
      <c r="P383" s="94">
        <f>IF($G383="","",IF($G383&gt;=60,"Arrêt majeur — analyse 5 pourquoi",IF($G383&gt;=30,"À analyser en revue quotidienne",IF($K383="Planifié","Arrêt planifié","Aléa courant"))))</f>
        <v/>
      </c>
      <c r="Q383" s="95">
        <f>IF($A383="",0,IF(AND(OR(COCKPIT!$H$4="Toutes",$C383=COCKPIT!$H$4),OR(COCKPIT!$K$4="Toutes",$B383=COCKPIT!$K$4)),1,0))</f>
        <v/>
      </c>
    </row>
    <row r="384" ht="15" customHeight="1">
      <c r="A384" s="87" t="n"/>
      <c r="B384" s="88" t="n"/>
      <c r="C384" s="88" t="n"/>
      <c r="D384" s="88" t="n"/>
      <c r="E384" s="96" t="n"/>
      <c r="F384" s="96" t="n"/>
      <c r="G384" s="92">
        <f>IF(OR($E384="",$F384=""),"",ROUND(($F384-$E384+IF($F384&lt;$E384,1,0))*1440,0))</f>
        <v/>
      </c>
      <c r="H384" s="88" t="n"/>
      <c r="I384" s="94">
        <f>IF($H384="","",IFERROR(INDEX(PARAMETRES!$S$7:$S$46,MATCH($H384,PARAMETRES!$R$7:$R$46,0)),"Code inconnu"))</f>
        <v/>
      </c>
      <c r="J384" s="94">
        <f>IF($H384="","",IFERROR(INDEX(PARAMETRES!$T$7:$T$46,MATCH($H384,PARAMETRES!$R$7:$R$46,0)),""))</f>
        <v/>
      </c>
      <c r="K384" s="94">
        <f>IF($H384="","",IFERROR(INDEX(PARAMETRES!$U$7:$U$46,MATCH($H384,PARAMETRES!$R$7:$R$46,0)),""))</f>
        <v/>
      </c>
      <c r="L384" s="94">
        <f>IF($H384="","",IFERROR(INDEX(PARAMETRES!$V$7:$V$46,MATCH($H384,PARAMETRES!$R$7:$R$46,0)),""))</f>
        <v/>
      </c>
      <c r="M384" s="88" t="n"/>
      <c r="N384" s="88" t="n"/>
      <c r="O384" s="88" t="n"/>
      <c r="P384" s="94">
        <f>IF($G384="","",IF($G384&gt;=60,"Arrêt majeur — analyse 5 pourquoi",IF($G384&gt;=30,"À analyser en revue quotidienne",IF($K384="Planifié","Arrêt planifié","Aléa courant"))))</f>
        <v/>
      </c>
      <c r="Q384" s="95">
        <f>IF($A384="",0,IF(AND(OR(COCKPIT!$H$4="Toutes",$C384=COCKPIT!$H$4),OR(COCKPIT!$K$4="Toutes",$B384=COCKPIT!$K$4)),1,0))</f>
        <v/>
      </c>
    </row>
    <row r="385" ht="15" customHeight="1">
      <c r="A385" s="87" t="n"/>
      <c r="B385" s="88" t="n"/>
      <c r="C385" s="88" t="n"/>
      <c r="D385" s="88" t="n"/>
      <c r="E385" s="96" t="n"/>
      <c r="F385" s="96" t="n"/>
      <c r="G385" s="92">
        <f>IF(OR($E385="",$F385=""),"",ROUND(($F385-$E385+IF($F385&lt;$E385,1,0))*1440,0))</f>
        <v/>
      </c>
      <c r="H385" s="88" t="n"/>
      <c r="I385" s="94">
        <f>IF($H385="","",IFERROR(INDEX(PARAMETRES!$S$7:$S$46,MATCH($H385,PARAMETRES!$R$7:$R$46,0)),"Code inconnu"))</f>
        <v/>
      </c>
      <c r="J385" s="94">
        <f>IF($H385="","",IFERROR(INDEX(PARAMETRES!$T$7:$T$46,MATCH($H385,PARAMETRES!$R$7:$R$46,0)),""))</f>
        <v/>
      </c>
      <c r="K385" s="94">
        <f>IF($H385="","",IFERROR(INDEX(PARAMETRES!$U$7:$U$46,MATCH($H385,PARAMETRES!$R$7:$R$46,0)),""))</f>
        <v/>
      </c>
      <c r="L385" s="94">
        <f>IF($H385="","",IFERROR(INDEX(PARAMETRES!$V$7:$V$46,MATCH($H385,PARAMETRES!$R$7:$R$46,0)),""))</f>
        <v/>
      </c>
      <c r="M385" s="88" t="n"/>
      <c r="N385" s="88" t="n"/>
      <c r="O385" s="88" t="n"/>
      <c r="P385" s="94">
        <f>IF($G385="","",IF($G385&gt;=60,"Arrêt majeur — analyse 5 pourquoi",IF($G385&gt;=30,"À analyser en revue quotidienne",IF($K385="Planifié","Arrêt planifié","Aléa courant"))))</f>
        <v/>
      </c>
      <c r="Q385" s="95">
        <f>IF($A385="",0,IF(AND(OR(COCKPIT!$H$4="Toutes",$C385=COCKPIT!$H$4),OR(COCKPIT!$K$4="Toutes",$B385=COCKPIT!$K$4)),1,0))</f>
        <v/>
      </c>
    </row>
    <row r="386" ht="15" customHeight="1">
      <c r="A386" s="87" t="n"/>
      <c r="B386" s="88" t="n"/>
      <c r="C386" s="88" t="n"/>
      <c r="D386" s="88" t="n"/>
      <c r="E386" s="96" t="n"/>
      <c r="F386" s="96" t="n"/>
      <c r="G386" s="92">
        <f>IF(OR($E386="",$F386=""),"",ROUND(($F386-$E386+IF($F386&lt;$E386,1,0))*1440,0))</f>
        <v/>
      </c>
      <c r="H386" s="88" t="n"/>
      <c r="I386" s="94">
        <f>IF($H386="","",IFERROR(INDEX(PARAMETRES!$S$7:$S$46,MATCH($H386,PARAMETRES!$R$7:$R$46,0)),"Code inconnu"))</f>
        <v/>
      </c>
      <c r="J386" s="94">
        <f>IF($H386="","",IFERROR(INDEX(PARAMETRES!$T$7:$T$46,MATCH($H386,PARAMETRES!$R$7:$R$46,0)),""))</f>
        <v/>
      </c>
      <c r="K386" s="94">
        <f>IF($H386="","",IFERROR(INDEX(PARAMETRES!$U$7:$U$46,MATCH($H386,PARAMETRES!$R$7:$R$46,0)),""))</f>
        <v/>
      </c>
      <c r="L386" s="94">
        <f>IF($H386="","",IFERROR(INDEX(PARAMETRES!$V$7:$V$46,MATCH($H386,PARAMETRES!$R$7:$R$46,0)),""))</f>
        <v/>
      </c>
      <c r="M386" s="88" t="n"/>
      <c r="N386" s="88" t="n"/>
      <c r="O386" s="88" t="n"/>
      <c r="P386" s="94">
        <f>IF($G386="","",IF($G386&gt;=60,"Arrêt majeur — analyse 5 pourquoi",IF($G386&gt;=30,"À analyser en revue quotidienne",IF($K386="Planifié","Arrêt planifié","Aléa courant"))))</f>
        <v/>
      </c>
      <c r="Q386" s="95">
        <f>IF($A386="",0,IF(AND(OR(COCKPIT!$H$4="Toutes",$C386=COCKPIT!$H$4),OR(COCKPIT!$K$4="Toutes",$B386=COCKPIT!$K$4)),1,0))</f>
        <v/>
      </c>
    </row>
    <row r="387" ht="15" customHeight="1">
      <c r="A387" s="87" t="n"/>
      <c r="B387" s="88" t="n"/>
      <c r="C387" s="88" t="n"/>
      <c r="D387" s="88" t="n"/>
      <c r="E387" s="96" t="n"/>
      <c r="F387" s="96" t="n"/>
      <c r="G387" s="92">
        <f>IF(OR($E387="",$F387=""),"",ROUND(($F387-$E387+IF($F387&lt;$E387,1,0))*1440,0))</f>
        <v/>
      </c>
      <c r="H387" s="88" t="n"/>
      <c r="I387" s="94">
        <f>IF($H387="","",IFERROR(INDEX(PARAMETRES!$S$7:$S$46,MATCH($H387,PARAMETRES!$R$7:$R$46,0)),"Code inconnu"))</f>
        <v/>
      </c>
      <c r="J387" s="94">
        <f>IF($H387="","",IFERROR(INDEX(PARAMETRES!$T$7:$T$46,MATCH($H387,PARAMETRES!$R$7:$R$46,0)),""))</f>
        <v/>
      </c>
      <c r="K387" s="94">
        <f>IF($H387="","",IFERROR(INDEX(PARAMETRES!$U$7:$U$46,MATCH($H387,PARAMETRES!$R$7:$R$46,0)),""))</f>
        <v/>
      </c>
      <c r="L387" s="94">
        <f>IF($H387="","",IFERROR(INDEX(PARAMETRES!$V$7:$V$46,MATCH($H387,PARAMETRES!$R$7:$R$46,0)),""))</f>
        <v/>
      </c>
      <c r="M387" s="88" t="n"/>
      <c r="N387" s="88" t="n"/>
      <c r="O387" s="88" t="n"/>
      <c r="P387" s="94">
        <f>IF($G387="","",IF($G387&gt;=60,"Arrêt majeur — analyse 5 pourquoi",IF($G387&gt;=30,"À analyser en revue quotidienne",IF($K387="Planifié","Arrêt planifié","Aléa courant"))))</f>
        <v/>
      </c>
      <c r="Q387" s="95">
        <f>IF($A387="",0,IF(AND(OR(COCKPIT!$H$4="Toutes",$C387=COCKPIT!$H$4),OR(COCKPIT!$K$4="Toutes",$B387=COCKPIT!$K$4)),1,0))</f>
        <v/>
      </c>
    </row>
    <row r="388" ht="15" customHeight="1">
      <c r="A388" s="87" t="n"/>
      <c r="B388" s="88" t="n"/>
      <c r="C388" s="88" t="n"/>
      <c r="D388" s="88" t="n"/>
      <c r="E388" s="96" t="n"/>
      <c r="F388" s="96" t="n"/>
      <c r="G388" s="92">
        <f>IF(OR($E388="",$F388=""),"",ROUND(($F388-$E388+IF($F388&lt;$E388,1,0))*1440,0))</f>
        <v/>
      </c>
      <c r="H388" s="88" t="n"/>
      <c r="I388" s="94">
        <f>IF($H388="","",IFERROR(INDEX(PARAMETRES!$S$7:$S$46,MATCH($H388,PARAMETRES!$R$7:$R$46,0)),"Code inconnu"))</f>
        <v/>
      </c>
      <c r="J388" s="94">
        <f>IF($H388="","",IFERROR(INDEX(PARAMETRES!$T$7:$T$46,MATCH($H388,PARAMETRES!$R$7:$R$46,0)),""))</f>
        <v/>
      </c>
      <c r="K388" s="94">
        <f>IF($H388="","",IFERROR(INDEX(PARAMETRES!$U$7:$U$46,MATCH($H388,PARAMETRES!$R$7:$R$46,0)),""))</f>
        <v/>
      </c>
      <c r="L388" s="94">
        <f>IF($H388="","",IFERROR(INDEX(PARAMETRES!$V$7:$V$46,MATCH($H388,PARAMETRES!$R$7:$R$46,0)),""))</f>
        <v/>
      </c>
      <c r="M388" s="88" t="n"/>
      <c r="N388" s="88" t="n"/>
      <c r="O388" s="88" t="n"/>
      <c r="P388" s="94">
        <f>IF($G388="","",IF($G388&gt;=60,"Arrêt majeur — analyse 5 pourquoi",IF($G388&gt;=30,"À analyser en revue quotidienne",IF($K388="Planifié","Arrêt planifié","Aléa courant"))))</f>
        <v/>
      </c>
      <c r="Q388" s="95">
        <f>IF($A388="",0,IF(AND(OR(COCKPIT!$H$4="Toutes",$C388=COCKPIT!$H$4),OR(COCKPIT!$K$4="Toutes",$B388=COCKPIT!$K$4)),1,0))</f>
        <v/>
      </c>
    </row>
    <row r="389" ht="15" customHeight="1">
      <c r="A389" s="87" t="n"/>
      <c r="B389" s="88" t="n"/>
      <c r="C389" s="88" t="n"/>
      <c r="D389" s="88" t="n"/>
      <c r="E389" s="96" t="n"/>
      <c r="F389" s="96" t="n"/>
      <c r="G389" s="92">
        <f>IF(OR($E389="",$F389=""),"",ROUND(($F389-$E389+IF($F389&lt;$E389,1,0))*1440,0))</f>
        <v/>
      </c>
      <c r="H389" s="88" t="n"/>
      <c r="I389" s="94">
        <f>IF($H389="","",IFERROR(INDEX(PARAMETRES!$S$7:$S$46,MATCH($H389,PARAMETRES!$R$7:$R$46,0)),"Code inconnu"))</f>
        <v/>
      </c>
      <c r="J389" s="94">
        <f>IF($H389="","",IFERROR(INDEX(PARAMETRES!$T$7:$T$46,MATCH($H389,PARAMETRES!$R$7:$R$46,0)),""))</f>
        <v/>
      </c>
      <c r="K389" s="94">
        <f>IF($H389="","",IFERROR(INDEX(PARAMETRES!$U$7:$U$46,MATCH($H389,PARAMETRES!$R$7:$R$46,0)),""))</f>
        <v/>
      </c>
      <c r="L389" s="94">
        <f>IF($H389="","",IFERROR(INDEX(PARAMETRES!$V$7:$V$46,MATCH($H389,PARAMETRES!$R$7:$R$46,0)),""))</f>
        <v/>
      </c>
      <c r="M389" s="88" t="n"/>
      <c r="N389" s="88" t="n"/>
      <c r="O389" s="88" t="n"/>
      <c r="P389" s="94">
        <f>IF($G389="","",IF($G389&gt;=60,"Arrêt majeur — analyse 5 pourquoi",IF($G389&gt;=30,"À analyser en revue quotidienne",IF($K389="Planifié","Arrêt planifié","Aléa courant"))))</f>
        <v/>
      </c>
      <c r="Q389" s="95">
        <f>IF($A389="",0,IF(AND(OR(COCKPIT!$H$4="Toutes",$C389=COCKPIT!$H$4),OR(COCKPIT!$K$4="Toutes",$B389=COCKPIT!$K$4)),1,0))</f>
        <v/>
      </c>
    </row>
    <row r="390" ht="15" customHeight="1">
      <c r="A390" s="87" t="n"/>
      <c r="B390" s="88" t="n"/>
      <c r="C390" s="88" t="n"/>
      <c r="D390" s="88" t="n"/>
      <c r="E390" s="96" t="n"/>
      <c r="F390" s="96" t="n"/>
      <c r="G390" s="92">
        <f>IF(OR($E390="",$F390=""),"",ROUND(($F390-$E390+IF($F390&lt;$E390,1,0))*1440,0))</f>
        <v/>
      </c>
      <c r="H390" s="88" t="n"/>
      <c r="I390" s="94">
        <f>IF($H390="","",IFERROR(INDEX(PARAMETRES!$S$7:$S$46,MATCH($H390,PARAMETRES!$R$7:$R$46,0)),"Code inconnu"))</f>
        <v/>
      </c>
      <c r="J390" s="94">
        <f>IF($H390="","",IFERROR(INDEX(PARAMETRES!$T$7:$T$46,MATCH($H390,PARAMETRES!$R$7:$R$46,0)),""))</f>
        <v/>
      </c>
      <c r="K390" s="94">
        <f>IF($H390="","",IFERROR(INDEX(PARAMETRES!$U$7:$U$46,MATCH($H390,PARAMETRES!$R$7:$R$46,0)),""))</f>
        <v/>
      </c>
      <c r="L390" s="94">
        <f>IF($H390="","",IFERROR(INDEX(PARAMETRES!$V$7:$V$46,MATCH($H390,PARAMETRES!$R$7:$R$46,0)),""))</f>
        <v/>
      </c>
      <c r="M390" s="88" t="n"/>
      <c r="N390" s="88" t="n"/>
      <c r="O390" s="88" t="n"/>
      <c r="P390" s="94">
        <f>IF($G390="","",IF($G390&gt;=60,"Arrêt majeur — analyse 5 pourquoi",IF($G390&gt;=30,"À analyser en revue quotidienne",IF($K390="Planifié","Arrêt planifié","Aléa courant"))))</f>
        <v/>
      </c>
      <c r="Q390" s="95">
        <f>IF($A390="",0,IF(AND(OR(COCKPIT!$H$4="Toutes",$C390=COCKPIT!$H$4),OR(COCKPIT!$K$4="Toutes",$B390=COCKPIT!$K$4)),1,0))</f>
        <v/>
      </c>
    </row>
    <row r="391" ht="15" customHeight="1">
      <c r="A391" s="87" t="n"/>
      <c r="B391" s="88" t="n"/>
      <c r="C391" s="88" t="n"/>
      <c r="D391" s="88" t="n"/>
      <c r="E391" s="96" t="n"/>
      <c r="F391" s="96" t="n"/>
      <c r="G391" s="92">
        <f>IF(OR($E391="",$F391=""),"",ROUND(($F391-$E391+IF($F391&lt;$E391,1,0))*1440,0))</f>
        <v/>
      </c>
      <c r="H391" s="88" t="n"/>
      <c r="I391" s="94">
        <f>IF($H391="","",IFERROR(INDEX(PARAMETRES!$S$7:$S$46,MATCH($H391,PARAMETRES!$R$7:$R$46,0)),"Code inconnu"))</f>
        <v/>
      </c>
      <c r="J391" s="94">
        <f>IF($H391="","",IFERROR(INDEX(PARAMETRES!$T$7:$T$46,MATCH($H391,PARAMETRES!$R$7:$R$46,0)),""))</f>
        <v/>
      </c>
      <c r="K391" s="94">
        <f>IF($H391="","",IFERROR(INDEX(PARAMETRES!$U$7:$U$46,MATCH($H391,PARAMETRES!$R$7:$R$46,0)),""))</f>
        <v/>
      </c>
      <c r="L391" s="94">
        <f>IF($H391="","",IFERROR(INDEX(PARAMETRES!$V$7:$V$46,MATCH($H391,PARAMETRES!$R$7:$R$46,0)),""))</f>
        <v/>
      </c>
      <c r="M391" s="88" t="n"/>
      <c r="N391" s="88" t="n"/>
      <c r="O391" s="88" t="n"/>
      <c r="P391" s="94">
        <f>IF($G391="","",IF($G391&gt;=60,"Arrêt majeur — analyse 5 pourquoi",IF($G391&gt;=30,"À analyser en revue quotidienne",IF($K391="Planifié","Arrêt planifié","Aléa courant"))))</f>
        <v/>
      </c>
      <c r="Q391" s="95">
        <f>IF($A391="",0,IF(AND(OR(COCKPIT!$H$4="Toutes",$C391=COCKPIT!$H$4),OR(COCKPIT!$K$4="Toutes",$B391=COCKPIT!$K$4)),1,0))</f>
        <v/>
      </c>
    </row>
    <row r="392" ht="15" customHeight="1">
      <c r="A392" s="87" t="n"/>
      <c r="B392" s="88" t="n"/>
      <c r="C392" s="88" t="n"/>
      <c r="D392" s="88" t="n"/>
      <c r="E392" s="96" t="n"/>
      <c r="F392" s="96" t="n"/>
      <c r="G392" s="92">
        <f>IF(OR($E392="",$F392=""),"",ROUND(($F392-$E392+IF($F392&lt;$E392,1,0))*1440,0))</f>
        <v/>
      </c>
      <c r="H392" s="88" t="n"/>
      <c r="I392" s="94">
        <f>IF($H392="","",IFERROR(INDEX(PARAMETRES!$S$7:$S$46,MATCH($H392,PARAMETRES!$R$7:$R$46,0)),"Code inconnu"))</f>
        <v/>
      </c>
      <c r="J392" s="94">
        <f>IF($H392="","",IFERROR(INDEX(PARAMETRES!$T$7:$T$46,MATCH($H392,PARAMETRES!$R$7:$R$46,0)),""))</f>
        <v/>
      </c>
      <c r="K392" s="94">
        <f>IF($H392="","",IFERROR(INDEX(PARAMETRES!$U$7:$U$46,MATCH($H392,PARAMETRES!$R$7:$R$46,0)),""))</f>
        <v/>
      </c>
      <c r="L392" s="94">
        <f>IF($H392="","",IFERROR(INDEX(PARAMETRES!$V$7:$V$46,MATCH($H392,PARAMETRES!$R$7:$R$46,0)),""))</f>
        <v/>
      </c>
      <c r="M392" s="88" t="n"/>
      <c r="N392" s="88" t="n"/>
      <c r="O392" s="88" t="n"/>
      <c r="P392" s="94">
        <f>IF($G392="","",IF($G392&gt;=60,"Arrêt majeur — analyse 5 pourquoi",IF($G392&gt;=30,"À analyser en revue quotidienne",IF($K392="Planifié","Arrêt planifié","Aléa courant"))))</f>
        <v/>
      </c>
      <c r="Q392" s="95">
        <f>IF($A392="",0,IF(AND(OR(COCKPIT!$H$4="Toutes",$C392=COCKPIT!$H$4),OR(COCKPIT!$K$4="Toutes",$B392=COCKPIT!$K$4)),1,0))</f>
        <v/>
      </c>
    </row>
    <row r="393" ht="15" customHeight="1">
      <c r="A393" s="87" t="n"/>
      <c r="B393" s="88" t="n"/>
      <c r="C393" s="88" t="n"/>
      <c r="D393" s="88" t="n"/>
      <c r="E393" s="96" t="n"/>
      <c r="F393" s="96" t="n"/>
      <c r="G393" s="92">
        <f>IF(OR($E393="",$F393=""),"",ROUND(($F393-$E393+IF($F393&lt;$E393,1,0))*1440,0))</f>
        <v/>
      </c>
      <c r="H393" s="88" t="n"/>
      <c r="I393" s="94">
        <f>IF($H393="","",IFERROR(INDEX(PARAMETRES!$S$7:$S$46,MATCH($H393,PARAMETRES!$R$7:$R$46,0)),"Code inconnu"))</f>
        <v/>
      </c>
      <c r="J393" s="94">
        <f>IF($H393="","",IFERROR(INDEX(PARAMETRES!$T$7:$T$46,MATCH($H393,PARAMETRES!$R$7:$R$46,0)),""))</f>
        <v/>
      </c>
      <c r="K393" s="94">
        <f>IF($H393="","",IFERROR(INDEX(PARAMETRES!$U$7:$U$46,MATCH($H393,PARAMETRES!$R$7:$R$46,0)),""))</f>
        <v/>
      </c>
      <c r="L393" s="94">
        <f>IF($H393="","",IFERROR(INDEX(PARAMETRES!$V$7:$V$46,MATCH($H393,PARAMETRES!$R$7:$R$46,0)),""))</f>
        <v/>
      </c>
      <c r="M393" s="88" t="n"/>
      <c r="N393" s="88" t="n"/>
      <c r="O393" s="88" t="n"/>
      <c r="P393" s="94">
        <f>IF($G393="","",IF($G393&gt;=60,"Arrêt majeur — analyse 5 pourquoi",IF($G393&gt;=30,"À analyser en revue quotidienne",IF($K393="Planifié","Arrêt planifié","Aléa courant"))))</f>
        <v/>
      </c>
      <c r="Q393" s="95">
        <f>IF($A393="",0,IF(AND(OR(COCKPIT!$H$4="Toutes",$C393=COCKPIT!$H$4),OR(COCKPIT!$K$4="Toutes",$B393=COCKPIT!$K$4)),1,0))</f>
        <v/>
      </c>
    </row>
    <row r="394" ht="15" customHeight="1">
      <c r="A394" s="87" t="n"/>
      <c r="B394" s="88" t="n"/>
      <c r="C394" s="88" t="n"/>
      <c r="D394" s="88" t="n"/>
      <c r="E394" s="96" t="n"/>
      <c r="F394" s="96" t="n"/>
      <c r="G394" s="92">
        <f>IF(OR($E394="",$F394=""),"",ROUND(($F394-$E394+IF($F394&lt;$E394,1,0))*1440,0))</f>
        <v/>
      </c>
      <c r="H394" s="88" t="n"/>
      <c r="I394" s="94">
        <f>IF($H394="","",IFERROR(INDEX(PARAMETRES!$S$7:$S$46,MATCH($H394,PARAMETRES!$R$7:$R$46,0)),"Code inconnu"))</f>
        <v/>
      </c>
      <c r="J394" s="94">
        <f>IF($H394="","",IFERROR(INDEX(PARAMETRES!$T$7:$T$46,MATCH($H394,PARAMETRES!$R$7:$R$46,0)),""))</f>
        <v/>
      </c>
      <c r="K394" s="94">
        <f>IF($H394="","",IFERROR(INDEX(PARAMETRES!$U$7:$U$46,MATCH($H394,PARAMETRES!$R$7:$R$46,0)),""))</f>
        <v/>
      </c>
      <c r="L394" s="94">
        <f>IF($H394="","",IFERROR(INDEX(PARAMETRES!$V$7:$V$46,MATCH($H394,PARAMETRES!$R$7:$R$46,0)),""))</f>
        <v/>
      </c>
      <c r="M394" s="88" t="n"/>
      <c r="N394" s="88" t="n"/>
      <c r="O394" s="88" t="n"/>
      <c r="P394" s="94">
        <f>IF($G394="","",IF($G394&gt;=60,"Arrêt majeur — analyse 5 pourquoi",IF($G394&gt;=30,"À analyser en revue quotidienne",IF($K394="Planifié","Arrêt planifié","Aléa courant"))))</f>
        <v/>
      </c>
      <c r="Q394" s="95">
        <f>IF($A394="",0,IF(AND(OR(COCKPIT!$H$4="Toutes",$C394=COCKPIT!$H$4),OR(COCKPIT!$K$4="Toutes",$B394=COCKPIT!$K$4)),1,0))</f>
        <v/>
      </c>
    </row>
    <row r="395" ht="15" customHeight="1">
      <c r="A395" s="87" t="n"/>
      <c r="B395" s="88" t="n"/>
      <c r="C395" s="88" t="n"/>
      <c r="D395" s="88" t="n"/>
      <c r="E395" s="96" t="n"/>
      <c r="F395" s="96" t="n"/>
      <c r="G395" s="92">
        <f>IF(OR($E395="",$F395=""),"",ROUND(($F395-$E395+IF($F395&lt;$E395,1,0))*1440,0))</f>
        <v/>
      </c>
      <c r="H395" s="88" t="n"/>
      <c r="I395" s="94">
        <f>IF($H395="","",IFERROR(INDEX(PARAMETRES!$S$7:$S$46,MATCH($H395,PARAMETRES!$R$7:$R$46,0)),"Code inconnu"))</f>
        <v/>
      </c>
      <c r="J395" s="94">
        <f>IF($H395="","",IFERROR(INDEX(PARAMETRES!$T$7:$T$46,MATCH($H395,PARAMETRES!$R$7:$R$46,0)),""))</f>
        <v/>
      </c>
      <c r="K395" s="94">
        <f>IF($H395="","",IFERROR(INDEX(PARAMETRES!$U$7:$U$46,MATCH($H395,PARAMETRES!$R$7:$R$46,0)),""))</f>
        <v/>
      </c>
      <c r="L395" s="94">
        <f>IF($H395="","",IFERROR(INDEX(PARAMETRES!$V$7:$V$46,MATCH($H395,PARAMETRES!$R$7:$R$46,0)),""))</f>
        <v/>
      </c>
      <c r="M395" s="88" t="n"/>
      <c r="N395" s="88" t="n"/>
      <c r="O395" s="88" t="n"/>
      <c r="P395" s="94">
        <f>IF($G395="","",IF($G395&gt;=60,"Arrêt majeur — analyse 5 pourquoi",IF($G395&gt;=30,"À analyser en revue quotidienne",IF($K395="Planifié","Arrêt planifié","Aléa courant"))))</f>
        <v/>
      </c>
      <c r="Q395" s="95">
        <f>IF($A395="",0,IF(AND(OR(COCKPIT!$H$4="Toutes",$C395=COCKPIT!$H$4),OR(COCKPIT!$K$4="Toutes",$B395=COCKPIT!$K$4)),1,0))</f>
        <v/>
      </c>
    </row>
    <row r="396" ht="15" customHeight="1">
      <c r="A396" s="87" t="n"/>
      <c r="B396" s="88" t="n"/>
      <c r="C396" s="88" t="n"/>
      <c r="D396" s="88" t="n"/>
      <c r="E396" s="96" t="n"/>
      <c r="F396" s="96" t="n"/>
      <c r="G396" s="92">
        <f>IF(OR($E396="",$F396=""),"",ROUND(($F396-$E396+IF($F396&lt;$E396,1,0))*1440,0))</f>
        <v/>
      </c>
      <c r="H396" s="88" t="n"/>
      <c r="I396" s="94">
        <f>IF($H396="","",IFERROR(INDEX(PARAMETRES!$S$7:$S$46,MATCH($H396,PARAMETRES!$R$7:$R$46,0)),"Code inconnu"))</f>
        <v/>
      </c>
      <c r="J396" s="94">
        <f>IF($H396="","",IFERROR(INDEX(PARAMETRES!$T$7:$T$46,MATCH($H396,PARAMETRES!$R$7:$R$46,0)),""))</f>
        <v/>
      </c>
      <c r="K396" s="94">
        <f>IF($H396="","",IFERROR(INDEX(PARAMETRES!$U$7:$U$46,MATCH($H396,PARAMETRES!$R$7:$R$46,0)),""))</f>
        <v/>
      </c>
      <c r="L396" s="94">
        <f>IF($H396="","",IFERROR(INDEX(PARAMETRES!$V$7:$V$46,MATCH($H396,PARAMETRES!$R$7:$R$46,0)),""))</f>
        <v/>
      </c>
      <c r="M396" s="88" t="n"/>
      <c r="N396" s="88" t="n"/>
      <c r="O396" s="88" t="n"/>
      <c r="P396" s="94">
        <f>IF($G396="","",IF($G396&gt;=60,"Arrêt majeur — analyse 5 pourquoi",IF($G396&gt;=30,"À analyser en revue quotidienne",IF($K396="Planifié","Arrêt planifié","Aléa courant"))))</f>
        <v/>
      </c>
      <c r="Q396" s="95">
        <f>IF($A396="",0,IF(AND(OR(COCKPIT!$H$4="Toutes",$C396=COCKPIT!$H$4),OR(COCKPIT!$K$4="Toutes",$B396=COCKPIT!$K$4)),1,0))</f>
        <v/>
      </c>
    </row>
    <row r="397" ht="15" customHeight="1">
      <c r="A397" s="87" t="n"/>
      <c r="B397" s="88" t="n"/>
      <c r="C397" s="88" t="n"/>
      <c r="D397" s="88" t="n"/>
      <c r="E397" s="96" t="n"/>
      <c r="F397" s="96" t="n"/>
      <c r="G397" s="92">
        <f>IF(OR($E397="",$F397=""),"",ROUND(($F397-$E397+IF($F397&lt;$E397,1,0))*1440,0))</f>
        <v/>
      </c>
      <c r="H397" s="88" t="n"/>
      <c r="I397" s="94">
        <f>IF($H397="","",IFERROR(INDEX(PARAMETRES!$S$7:$S$46,MATCH($H397,PARAMETRES!$R$7:$R$46,0)),"Code inconnu"))</f>
        <v/>
      </c>
      <c r="J397" s="94">
        <f>IF($H397="","",IFERROR(INDEX(PARAMETRES!$T$7:$T$46,MATCH($H397,PARAMETRES!$R$7:$R$46,0)),""))</f>
        <v/>
      </c>
      <c r="K397" s="94">
        <f>IF($H397="","",IFERROR(INDEX(PARAMETRES!$U$7:$U$46,MATCH($H397,PARAMETRES!$R$7:$R$46,0)),""))</f>
        <v/>
      </c>
      <c r="L397" s="94">
        <f>IF($H397="","",IFERROR(INDEX(PARAMETRES!$V$7:$V$46,MATCH($H397,PARAMETRES!$R$7:$R$46,0)),""))</f>
        <v/>
      </c>
      <c r="M397" s="88" t="n"/>
      <c r="N397" s="88" t="n"/>
      <c r="O397" s="88" t="n"/>
      <c r="P397" s="94">
        <f>IF($G397="","",IF($G397&gt;=60,"Arrêt majeur — analyse 5 pourquoi",IF($G397&gt;=30,"À analyser en revue quotidienne",IF($K397="Planifié","Arrêt planifié","Aléa courant"))))</f>
        <v/>
      </c>
      <c r="Q397" s="95">
        <f>IF($A397="",0,IF(AND(OR(COCKPIT!$H$4="Toutes",$C397=COCKPIT!$H$4),OR(COCKPIT!$K$4="Toutes",$B397=COCKPIT!$K$4)),1,0))</f>
        <v/>
      </c>
    </row>
    <row r="398" ht="15" customHeight="1">
      <c r="A398" s="87" t="n"/>
      <c r="B398" s="88" t="n"/>
      <c r="C398" s="88" t="n"/>
      <c r="D398" s="88" t="n"/>
      <c r="E398" s="96" t="n"/>
      <c r="F398" s="96" t="n"/>
      <c r="G398" s="92">
        <f>IF(OR($E398="",$F398=""),"",ROUND(($F398-$E398+IF($F398&lt;$E398,1,0))*1440,0))</f>
        <v/>
      </c>
      <c r="H398" s="88" t="n"/>
      <c r="I398" s="94">
        <f>IF($H398="","",IFERROR(INDEX(PARAMETRES!$S$7:$S$46,MATCH($H398,PARAMETRES!$R$7:$R$46,0)),"Code inconnu"))</f>
        <v/>
      </c>
      <c r="J398" s="94">
        <f>IF($H398="","",IFERROR(INDEX(PARAMETRES!$T$7:$T$46,MATCH($H398,PARAMETRES!$R$7:$R$46,0)),""))</f>
        <v/>
      </c>
      <c r="K398" s="94">
        <f>IF($H398="","",IFERROR(INDEX(PARAMETRES!$U$7:$U$46,MATCH($H398,PARAMETRES!$R$7:$R$46,0)),""))</f>
        <v/>
      </c>
      <c r="L398" s="94">
        <f>IF($H398="","",IFERROR(INDEX(PARAMETRES!$V$7:$V$46,MATCH($H398,PARAMETRES!$R$7:$R$46,0)),""))</f>
        <v/>
      </c>
      <c r="M398" s="88" t="n"/>
      <c r="N398" s="88" t="n"/>
      <c r="O398" s="88" t="n"/>
      <c r="P398" s="94">
        <f>IF($G398="","",IF($G398&gt;=60,"Arrêt majeur — analyse 5 pourquoi",IF($G398&gt;=30,"À analyser en revue quotidienne",IF($K398="Planifié","Arrêt planifié","Aléa courant"))))</f>
        <v/>
      </c>
      <c r="Q398" s="95">
        <f>IF($A398="",0,IF(AND(OR(COCKPIT!$H$4="Toutes",$C398=COCKPIT!$H$4),OR(COCKPIT!$K$4="Toutes",$B398=COCKPIT!$K$4)),1,0))</f>
        <v/>
      </c>
    </row>
    <row r="399" ht="15" customHeight="1">
      <c r="A399" s="87" t="n"/>
      <c r="B399" s="88" t="n"/>
      <c r="C399" s="88" t="n"/>
      <c r="D399" s="88" t="n"/>
      <c r="E399" s="96" t="n"/>
      <c r="F399" s="96" t="n"/>
      <c r="G399" s="92">
        <f>IF(OR($E399="",$F399=""),"",ROUND(($F399-$E399+IF($F399&lt;$E399,1,0))*1440,0))</f>
        <v/>
      </c>
      <c r="H399" s="88" t="n"/>
      <c r="I399" s="94">
        <f>IF($H399="","",IFERROR(INDEX(PARAMETRES!$S$7:$S$46,MATCH($H399,PARAMETRES!$R$7:$R$46,0)),"Code inconnu"))</f>
        <v/>
      </c>
      <c r="J399" s="94">
        <f>IF($H399="","",IFERROR(INDEX(PARAMETRES!$T$7:$T$46,MATCH($H399,PARAMETRES!$R$7:$R$46,0)),""))</f>
        <v/>
      </c>
      <c r="K399" s="94">
        <f>IF($H399="","",IFERROR(INDEX(PARAMETRES!$U$7:$U$46,MATCH($H399,PARAMETRES!$R$7:$R$46,0)),""))</f>
        <v/>
      </c>
      <c r="L399" s="94">
        <f>IF($H399="","",IFERROR(INDEX(PARAMETRES!$V$7:$V$46,MATCH($H399,PARAMETRES!$R$7:$R$46,0)),""))</f>
        <v/>
      </c>
      <c r="M399" s="88" t="n"/>
      <c r="N399" s="88" t="n"/>
      <c r="O399" s="88" t="n"/>
      <c r="P399" s="94">
        <f>IF($G399="","",IF($G399&gt;=60,"Arrêt majeur — analyse 5 pourquoi",IF($G399&gt;=30,"À analyser en revue quotidienne",IF($K399="Planifié","Arrêt planifié","Aléa courant"))))</f>
        <v/>
      </c>
      <c r="Q399" s="95">
        <f>IF($A399="",0,IF(AND(OR(COCKPIT!$H$4="Toutes",$C399=COCKPIT!$H$4),OR(COCKPIT!$K$4="Toutes",$B399=COCKPIT!$K$4)),1,0))</f>
        <v/>
      </c>
    </row>
    <row r="400" ht="15" customHeight="1">
      <c r="A400" s="87" t="n"/>
      <c r="B400" s="88" t="n"/>
      <c r="C400" s="88" t="n"/>
      <c r="D400" s="88" t="n"/>
      <c r="E400" s="96" t="n"/>
      <c r="F400" s="96" t="n"/>
      <c r="G400" s="92">
        <f>IF(OR($E400="",$F400=""),"",ROUND(($F400-$E400+IF($F400&lt;$E400,1,0))*1440,0))</f>
        <v/>
      </c>
      <c r="H400" s="88" t="n"/>
      <c r="I400" s="94">
        <f>IF($H400="","",IFERROR(INDEX(PARAMETRES!$S$7:$S$46,MATCH($H400,PARAMETRES!$R$7:$R$46,0)),"Code inconnu"))</f>
        <v/>
      </c>
      <c r="J400" s="94">
        <f>IF($H400="","",IFERROR(INDEX(PARAMETRES!$T$7:$T$46,MATCH($H400,PARAMETRES!$R$7:$R$46,0)),""))</f>
        <v/>
      </c>
      <c r="K400" s="94">
        <f>IF($H400="","",IFERROR(INDEX(PARAMETRES!$U$7:$U$46,MATCH($H400,PARAMETRES!$R$7:$R$46,0)),""))</f>
        <v/>
      </c>
      <c r="L400" s="94">
        <f>IF($H400="","",IFERROR(INDEX(PARAMETRES!$V$7:$V$46,MATCH($H400,PARAMETRES!$R$7:$R$46,0)),""))</f>
        <v/>
      </c>
      <c r="M400" s="88" t="n"/>
      <c r="N400" s="88" t="n"/>
      <c r="O400" s="88" t="n"/>
      <c r="P400" s="94">
        <f>IF($G400="","",IF($G400&gt;=60,"Arrêt majeur — analyse 5 pourquoi",IF($G400&gt;=30,"À analyser en revue quotidienne",IF($K400="Planifié","Arrêt planifié","Aléa courant"))))</f>
        <v/>
      </c>
      <c r="Q400" s="95">
        <f>IF($A400="",0,IF(AND(OR(COCKPIT!$H$4="Toutes",$C400=COCKPIT!$H$4),OR(COCKPIT!$K$4="Toutes",$B400=COCKPIT!$K$4)),1,0))</f>
        <v/>
      </c>
    </row>
    <row r="401" ht="15" customHeight="1">
      <c r="A401" s="87" t="n"/>
      <c r="B401" s="88" t="n"/>
      <c r="C401" s="88" t="n"/>
      <c r="D401" s="88" t="n"/>
      <c r="E401" s="96" t="n"/>
      <c r="F401" s="96" t="n"/>
      <c r="G401" s="92">
        <f>IF(OR($E401="",$F401=""),"",ROUND(($F401-$E401+IF($F401&lt;$E401,1,0))*1440,0))</f>
        <v/>
      </c>
      <c r="H401" s="88" t="n"/>
      <c r="I401" s="94">
        <f>IF($H401="","",IFERROR(INDEX(PARAMETRES!$S$7:$S$46,MATCH($H401,PARAMETRES!$R$7:$R$46,0)),"Code inconnu"))</f>
        <v/>
      </c>
      <c r="J401" s="94">
        <f>IF($H401="","",IFERROR(INDEX(PARAMETRES!$T$7:$T$46,MATCH($H401,PARAMETRES!$R$7:$R$46,0)),""))</f>
        <v/>
      </c>
      <c r="K401" s="94">
        <f>IF($H401="","",IFERROR(INDEX(PARAMETRES!$U$7:$U$46,MATCH($H401,PARAMETRES!$R$7:$R$46,0)),""))</f>
        <v/>
      </c>
      <c r="L401" s="94">
        <f>IF($H401="","",IFERROR(INDEX(PARAMETRES!$V$7:$V$46,MATCH($H401,PARAMETRES!$R$7:$R$46,0)),""))</f>
        <v/>
      </c>
      <c r="M401" s="88" t="n"/>
      <c r="N401" s="88" t="n"/>
      <c r="O401" s="88" t="n"/>
      <c r="P401" s="94">
        <f>IF($G401="","",IF($G401&gt;=60,"Arrêt majeur — analyse 5 pourquoi",IF($G401&gt;=30,"À analyser en revue quotidienne",IF($K401="Planifié","Arrêt planifié","Aléa courant"))))</f>
        <v/>
      </c>
      <c r="Q401" s="95">
        <f>IF($A401="",0,IF(AND(OR(COCKPIT!$H$4="Toutes",$C401=COCKPIT!$H$4),OR(COCKPIT!$K$4="Toutes",$B401=COCKPIT!$K$4)),1,0))</f>
        <v/>
      </c>
    </row>
    <row r="402" ht="15" customHeight="1">
      <c r="A402" s="87" t="n"/>
      <c r="B402" s="88" t="n"/>
      <c r="C402" s="88" t="n"/>
      <c r="D402" s="88" t="n"/>
      <c r="E402" s="96" t="n"/>
      <c r="F402" s="96" t="n"/>
      <c r="G402" s="92">
        <f>IF(OR($E402="",$F402=""),"",ROUND(($F402-$E402+IF($F402&lt;$E402,1,0))*1440,0))</f>
        <v/>
      </c>
      <c r="H402" s="88" t="n"/>
      <c r="I402" s="94">
        <f>IF($H402="","",IFERROR(INDEX(PARAMETRES!$S$7:$S$46,MATCH($H402,PARAMETRES!$R$7:$R$46,0)),"Code inconnu"))</f>
        <v/>
      </c>
      <c r="J402" s="94">
        <f>IF($H402="","",IFERROR(INDEX(PARAMETRES!$T$7:$T$46,MATCH($H402,PARAMETRES!$R$7:$R$46,0)),""))</f>
        <v/>
      </c>
      <c r="K402" s="94">
        <f>IF($H402="","",IFERROR(INDEX(PARAMETRES!$U$7:$U$46,MATCH($H402,PARAMETRES!$R$7:$R$46,0)),""))</f>
        <v/>
      </c>
      <c r="L402" s="94">
        <f>IF($H402="","",IFERROR(INDEX(PARAMETRES!$V$7:$V$46,MATCH($H402,PARAMETRES!$R$7:$R$46,0)),""))</f>
        <v/>
      </c>
      <c r="M402" s="88" t="n"/>
      <c r="N402" s="88" t="n"/>
      <c r="O402" s="88" t="n"/>
      <c r="P402" s="94">
        <f>IF($G402="","",IF($G402&gt;=60,"Arrêt majeur — analyse 5 pourquoi",IF($G402&gt;=30,"À analyser en revue quotidienne",IF($K402="Planifié","Arrêt planifié","Aléa courant"))))</f>
        <v/>
      </c>
      <c r="Q402" s="95">
        <f>IF($A402="",0,IF(AND(OR(COCKPIT!$H$4="Toutes",$C402=COCKPIT!$H$4),OR(COCKPIT!$K$4="Toutes",$B402=COCKPIT!$K$4)),1,0))</f>
        <v/>
      </c>
    </row>
    <row r="403" ht="15" customHeight="1">
      <c r="A403" s="87" t="n"/>
      <c r="B403" s="88" t="n"/>
      <c r="C403" s="88" t="n"/>
      <c r="D403" s="88" t="n"/>
      <c r="E403" s="96" t="n"/>
      <c r="F403" s="96" t="n"/>
      <c r="G403" s="92">
        <f>IF(OR($E403="",$F403=""),"",ROUND(($F403-$E403+IF($F403&lt;$E403,1,0))*1440,0))</f>
        <v/>
      </c>
      <c r="H403" s="88" t="n"/>
      <c r="I403" s="94">
        <f>IF($H403="","",IFERROR(INDEX(PARAMETRES!$S$7:$S$46,MATCH($H403,PARAMETRES!$R$7:$R$46,0)),"Code inconnu"))</f>
        <v/>
      </c>
      <c r="J403" s="94">
        <f>IF($H403="","",IFERROR(INDEX(PARAMETRES!$T$7:$T$46,MATCH($H403,PARAMETRES!$R$7:$R$46,0)),""))</f>
        <v/>
      </c>
      <c r="K403" s="94">
        <f>IF($H403="","",IFERROR(INDEX(PARAMETRES!$U$7:$U$46,MATCH($H403,PARAMETRES!$R$7:$R$46,0)),""))</f>
        <v/>
      </c>
      <c r="L403" s="94">
        <f>IF($H403="","",IFERROR(INDEX(PARAMETRES!$V$7:$V$46,MATCH($H403,PARAMETRES!$R$7:$R$46,0)),""))</f>
        <v/>
      </c>
      <c r="M403" s="88" t="n"/>
      <c r="N403" s="88" t="n"/>
      <c r="O403" s="88" t="n"/>
      <c r="P403" s="94">
        <f>IF($G403="","",IF($G403&gt;=60,"Arrêt majeur — analyse 5 pourquoi",IF($G403&gt;=30,"À analyser en revue quotidienne",IF($K403="Planifié","Arrêt planifié","Aléa courant"))))</f>
        <v/>
      </c>
      <c r="Q403" s="95">
        <f>IF($A403="",0,IF(AND(OR(COCKPIT!$H$4="Toutes",$C403=COCKPIT!$H$4),OR(COCKPIT!$K$4="Toutes",$B403=COCKPIT!$K$4)),1,0))</f>
        <v/>
      </c>
    </row>
    <row r="404" ht="15" customHeight="1">
      <c r="A404" s="87" t="n"/>
      <c r="B404" s="88" t="n"/>
      <c r="C404" s="88" t="n"/>
      <c r="D404" s="88" t="n"/>
      <c r="E404" s="96" t="n"/>
      <c r="F404" s="96" t="n"/>
      <c r="G404" s="92">
        <f>IF(OR($E404="",$F404=""),"",ROUND(($F404-$E404+IF($F404&lt;$E404,1,0))*1440,0))</f>
        <v/>
      </c>
      <c r="H404" s="88" t="n"/>
      <c r="I404" s="94">
        <f>IF($H404="","",IFERROR(INDEX(PARAMETRES!$S$7:$S$46,MATCH($H404,PARAMETRES!$R$7:$R$46,0)),"Code inconnu"))</f>
        <v/>
      </c>
      <c r="J404" s="94">
        <f>IF($H404="","",IFERROR(INDEX(PARAMETRES!$T$7:$T$46,MATCH($H404,PARAMETRES!$R$7:$R$46,0)),""))</f>
        <v/>
      </c>
      <c r="K404" s="94">
        <f>IF($H404="","",IFERROR(INDEX(PARAMETRES!$U$7:$U$46,MATCH($H404,PARAMETRES!$R$7:$R$46,0)),""))</f>
        <v/>
      </c>
      <c r="L404" s="94">
        <f>IF($H404="","",IFERROR(INDEX(PARAMETRES!$V$7:$V$46,MATCH($H404,PARAMETRES!$R$7:$R$46,0)),""))</f>
        <v/>
      </c>
      <c r="M404" s="88" t="n"/>
      <c r="N404" s="88" t="n"/>
      <c r="O404" s="88" t="n"/>
      <c r="P404" s="94">
        <f>IF($G404="","",IF($G404&gt;=60,"Arrêt majeur — analyse 5 pourquoi",IF($G404&gt;=30,"À analyser en revue quotidienne",IF($K404="Planifié","Arrêt planifié","Aléa courant"))))</f>
        <v/>
      </c>
      <c r="Q404" s="95">
        <f>IF($A404="",0,IF(AND(OR(COCKPIT!$H$4="Toutes",$C404=COCKPIT!$H$4),OR(COCKPIT!$K$4="Toutes",$B404=COCKPIT!$K$4)),1,0))</f>
        <v/>
      </c>
    </row>
  </sheetData>
  <autoFilter ref="A4:Q404"/>
  <mergeCells count="2">
    <mergeCell ref="A2:Q2"/>
    <mergeCell ref="A1:Q1"/>
  </mergeCells>
  <conditionalFormatting sqref="A5:Q404">
    <cfRule type="expression" priority="1" dxfId="4">
      <formula>$G5&gt;=60</formula>
    </cfRule>
    <cfRule type="expression" priority="2" dxfId="6">
      <formula>AND($G5&gt;=30,$G5&lt;60)</formula>
    </cfRule>
  </conditionalFormatting>
  <conditionalFormatting sqref="K5:K404">
    <cfRule type="expression" priority="3" dxfId="7">
      <formula>$K5="Planifié"</formula>
    </cfRule>
  </conditionalFormatting>
  <dataValidations count="4">
    <dataValidation sqref="B5:B404" showDropDown="0" showInputMessage="0" showErrorMessage="1" allowBlank="1" errorTitle="Valeur hors référentiel" error="Choisir une valeur de la liste (onglet PARAMETRES)." type="list">
      <formula1>LST_EQUIPES</formula1>
    </dataValidation>
    <dataValidation sqref="C5:C404" showDropDown="0" showInputMessage="0" showErrorMessage="1" allowBlank="1" errorTitle="Valeur hors référentiel" error="Choisir une valeur de la liste (onglet PARAMETRES)." type="list">
      <formula1>LST_LIGNES</formula1>
    </dataValidation>
    <dataValidation sqref="H5:H404" showDropDown="0" showInputMessage="0" showErrorMessage="1" allowBlank="1" errorTitle="Valeur hors référentiel" error="Choisir une valeur de la liste (onglet PARAMETRES)." type="list">
      <formula1>LST_CAUSES</formula1>
    </dataValidation>
    <dataValidation sqref="A5:A404" showDropDown="0" showInputMessage="0" showErrorMessage="1" allowBlank="1" errorTitle="Date invalide" error="Saisir une date valide." type="date" operator="between">
      <formula1>DATE(2020,1,1)</formula1>
      <formula2>DATE(2099,12,31)</formula2>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worksheet>
</file>

<file path=xl/worksheets/sheet5.xml><?xml version="1.0" encoding="utf-8"?>
<worksheet xmlns="http://schemas.openxmlformats.org/spreadsheetml/2006/main">
  <sheetPr>
    <tabColor rgb="00B5651D"/>
    <outlinePr summaryBelow="1" summaryRight="1"/>
    <pageSetUpPr fitToPage="1"/>
  </sheetPr>
  <dimension ref="A1:Y131"/>
  <sheetViews>
    <sheetView showGridLines="0" zoomScale="85" workbookViewId="0">
      <pane xSplit="4" ySplit="8" topLeftCell="E9"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8" customWidth="1" min="3" max="3"/>
    <col width="20" customWidth="1" min="4" max="4"/>
    <col width="44" customWidth="1" min="5" max="5"/>
    <col width="5" customWidth="1" min="6" max="6"/>
    <col width="5" customWidth="1" min="7" max="7"/>
    <col width="5" customWidth="1" min="8" max="8"/>
    <col width="9" customWidth="1" min="9" max="9"/>
    <col width="14" customWidth="1" min="10" max="10"/>
    <col width="44" customWidth="1" min="11" max="11"/>
    <col width="44" customWidth="1" min="12" max="12"/>
    <col width="15" customWidth="1" min="13" max="13"/>
    <col width="14" customWidth="1" min="14" max="14"/>
    <col width="11" customWidth="1" min="15" max="15"/>
    <col width="8" customWidth="1" min="16" max="16"/>
    <col width="13" customWidth="1" min="17" max="17"/>
    <col width="11" customWidth="1" min="18" max="18"/>
    <col width="8" customWidth="1" min="19" max="19"/>
    <col width="10" customWidth="1" min="20" max="20"/>
    <col width="11" customWidth="1" min="21" max="21"/>
    <col width="11" customWidth="1" min="22" max="22"/>
    <col width="10" customWidth="1" min="23" max="23"/>
    <col width="12" customWidth="1" min="24" max="24"/>
    <col width="34" customWidth="1" min="25" max="25"/>
  </cols>
  <sheetData>
    <row r="1" ht="30" customHeight="1">
      <c r="A1" s="1" t="inlineStr">
        <is>
          <t>PLAN D'ACTIONS  —  résolution de problème structurée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ht="18" customHeight="1">
      <c r="A2" s="3" t="inlineStr">
        <is>
          <t>Règle d'animation : aucun problème sans fait mesuré, sans cause racine validée, sans pilote nommé et sans date cible. Trois chantiers de fond ouverts au maximum. Criticité IPR = Gravité × Fréquence × Détection (échelle 1 à 5).</t>
        </is>
      </c>
    </row>
    <row r="4" ht="20" customHeight="1">
      <c r="A4" s="4" t="inlineStr">
        <is>
          <t>SYNTHÈSE DU PLAN D'ACTIONS  —  calculée automatiquement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row>
    <row r="5" ht="26" customHeight="1">
      <c r="A5" s="97" t="inlineStr">
        <is>
          <t>Actions ouvertes</t>
        </is>
      </c>
      <c r="B5" s="70" t="n"/>
      <c r="C5" s="70" t="n"/>
      <c r="D5" s="97" t="inlineStr">
        <is>
          <t>Dont en retard</t>
        </is>
      </c>
      <c r="E5" s="70" t="n"/>
      <c r="F5" s="70" t="n"/>
      <c r="G5" s="97" t="inlineStr">
        <is>
          <t>Respect des délais</t>
        </is>
      </c>
      <c r="H5" s="70" t="n"/>
      <c r="I5" s="70" t="n"/>
      <c r="J5" s="97" t="inlineStr">
        <is>
          <t>Délai moyen de traitement</t>
        </is>
      </c>
      <c r="K5" s="70" t="n"/>
      <c r="L5" s="70" t="n"/>
      <c r="M5" s="97" t="inlineStr">
        <is>
          <t>Criticité moyenne (IPR)</t>
        </is>
      </c>
      <c r="N5" s="70" t="n"/>
      <c r="O5" s="70" t="n"/>
      <c r="P5" s="97" t="inlineStr">
        <is>
          <t>Actions critiques (IPR ≥ 30)</t>
        </is>
      </c>
      <c r="Q5" s="70" t="n"/>
      <c r="R5" s="70" t="n"/>
      <c r="S5" s="97" t="inlineStr">
        <is>
          <t>Efficacité confirmée</t>
        </is>
      </c>
      <c r="T5" s="70" t="n"/>
      <c r="U5" s="70" t="n"/>
      <c r="V5" s="97" t="inlineStr">
        <is>
          <t>Gains sécurisés (€/an)</t>
        </is>
      </c>
      <c r="W5" s="70" t="n"/>
      <c r="X5" s="70" t="n"/>
      <c r="Y5" s="70" t="n"/>
    </row>
    <row r="6" ht="26" customHeight="1">
      <c r="A6" s="98">
        <f>COUNTIF($Q$9:$Q$128,"À lancer")+COUNTIF($Q$9:$Q$128,"En cours")+COUNTIF($Q$9:$Q$128,"En attente")</f>
        <v/>
      </c>
      <c r="B6" s="11" t="n"/>
      <c r="C6" s="11" t="n"/>
      <c r="D6" s="98">
        <f>SUMPRODUCT(($S$9:$S$128&lt;&gt;"")*($S$9:$S$128&gt;0)*($Q$9:$Q$128&lt;&gt;"Terminée")*($Q$9:$Q$128&lt;&gt;"Abandonnée"))</f>
        <v/>
      </c>
      <c r="E6" s="11" t="n"/>
      <c r="F6" s="11" t="n"/>
      <c r="G6" s="99">
        <f>IFERROR(COUNTIFS($Q$9:$Q$128,"Terminée",$S$9:$S$128,0)/COUNTIF($Q$9:$Q$128,"Terminée"),"")</f>
        <v/>
      </c>
      <c r="H6" s="11" t="n"/>
      <c r="I6" s="11" t="n"/>
      <c r="J6" s="100">
        <f>IFERROR(AVERAGE($T$9:$T$128),"")</f>
        <v/>
      </c>
      <c r="K6" s="11" t="n"/>
      <c r="L6" s="11" t="n"/>
      <c r="M6" s="101">
        <f>IFERROR(AVERAGE($I$9:$I$128),"")</f>
        <v/>
      </c>
      <c r="N6" s="11" t="n"/>
      <c r="O6" s="11" t="n"/>
      <c r="P6" s="98">
        <f>COUNTIF($I$9:$I$128,"&gt;=30")</f>
        <v/>
      </c>
      <c r="Q6" s="11" t="n"/>
      <c r="R6" s="11" t="n"/>
      <c r="S6" s="99">
        <f>IFERROR(COUNTIF($U$9:$U$128,"Oui")/(COUNTIF($U$9:$U$128,"Oui")+COUNTIF($U$9:$U$128,"Non")),"")</f>
        <v/>
      </c>
      <c r="T6" s="11" t="n"/>
      <c r="U6" s="11" t="n"/>
      <c r="V6" s="102">
        <f>SUMIF($Q$9:$Q$128,"Terminée",$X$9:$X$128)</f>
        <v/>
      </c>
      <c r="W6" s="11" t="n"/>
      <c r="X6" s="11" t="n"/>
      <c r="Y6" s="11" t="n"/>
    </row>
    <row r="8" ht="40" customHeight="1">
      <c r="A8" s="86" t="inlineStr">
        <is>
          <t>N°</t>
        </is>
      </c>
      <c r="B8" s="6" t="inlineStr">
        <is>
          <t>Date de
détection</t>
        </is>
      </c>
      <c r="C8" s="6" t="inlineStr">
        <is>
          <t>Source</t>
        </is>
      </c>
      <c r="D8" s="6" t="inlineStr">
        <is>
          <t>Ligne / zone</t>
        </is>
      </c>
      <c r="E8" s="6" t="inlineStr">
        <is>
          <t>Problème constaté (fait mesuré)</t>
        </is>
      </c>
      <c r="F8" s="103" t="inlineStr">
        <is>
          <t>G</t>
        </is>
      </c>
      <c r="G8" s="103" t="inlineStr">
        <is>
          <t>F</t>
        </is>
      </c>
      <c r="H8" s="103" t="inlineStr">
        <is>
          <t>D</t>
        </is>
      </c>
      <c r="I8" s="86" t="inlineStr">
        <is>
          <t>Criticité
(IPR)</t>
        </is>
      </c>
      <c r="J8" s="6" t="inlineStr">
        <is>
          <t>Famille 5M</t>
        </is>
      </c>
      <c r="K8" s="6" t="inlineStr">
        <is>
          <t>Cause racine validée (5 pourquoi)</t>
        </is>
      </c>
      <c r="L8" s="6" t="inlineStr">
        <is>
          <t>Action décidée</t>
        </is>
      </c>
      <c r="M8" s="6" t="inlineStr">
        <is>
          <t>Nature</t>
        </is>
      </c>
      <c r="N8" s="6" t="inlineStr">
        <is>
          <t>Pilote</t>
        </is>
      </c>
      <c r="O8" s="6" t="inlineStr">
        <is>
          <t>Date cible</t>
        </is>
      </c>
      <c r="P8" s="6" t="inlineStr">
        <is>
          <t>Avanc.</t>
        </is>
      </c>
      <c r="Q8" s="6" t="inlineStr">
        <is>
          <t>Statut</t>
        </is>
      </c>
      <c r="R8" s="6" t="inlineStr">
        <is>
          <t>Date de
clôture</t>
        </is>
      </c>
      <c r="S8" s="86" t="inlineStr">
        <is>
          <t>Retard
(j)</t>
        </is>
      </c>
      <c r="T8" s="86" t="inlineStr">
        <is>
          <t>Délai de
traitement (j)</t>
        </is>
      </c>
      <c r="U8" s="6" t="inlineStr">
        <is>
          <t>Efficacité
vérifiée</t>
        </is>
      </c>
      <c r="V8" s="6" t="inlineStr">
        <is>
          <t>Date de
vérification</t>
        </is>
      </c>
      <c r="W8" s="6" t="inlineStr">
        <is>
          <t>Standard
mis à jour</t>
        </is>
      </c>
      <c r="X8" s="6" t="inlineStr">
        <is>
          <t>Gain estimé
(€/an)</t>
        </is>
      </c>
      <c r="Y8" s="6" t="inlineStr">
        <is>
          <t>Commentaire de suivi</t>
        </is>
      </c>
    </row>
    <row r="9" ht="30" customHeight="1">
      <c r="A9" s="104">
        <f>IF($E9="","","A-"&amp;TEXT(ROW()-8,"000"))</f>
        <v/>
      </c>
      <c r="B9" s="87" t="n">
        <v>46030</v>
      </c>
      <c r="C9" s="88" t="inlineStr">
        <is>
          <t>Analyse Pareto TRS</t>
        </is>
      </c>
      <c r="D9" s="88" t="inlineStr">
        <is>
          <t>Ligne 1 - Assemblage</t>
        </is>
      </c>
      <c r="E9" s="105" t="inlineStr">
        <is>
          <t>Arrêts répétés du convoyeur d'alimentation : 185 min perdues sur la semaine 2</t>
        </is>
      </c>
      <c r="F9" s="106" t="n">
        <v>3</v>
      </c>
      <c r="G9" s="106" t="n">
        <v>4</v>
      </c>
      <c r="H9" s="106" t="n">
        <v>3</v>
      </c>
      <c r="I9" s="95">
        <f>IF(OR($F9="",$G9="",$H9=""),"",$F9*$G9*$H9)</f>
        <v/>
      </c>
      <c r="J9" s="88" t="inlineStr">
        <is>
          <t>Machine</t>
        </is>
      </c>
      <c r="K9" s="105" t="inlineStr">
        <is>
          <t>Capteur de position encrassé par les copeaux ; nettoyage absent du plan de maintenance préventive</t>
        </is>
      </c>
      <c r="L9" s="105" t="inlineStr">
        <is>
          <t>Ajouter le nettoyage hebdomadaire du capteur au plan préventif et former les deux équipes</t>
        </is>
      </c>
      <c r="M9" s="88" t="inlineStr">
        <is>
          <t>Préventive (D7)</t>
        </is>
      </c>
      <c r="N9" s="88" t="inlineStr">
        <is>
          <t>DURAND M.</t>
        </is>
      </c>
      <c r="O9" s="87" t="n">
        <v>46044</v>
      </c>
      <c r="P9" s="107" t="n">
        <v>0.6</v>
      </c>
      <c r="Q9" s="88" t="inlineStr">
        <is>
          <t>En cours</t>
        </is>
      </c>
      <c r="R9" s="87" t="n"/>
      <c r="S9" s="92">
        <f>IF($O9="","",IF(OR($Q9="Terminée",$Q9="Abandonnée"),IF($R9="","",MAX(0,$R9-$O9)),MAX(0,TODAY()-$O9)))</f>
        <v/>
      </c>
      <c r="T9" s="92">
        <f>IF(OR($R9="",$B9=""),"",$R9-$B9)</f>
        <v/>
      </c>
      <c r="U9" s="88" t="inlineStr">
        <is>
          <t>En attente</t>
        </is>
      </c>
      <c r="V9" s="87" t="n"/>
      <c r="W9" s="88" t="inlineStr">
        <is>
          <t>Oui</t>
        </is>
      </c>
      <c r="X9" s="108" t="n">
        <v>14000</v>
      </c>
      <c r="Y9" s="105" t="inlineStr">
        <is>
          <t>Vérifier l'absence de récidive sur 4 semaines glissantes</t>
        </is>
      </c>
    </row>
    <row r="10" ht="30" customHeight="1">
      <c r="A10" s="104">
        <f>IF($E10="","","A-"&amp;TEXT(ROW()-8,"000"))</f>
        <v/>
      </c>
      <c r="B10" s="87" t="n">
        <v>46031</v>
      </c>
      <c r="C10" s="88" t="inlineStr">
        <is>
          <t>Qualité client</t>
        </is>
      </c>
      <c r="D10" s="88" t="inlineStr">
        <is>
          <t>Ligne 2 - Usinage</t>
        </is>
      </c>
      <c r="E10" s="105" t="inlineStr">
        <is>
          <t>Réclamation client : cote de perçage hors tolérance sur le lot OF-01018 (12 pièces)</t>
        </is>
      </c>
      <c r="F10" s="106" t="n">
        <v>5</v>
      </c>
      <c r="G10" s="106" t="n">
        <v>2</v>
      </c>
      <c r="H10" s="106" t="n">
        <v>4</v>
      </c>
      <c r="I10" s="95">
        <f>IF(OR($F10="",$G10="",$H10=""),"",$F10*$G10*$H10)</f>
        <v/>
      </c>
      <c r="J10" s="88" t="inlineStr">
        <is>
          <t>Méthode</t>
        </is>
      </c>
      <c r="K10" s="105" t="inlineStr">
        <is>
          <t>Absence de contrôle de la première pièce après changement d'outil coupant</t>
        </is>
      </c>
      <c r="L10" s="105" t="inlineStr">
        <is>
          <t>Rendre bloquante la validation première pièce après tout changement d'outil (autocontrôle + visa)</t>
        </is>
      </c>
      <c r="M10" s="88" t="inlineStr">
        <is>
          <t>Corrective (D5)</t>
        </is>
      </c>
      <c r="N10" s="88" t="inlineStr">
        <is>
          <t>LEROY S.</t>
        </is>
      </c>
      <c r="O10" s="87" t="n">
        <v>46038</v>
      </c>
      <c r="P10" s="107" t="n">
        <v>1</v>
      </c>
      <c r="Q10" s="88" t="inlineStr">
        <is>
          <t>Terminée</t>
        </is>
      </c>
      <c r="R10" s="87" t="n">
        <v>46037</v>
      </c>
      <c r="S10" s="92">
        <f>IF($O10="","",IF(OR($Q10="Terminée",$Q10="Abandonnée"),IF($R10="","",MAX(0,$R10-$O10)),MAX(0,TODAY()-$O10)))</f>
        <v/>
      </c>
      <c r="T10" s="92">
        <f>IF(OR($R10="",$B10=""),"",$R10-$B10)</f>
        <v/>
      </c>
      <c r="U10" s="88" t="inlineStr">
        <is>
          <t>Oui</t>
        </is>
      </c>
      <c r="V10" s="87" t="n">
        <v>46066</v>
      </c>
      <c r="W10" s="88" t="inlineStr">
        <is>
          <t>Oui</t>
        </is>
      </c>
      <c r="X10" s="108" t="n">
        <v>22000</v>
      </c>
      <c r="Y10" s="105" t="inlineStr">
        <is>
          <t>Standard de poste et gamme de contrôle mis à jour</t>
        </is>
      </c>
    </row>
    <row r="11" ht="30" customHeight="1">
      <c r="A11" s="104">
        <f>IF($E11="","","A-"&amp;TEXT(ROW()-8,"000"))</f>
        <v/>
      </c>
      <c r="B11" s="87" t="n">
        <v>46035</v>
      </c>
      <c r="C11" s="88" t="inlineStr">
        <is>
          <t>Sécurité</t>
        </is>
      </c>
      <c r="D11" s="88" t="inlineStr">
        <is>
          <t>Ligne 1 - Assemblage</t>
        </is>
      </c>
      <c r="E11" s="105" t="inlineStr">
        <is>
          <t>Accident avec arrêt : coupure à la main lors de l'évacuation des chutes</t>
        </is>
      </c>
      <c r="F11" s="106" t="n">
        <v>5</v>
      </c>
      <c r="G11" s="106" t="n">
        <v>1</v>
      </c>
      <c r="H11" s="106" t="n">
        <v>3</v>
      </c>
      <c r="I11" s="95">
        <f>IF(OR($F11="",$G11="",$H11=""),"",$F11*$G11*$H11)</f>
        <v/>
      </c>
      <c r="J11" s="88" t="inlineStr">
        <is>
          <t>Milieu</t>
        </is>
      </c>
      <c r="K11" s="105" t="inlineStr">
        <is>
          <t>Bac d'évacuation des chutes sans protection, gants inadaptés au risque de coupure</t>
        </is>
      </c>
      <c r="L11" s="105" t="inlineStr">
        <is>
          <t>Installer un bac fermé et déployer des gants anti-coupure niveau C sur les deux lignes</t>
        </is>
      </c>
      <c r="M11" s="88" t="inlineStr">
        <is>
          <t>Corrective (D5)</t>
        </is>
      </c>
      <c r="N11" s="88" t="inlineStr">
        <is>
          <t>BAKARI F.</t>
        </is>
      </c>
      <c r="O11" s="87" t="n">
        <v>46042</v>
      </c>
      <c r="P11" s="107" t="n">
        <v>1</v>
      </c>
      <c r="Q11" s="88" t="inlineStr">
        <is>
          <t>Terminée</t>
        </is>
      </c>
      <c r="R11" s="87" t="n">
        <v>46041</v>
      </c>
      <c r="S11" s="92">
        <f>IF($O11="","",IF(OR($Q11="Terminée",$Q11="Abandonnée"),IF($R11="","",MAX(0,$R11-$O11)),MAX(0,TODAY()-$O11)))</f>
        <v/>
      </c>
      <c r="T11" s="92">
        <f>IF(OR($R11="",$B11=""),"",$R11-$B11)</f>
        <v/>
      </c>
      <c r="U11" s="88" t="inlineStr">
        <is>
          <t>Oui</t>
        </is>
      </c>
      <c r="V11" s="87" t="n">
        <v>46072</v>
      </c>
      <c r="W11" s="88" t="inlineStr">
        <is>
          <t>Oui</t>
        </is>
      </c>
      <c r="X11" s="108" t="n">
        <v>0</v>
      </c>
      <c r="Y11" s="105" t="inlineStr">
        <is>
          <t>Analyse d'accident diffusée aux trois équipes</t>
        </is>
      </c>
    </row>
    <row r="12" ht="30" customHeight="1">
      <c r="A12" s="104">
        <f>IF($E12="","","A-"&amp;TEXT(ROW()-8,"000"))</f>
        <v/>
      </c>
      <c r="B12" s="87" t="n">
        <v>46036</v>
      </c>
      <c r="C12" s="88" t="inlineStr">
        <is>
          <t>Écart quotidien</t>
        </is>
      </c>
      <c r="D12" s="88" t="inlineStr">
        <is>
          <t>Ligne 2 - Usinage</t>
        </is>
      </c>
      <c r="E12" s="105" t="inlineStr">
        <is>
          <t>Temps de changement de série moyen de 38 min contre 25 min au standard</t>
        </is>
      </c>
      <c r="F12" s="106" t="n">
        <v>3</v>
      </c>
      <c r="G12" s="106" t="n">
        <v>5</v>
      </c>
      <c r="H12" s="106" t="n">
        <v>2</v>
      </c>
      <c r="I12" s="95">
        <f>IF(OR($F12="",$G12="",$H12=""),"",$F12*$G12*$H12)</f>
        <v/>
      </c>
      <c r="J12" s="88" t="inlineStr">
        <is>
          <t>Méthode</t>
        </is>
      </c>
      <c r="K12" s="105" t="inlineStr">
        <is>
          <t>Outillage et moyens de contrôle non préparés avant l'arrêt machine (pas de séparation interne/externe)</t>
        </is>
      </c>
      <c r="L12" s="105" t="inlineStr">
        <is>
          <t>Déployer un chantier SMED : préparation externe systématique et chariot de changement dédié</t>
        </is>
      </c>
      <c r="M12" s="88" t="inlineStr">
        <is>
          <t>Amélioration</t>
        </is>
      </c>
      <c r="N12" s="88" t="inlineStr">
        <is>
          <t>MARCHAND J.</t>
        </is>
      </c>
      <c r="O12" s="87" t="n">
        <v>46066</v>
      </c>
      <c r="P12" s="107" t="n">
        <v>0.35</v>
      </c>
      <c r="Q12" s="88" t="inlineStr">
        <is>
          <t>En cours</t>
        </is>
      </c>
      <c r="R12" s="87" t="n"/>
      <c r="S12" s="92">
        <f>IF($O12="","",IF(OR($Q12="Terminée",$Q12="Abandonnée"),IF($R12="","",MAX(0,$R12-$O12)),MAX(0,TODAY()-$O12)))</f>
        <v/>
      </c>
      <c r="T12" s="92">
        <f>IF(OR($R12="",$B12=""),"",$R12-$B12)</f>
        <v/>
      </c>
      <c r="U12" s="88" t="inlineStr">
        <is>
          <t>En attente</t>
        </is>
      </c>
      <c r="V12" s="87" t="n"/>
      <c r="W12" s="88" t="inlineStr">
        <is>
          <t>Non</t>
        </is>
      </c>
      <c r="X12" s="108" t="n">
        <v>31000</v>
      </c>
      <c r="Y12" s="105" t="inlineStr">
        <is>
          <t>Chantier de fond n°1 — objectif 20 min</t>
        </is>
      </c>
    </row>
    <row r="13" ht="30" customHeight="1">
      <c r="A13" s="104">
        <f>IF($E13="","","A-"&amp;TEXT(ROW()-8,"000"))</f>
        <v/>
      </c>
      <c r="B13" s="87" t="n">
        <v>46038</v>
      </c>
      <c r="C13" s="88" t="inlineStr">
        <is>
          <t>Audit 5S</t>
        </is>
      </c>
      <c r="D13" s="88" t="inlineStr">
        <is>
          <t>Ligne 3 - Conditionnement</t>
        </is>
      </c>
      <c r="E13" s="105" t="inlineStr">
        <is>
          <t>Zone de conditionnement notée 2,1/4 : allées encombrées par les en-cours</t>
        </is>
      </c>
      <c r="F13" s="106" t="n">
        <v>2</v>
      </c>
      <c r="G13" s="106" t="n">
        <v>4</v>
      </c>
      <c r="H13" s="106" t="n">
        <v>1</v>
      </c>
      <c r="I13" s="95">
        <f>IF(OR($F13="",$G13="",$H13=""),"",$F13*$G13*$H13)</f>
        <v/>
      </c>
      <c r="J13" s="88" t="inlineStr">
        <is>
          <t>Milieu</t>
        </is>
      </c>
      <c r="K13" s="105" t="inlineStr">
        <is>
          <t>Limite d'en-cours non définie et non matérialisée au sol</t>
        </is>
      </c>
      <c r="L13" s="105" t="inlineStr">
        <is>
          <t>Définir un plafond d'en-cours, marquer les emplacements au sol et afficher la règle</t>
        </is>
      </c>
      <c r="M13" s="88" t="inlineStr">
        <is>
          <t>Corrective (D5)</t>
        </is>
      </c>
      <c r="N13" s="88" t="inlineStr">
        <is>
          <t>SOW I.</t>
        </is>
      </c>
      <c r="O13" s="87" t="n">
        <v>46052</v>
      </c>
      <c r="P13" s="107" t="n">
        <v>0.5</v>
      </c>
      <c r="Q13" s="88" t="inlineStr">
        <is>
          <t>En cours</t>
        </is>
      </c>
      <c r="R13" s="87" t="n"/>
      <c r="S13" s="92">
        <f>IF($O13="","",IF(OR($Q13="Terminée",$Q13="Abandonnée"),IF($R13="","",MAX(0,$R13-$O13)),MAX(0,TODAY()-$O13)))</f>
        <v/>
      </c>
      <c r="T13" s="92">
        <f>IF(OR($R13="",$B13=""),"",$R13-$B13)</f>
        <v/>
      </c>
      <c r="U13" s="88" t="inlineStr">
        <is>
          <t>En attente</t>
        </is>
      </c>
      <c r="V13" s="87" t="n"/>
      <c r="W13" s="88" t="inlineStr">
        <is>
          <t>Non</t>
        </is>
      </c>
      <c r="X13" s="108" t="n">
        <v>0</v>
      </c>
      <c r="Y13" s="105" t="inlineStr">
        <is>
          <t>Recontrôle au prochain audit 5S</t>
        </is>
      </c>
    </row>
    <row r="14" ht="30" customHeight="1">
      <c r="A14" s="104">
        <f>IF($E14="","","A-"&amp;TEXT(ROW()-8,"000"))</f>
        <v/>
      </c>
      <c r="B14" s="87" t="n">
        <v>46041</v>
      </c>
      <c r="C14" s="88" t="inlineStr">
        <is>
          <t>Idée opérateur</t>
        </is>
      </c>
      <c r="D14" s="88" t="inlineStr">
        <is>
          <t>Ligne 1 - Assemblage</t>
        </is>
      </c>
      <c r="E14" s="105" t="inlineStr">
        <is>
          <t>Recherche d'outillage au poste d'assemblage : 5 à 8 min perdues par poste</t>
        </is>
      </c>
      <c r="F14" s="106" t="n">
        <v>1</v>
      </c>
      <c r="G14" s="106" t="n">
        <v>5</v>
      </c>
      <c r="H14" s="106" t="n">
        <v>2</v>
      </c>
      <c r="I14" s="95">
        <f>IF(OR($F14="",$G14="",$H14=""),"",$F14*$G14*$H14)</f>
        <v/>
      </c>
      <c r="J14" s="88" t="inlineStr">
        <is>
          <t>Milieu</t>
        </is>
      </c>
      <c r="K14" s="105" t="inlineStr">
        <is>
          <t>Aucun emplacement dédié aux outils de réglage</t>
        </is>
      </c>
      <c r="L14" s="105" t="inlineStr">
        <is>
          <t>Réaliser un panneau d'ombres (shadow board) au poste d'assemblage</t>
        </is>
      </c>
      <c r="M14" s="88" t="inlineStr">
        <is>
          <t>Amélioration</t>
        </is>
      </c>
      <c r="N14" s="88" t="inlineStr">
        <is>
          <t>PETIT C.</t>
        </is>
      </c>
      <c r="O14" s="87" t="n">
        <v>46059</v>
      </c>
      <c r="P14" s="107" t="n">
        <v>0.2</v>
      </c>
      <c r="Q14" s="88" t="inlineStr">
        <is>
          <t>En cours</t>
        </is>
      </c>
      <c r="R14" s="87" t="n"/>
      <c r="S14" s="92">
        <f>IF($O14="","",IF(OR($Q14="Terminée",$Q14="Abandonnée"),IF($R14="","",MAX(0,$R14-$O14)),MAX(0,TODAY()-$O14)))</f>
        <v/>
      </c>
      <c r="T14" s="92">
        <f>IF(OR($R14="",$B14=""),"",$R14-$B14)</f>
        <v/>
      </c>
      <c r="U14" s="88" t="inlineStr">
        <is>
          <t>En attente</t>
        </is>
      </c>
      <c r="V14" s="87" t="n"/>
      <c r="W14" s="88" t="inlineStr">
        <is>
          <t>Non</t>
        </is>
      </c>
      <c r="X14" s="108" t="n">
        <v>6000</v>
      </c>
      <c r="Y14" s="105" t="inlineStr">
        <is>
          <t>Proposée par l'équipe A lors du point 5 minutes</t>
        </is>
      </c>
    </row>
    <row r="15" ht="30" customHeight="1">
      <c r="A15" s="104">
        <f>IF($E15="","","A-"&amp;TEXT(ROW()-8,"000"))</f>
        <v/>
      </c>
      <c r="B15" s="87" t="n">
        <v>46042</v>
      </c>
      <c r="C15" s="88" t="inlineStr">
        <is>
          <t>Écart quotidien</t>
        </is>
      </c>
      <c r="D15" s="88" t="inlineStr">
        <is>
          <t>Ligne 2 - Usinage</t>
        </is>
      </c>
      <c r="E15" s="105" t="inlineStr">
        <is>
          <t>Rupture matière sur REF-2002 : 55 min d'arrêt le 20/01</t>
        </is>
      </c>
      <c r="F15" s="106" t="n">
        <v>3</v>
      </c>
      <c r="G15" s="106" t="n">
        <v>3</v>
      </c>
      <c r="H15" s="106" t="n">
        <v>3</v>
      </c>
      <c r="I15" s="95">
        <f>IF(OR($F15="",$G15="",$H15=""),"",$F15*$G15*$H15)</f>
        <v/>
      </c>
      <c r="J15" s="88" t="inlineStr">
        <is>
          <t>Matière</t>
        </is>
      </c>
      <c r="K15" s="105" t="inlineStr">
        <is>
          <t>Seuil de réapprovisionnement calculé sans tenir compte du délai fournisseur réel (8 j au lieu de 5 j)</t>
        </is>
      </c>
      <c r="L15" s="105" t="inlineStr">
        <is>
          <t>Recalculer les points de commande sur la base des délais réels et alerter à J-3</t>
        </is>
      </c>
      <c r="M15" s="88" t="inlineStr">
        <is>
          <t>Préventive (D7)</t>
        </is>
      </c>
      <c r="N15" s="88" t="inlineStr">
        <is>
          <t>NGOM A.</t>
        </is>
      </c>
      <c r="O15" s="87" t="n">
        <v>46056</v>
      </c>
      <c r="P15" s="107" t="n">
        <v>0</v>
      </c>
      <c r="Q15" s="88" t="inlineStr">
        <is>
          <t>À lancer</t>
        </is>
      </c>
      <c r="R15" s="87" t="n"/>
      <c r="S15" s="92">
        <f>IF($O15="","",IF(OR($Q15="Terminée",$Q15="Abandonnée"),IF($R15="","",MAX(0,$R15-$O15)),MAX(0,TODAY()-$O15)))</f>
        <v/>
      </c>
      <c r="T15" s="92">
        <f>IF(OR($R15="",$B15=""),"",$R15-$B15)</f>
        <v/>
      </c>
      <c r="U15" s="88" t="inlineStr">
        <is>
          <t>En attente</t>
        </is>
      </c>
      <c r="V15" s="87" t="n"/>
      <c r="W15" s="88" t="inlineStr">
        <is>
          <t>Non</t>
        </is>
      </c>
      <c r="X15" s="108" t="n">
        <v>9000</v>
      </c>
      <c r="Y15" s="105" t="inlineStr">
        <is>
          <t>À traiter avec le service approvisionnement</t>
        </is>
      </c>
    </row>
    <row r="16" ht="30" customHeight="1">
      <c r="A16" s="104">
        <f>IF($E16="","","A-"&amp;TEXT(ROW()-8,"000"))</f>
        <v/>
      </c>
      <c r="B16" s="87" t="n">
        <v>46044</v>
      </c>
      <c r="C16" s="88" t="inlineStr">
        <is>
          <t>Analyse Pareto TRS</t>
        </is>
      </c>
      <c r="D16" s="88" t="inlineStr">
        <is>
          <t>Ligne 1 - Assemblage</t>
        </is>
      </c>
      <c r="E16" s="105" t="inlineStr">
        <is>
          <t>Micro-arrêts récurrents en fin de poste (bourrage évacuation)</t>
        </is>
      </c>
      <c r="F16" s="106" t="n">
        <v>2</v>
      </c>
      <c r="G16" s="106" t="n">
        <v>4</v>
      </c>
      <c r="H16" s="106" t="n">
        <v>4</v>
      </c>
      <c r="I16" s="95">
        <f>IF(OR($F16="",$G16="",$H16=""),"",$F16*$G16*$H16)</f>
        <v/>
      </c>
      <c r="J16" s="88" t="inlineStr">
        <is>
          <t>Machine</t>
        </is>
      </c>
      <c r="K16" s="105" t="inlineStr">
        <is>
          <t>Guide d'évacuation déréglé, aucun standard de contrôle en fin de poste</t>
        </is>
      </c>
      <c r="L16" s="105" t="inlineStr">
        <is>
          <t>Régler le guide et ajouter le point au standard de fin de poste</t>
        </is>
      </c>
      <c r="M16" s="88" t="inlineStr">
        <is>
          <t>Corrective (D5)</t>
        </is>
      </c>
      <c r="N16" s="88" t="inlineStr">
        <is>
          <t>GARNIER L.</t>
        </is>
      </c>
      <c r="O16" s="87" t="n">
        <v>46050</v>
      </c>
      <c r="P16" s="107" t="n">
        <v>0.8</v>
      </c>
      <c r="Q16" s="88" t="inlineStr">
        <is>
          <t>En cours</t>
        </is>
      </c>
      <c r="R16" s="87" t="n"/>
      <c r="S16" s="92">
        <f>IF($O16="","",IF(OR($Q16="Terminée",$Q16="Abandonnée"),IF($R16="","",MAX(0,$R16-$O16)),MAX(0,TODAY()-$O16)))</f>
        <v/>
      </c>
      <c r="T16" s="92">
        <f>IF(OR($R16="",$B16=""),"",$R16-$B16)</f>
        <v/>
      </c>
      <c r="U16" s="88" t="inlineStr">
        <is>
          <t>En attente</t>
        </is>
      </c>
      <c r="V16" s="87" t="n"/>
      <c r="W16" s="88" t="inlineStr">
        <is>
          <t>Oui</t>
        </is>
      </c>
      <c r="X16" s="108" t="n">
        <v>7500</v>
      </c>
      <c r="Y16" s="105" t="inlineStr">
        <is>
          <t>Suivi quotidien du nombre de micro-arrêts</t>
        </is>
      </c>
    </row>
    <row r="17" ht="30" customHeight="1">
      <c r="A17" s="104">
        <f>IF($E17="","","A-"&amp;TEXT(ROW()-8,"000"))</f>
        <v/>
      </c>
      <c r="B17" s="87" t="n"/>
      <c r="C17" s="88" t="n"/>
      <c r="D17" s="88" t="n"/>
      <c r="E17" s="105" t="n"/>
      <c r="F17" s="106" t="n"/>
      <c r="G17" s="106" t="n"/>
      <c r="H17" s="106" t="n"/>
      <c r="I17" s="95">
        <f>IF(OR($F17="",$G17="",$H17=""),"",$F17*$G17*$H17)</f>
        <v/>
      </c>
      <c r="J17" s="88" t="n"/>
      <c r="K17" s="105" t="n"/>
      <c r="L17" s="105" t="n"/>
      <c r="M17" s="88" t="n"/>
      <c r="N17" s="88" t="n"/>
      <c r="O17" s="87" t="n"/>
      <c r="P17" s="107" t="n"/>
      <c r="Q17" s="88" t="n"/>
      <c r="R17" s="87" t="n"/>
      <c r="S17" s="92">
        <f>IF($O17="","",IF(OR($Q17="Terminée",$Q17="Abandonnée"),IF($R17="","",MAX(0,$R17-$O17)),MAX(0,TODAY()-$O17)))</f>
        <v/>
      </c>
      <c r="T17" s="92">
        <f>IF(OR($R17="",$B17=""),"",$R17-$B17)</f>
        <v/>
      </c>
      <c r="U17" s="88" t="n"/>
      <c r="V17" s="87" t="n"/>
      <c r="W17" s="88" t="n"/>
      <c r="X17" s="108" t="n"/>
      <c r="Y17" s="105" t="n"/>
    </row>
    <row r="18" ht="30" customHeight="1">
      <c r="A18" s="104">
        <f>IF($E18="","","A-"&amp;TEXT(ROW()-8,"000"))</f>
        <v/>
      </c>
      <c r="B18" s="87" t="n"/>
      <c r="C18" s="88" t="n"/>
      <c r="D18" s="88" t="n"/>
      <c r="E18" s="105" t="n"/>
      <c r="F18" s="106" t="n"/>
      <c r="G18" s="106" t="n"/>
      <c r="H18" s="106" t="n"/>
      <c r="I18" s="95">
        <f>IF(OR($F18="",$G18="",$H18=""),"",$F18*$G18*$H18)</f>
        <v/>
      </c>
      <c r="J18" s="88" t="n"/>
      <c r="K18" s="105" t="n"/>
      <c r="L18" s="105" t="n"/>
      <c r="M18" s="88" t="n"/>
      <c r="N18" s="88" t="n"/>
      <c r="O18" s="87" t="n"/>
      <c r="P18" s="107" t="n"/>
      <c r="Q18" s="88" t="n"/>
      <c r="R18" s="87" t="n"/>
      <c r="S18" s="92">
        <f>IF($O18="","",IF(OR($Q18="Terminée",$Q18="Abandonnée"),IF($R18="","",MAX(0,$R18-$O18)),MAX(0,TODAY()-$O18)))</f>
        <v/>
      </c>
      <c r="T18" s="92">
        <f>IF(OR($R18="",$B18=""),"",$R18-$B18)</f>
        <v/>
      </c>
      <c r="U18" s="88" t="n"/>
      <c r="V18" s="87" t="n"/>
      <c r="W18" s="88" t="n"/>
      <c r="X18" s="108" t="n"/>
      <c r="Y18" s="105" t="n"/>
    </row>
    <row r="19" ht="30" customHeight="1">
      <c r="A19" s="104">
        <f>IF($E19="","","A-"&amp;TEXT(ROW()-8,"000"))</f>
        <v/>
      </c>
      <c r="B19" s="87" t="n"/>
      <c r="C19" s="88" t="n"/>
      <c r="D19" s="88" t="n"/>
      <c r="E19" s="105" t="n"/>
      <c r="F19" s="106" t="n"/>
      <c r="G19" s="106" t="n"/>
      <c r="H19" s="106" t="n"/>
      <c r="I19" s="95">
        <f>IF(OR($F19="",$G19="",$H19=""),"",$F19*$G19*$H19)</f>
        <v/>
      </c>
      <c r="J19" s="88" t="n"/>
      <c r="K19" s="105" t="n"/>
      <c r="L19" s="105" t="n"/>
      <c r="M19" s="88" t="n"/>
      <c r="N19" s="88" t="n"/>
      <c r="O19" s="87" t="n"/>
      <c r="P19" s="107" t="n"/>
      <c r="Q19" s="88" t="n"/>
      <c r="R19" s="87" t="n"/>
      <c r="S19" s="92">
        <f>IF($O19="","",IF(OR($Q19="Terminée",$Q19="Abandonnée"),IF($R19="","",MAX(0,$R19-$O19)),MAX(0,TODAY()-$O19)))</f>
        <v/>
      </c>
      <c r="T19" s="92">
        <f>IF(OR($R19="",$B19=""),"",$R19-$B19)</f>
        <v/>
      </c>
      <c r="U19" s="88" t="n"/>
      <c r="V19" s="87" t="n"/>
      <c r="W19" s="88" t="n"/>
      <c r="X19" s="108" t="n"/>
      <c r="Y19" s="105" t="n"/>
    </row>
    <row r="20" ht="30" customHeight="1">
      <c r="A20" s="104">
        <f>IF($E20="","","A-"&amp;TEXT(ROW()-8,"000"))</f>
        <v/>
      </c>
      <c r="B20" s="87" t="n"/>
      <c r="C20" s="88" t="n"/>
      <c r="D20" s="88" t="n"/>
      <c r="E20" s="105" t="n"/>
      <c r="F20" s="106" t="n"/>
      <c r="G20" s="106" t="n"/>
      <c r="H20" s="106" t="n"/>
      <c r="I20" s="95">
        <f>IF(OR($F20="",$G20="",$H20=""),"",$F20*$G20*$H20)</f>
        <v/>
      </c>
      <c r="J20" s="88" t="n"/>
      <c r="K20" s="105" t="n"/>
      <c r="L20" s="105" t="n"/>
      <c r="M20" s="88" t="n"/>
      <c r="N20" s="88" t="n"/>
      <c r="O20" s="87" t="n"/>
      <c r="P20" s="107" t="n"/>
      <c r="Q20" s="88" t="n"/>
      <c r="R20" s="87" t="n"/>
      <c r="S20" s="92">
        <f>IF($O20="","",IF(OR($Q20="Terminée",$Q20="Abandonnée"),IF($R20="","",MAX(0,$R20-$O20)),MAX(0,TODAY()-$O20)))</f>
        <v/>
      </c>
      <c r="T20" s="92">
        <f>IF(OR($R20="",$B20=""),"",$R20-$B20)</f>
        <v/>
      </c>
      <c r="U20" s="88" t="n"/>
      <c r="V20" s="87" t="n"/>
      <c r="W20" s="88" t="n"/>
      <c r="X20" s="108" t="n"/>
      <c r="Y20" s="105" t="n"/>
    </row>
    <row r="21" ht="30" customHeight="1">
      <c r="A21" s="104">
        <f>IF($E21="","","A-"&amp;TEXT(ROW()-8,"000"))</f>
        <v/>
      </c>
      <c r="B21" s="87" t="n"/>
      <c r="C21" s="88" t="n"/>
      <c r="D21" s="88" t="n"/>
      <c r="E21" s="105" t="n"/>
      <c r="F21" s="106" t="n"/>
      <c r="G21" s="106" t="n"/>
      <c r="H21" s="106" t="n"/>
      <c r="I21" s="95">
        <f>IF(OR($F21="",$G21="",$H21=""),"",$F21*$G21*$H21)</f>
        <v/>
      </c>
      <c r="J21" s="88" t="n"/>
      <c r="K21" s="105" t="n"/>
      <c r="L21" s="105" t="n"/>
      <c r="M21" s="88" t="n"/>
      <c r="N21" s="88" t="n"/>
      <c r="O21" s="87" t="n"/>
      <c r="P21" s="107" t="n"/>
      <c r="Q21" s="88" t="n"/>
      <c r="R21" s="87" t="n"/>
      <c r="S21" s="92">
        <f>IF($O21="","",IF(OR($Q21="Terminée",$Q21="Abandonnée"),IF($R21="","",MAX(0,$R21-$O21)),MAX(0,TODAY()-$O21)))</f>
        <v/>
      </c>
      <c r="T21" s="92">
        <f>IF(OR($R21="",$B21=""),"",$R21-$B21)</f>
        <v/>
      </c>
      <c r="U21" s="88" t="n"/>
      <c r="V21" s="87" t="n"/>
      <c r="W21" s="88" t="n"/>
      <c r="X21" s="108" t="n"/>
      <c r="Y21" s="105" t="n"/>
    </row>
    <row r="22" ht="30" customHeight="1">
      <c r="A22" s="104">
        <f>IF($E22="","","A-"&amp;TEXT(ROW()-8,"000"))</f>
        <v/>
      </c>
      <c r="B22" s="87" t="n"/>
      <c r="C22" s="88" t="n"/>
      <c r="D22" s="88" t="n"/>
      <c r="E22" s="105" t="n"/>
      <c r="F22" s="106" t="n"/>
      <c r="G22" s="106" t="n"/>
      <c r="H22" s="106" t="n"/>
      <c r="I22" s="95">
        <f>IF(OR($F22="",$G22="",$H22=""),"",$F22*$G22*$H22)</f>
        <v/>
      </c>
      <c r="J22" s="88" t="n"/>
      <c r="K22" s="105" t="n"/>
      <c r="L22" s="105" t="n"/>
      <c r="M22" s="88" t="n"/>
      <c r="N22" s="88" t="n"/>
      <c r="O22" s="87" t="n"/>
      <c r="P22" s="107" t="n"/>
      <c r="Q22" s="88" t="n"/>
      <c r="R22" s="87" t="n"/>
      <c r="S22" s="92">
        <f>IF($O22="","",IF(OR($Q22="Terminée",$Q22="Abandonnée"),IF($R22="","",MAX(0,$R22-$O22)),MAX(0,TODAY()-$O22)))</f>
        <v/>
      </c>
      <c r="T22" s="92">
        <f>IF(OR($R22="",$B22=""),"",$R22-$B22)</f>
        <v/>
      </c>
      <c r="U22" s="88" t="n"/>
      <c r="V22" s="87" t="n"/>
      <c r="W22" s="88" t="n"/>
      <c r="X22" s="108" t="n"/>
      <c r="Y22" s="105" t="n"/>
    </row>
    <row r="23" ht="30" customHeight="1">
      <c r="A23" s="104">
        <f>IF($E23="","","A-"&amp;TEXT(ROW()-8,"000"))</f>
        <v/>
      </c>
      <c r="B23" s="87" t="n"/>
      <c r="C23" s="88" t="n"/>
      <c r="D23" s="88" t="n"/>
      <c r="E23" s="105" t="n"/>
      <c r="F23" s="106" t="n"/>
      <c r="G23" s="106" t="n"/>
      <c r="H23" s="106" t="n"/>
      <c r="I23" s="95">
        <f>IF(OR($F23="",$G23="",$H23=""),"",$F23*$G23*$H23)</f>
        <v/>
      </c>
      <c r="J23" s="88" t="n"/>
      <c r="K23" s="105" t="n"/>
      <c r="L23" s="105" t="n"/>
      <c r="M23" s="88" t="n"/>
      <c r="N23" s="88" t="n"/>
      <c r="O23" s="87" t="n"/>
      <c r="P23" s="107" t="n"/>
      <c r="Q23" s="88" t="n"/>
      <c r="R23" s="87" t="n"/>
      <c r="S23" s="92">
        <f>IF($O23="","",IF(OR($Q23="Terminée",$Q23="Abandonnée"),IF($R23="","",MAX(0,$R23-$O23)),MAX(0,TODAY()-$O23)))</f>
        <v/>
      </c>
      <c r="T23" s="92">
        <f>IF(OR($R23="",$B23=""),"",$R23-$B23)</f>
        <v/>
      </c>
      <c r="U23" s="88" t="n"/>
      <c r="V23" s="87" t="n"/>
      <c r="W23" s="88" t="n"/>
      <c r="X23" s="108" t="n"/>
      <c r="Y23" s="105" t="n"/>
    </row>
    <row r="24" ht="30" customHeight="1">
      <c r="A24" s="104">
        <f>IF($E24="","","A-"&amp;TEXT(ROW()-8,"000"))</f>
        <v/>
      </c>
      <c r="B24" s="87" t="n"/>
      <c r="C24" s="88" t="n"/>
      <c r="D24" s="88" t="n"/>
      <c r="E24" s="105" t="n"/>
      <c r="F24" s="106" t="n"/>
      <c r="G24" s="106" t="n"/>
      <c r="H24" s="106" t="n"/>
      <c r="I24" s="95">
        <f>IF(OR($F24="",$G24="",$H24=""),"",$F24*$G24*$H24)</f>
        <v/>
      </c>
      <c r="J24" s="88" t="n"/>
      <c r="K24" s="105" t="n"/>
      <c r="L24" s="105" t="n"/>
      <c r="M24" s="88" t="n"/>
      <c r="N24" s="88" t="n"/>
      <c r="O24" s="87" t="n"/>
      <c r="P24" s="107" t="n"/>
      <c r="Q24" s="88" t="n"/>
      <c r="R24" s="87" t="n"/>
      <c r="S24" s="92">
        <f>IF($O24="","",IF(OR($Q24="Terminée",$Q24="Abandonnée"),IF($R24="","",MAX(0,$R24-$O24)),MAX(0,TODAY()-$O24)))</f>
        <v/>
      </c>
      <c r="T24" s="92">
        <f>IF(OR($R24="",$B24=""),"",$R24-$B24)</f>
        <v/>
      </c>
      <c r="U24" s="88" t="n"/>
      <c r="V24" s="87" t="n"/>
      <c r="W24" s="88" t="n"/>
      <c r="X24" s="108" t="n"/>
      <c r="Y24" s="105" t="n"/>
    </row>
    <row r="25" ht="30" customHeight="1">
      <c r="A25" s="104">
        <f>IF($E25="","","A-"&amp;TEXT(ROW()-8,"000"))</f>
        <v/>
      </c>
      <c r="B25" s="87" t="n"/>
      <c r="C25" s="88" t="n"/>
      <c r="D25" s="88" t="n"/>
      <c r="E25" s="105" t="n"/>
      <c r="F25" s="106" t="n"/>
      <c r="G25" s="106" t="n"/>
      <c r="H25" s="106" t="n"/>
      <c r="I25" s="95">
        <f>IF(OR($F25="",$G25="",$H25=""),"",$F25*$G25*$H25)</f>
        <v/>
      </c>
      <c r="J25" s="88" t="n"/>
      <c r="K25" s="105" t="n"/>
      <c r="L25" s="105" t="n"/>
      <c r="M25" s="88" t="n"/>
      <c r="N25" s="88" t="n"/>
      <c r="O25" s="87" t="n"/>
      <c r="P25" s="107" t="n"/>
      <c r="Q25" s="88" t="n"/>
      <c r="R25" s="87" t="n"/>
      <c r="S25" s="92">
        <f>IF($O25="","",IF(OR($Q25="Terminée",$Q25="Abandonnée"),IF($R25="","",MAX(0,$R25-$O25)),MAX(0,TODAY()-$O25)))</f>
        <v/>
      </c>
      <c r="T25" s="92">
        <f>IF(OR($R25="",$B25=""),"",$R25-$B25)</f>
        <v/>
      </c>
      <c r="U25" s="88" t="n"/>
      <c r="V25" s="87" t="n"/>
      <c r="W25" s="88" t="n"/>
      <c r="X25" s="108" t="n"/>
      <c r="Y25" s="105" t="n"/>
    </row>
    <row r="26" ht="30" customHeight="1">
      <c r="A26" s="104">
        <f>IF($E26="","","A-"&amp;TEXT(ROW()-8,"000"))</f>
        <v/>
      </c>
      <c r="B26" s="87" t="n"/>
      <c r="C26" s="88" t="n"/>
      <c r="D26" s="88" t="n"/>
      <c r="E26" s="105" t="n"/>
      <c r="F26" s="106" t="n"/>
      <c r="G26" s="106" t="n"/>
      <c r="H26" s="106" t="n"/>
      <c r="I26" s="95">
        <f>IF(OR($F26="",$G26="",$H26=""),"",$F26*$G26*$H26)</f>
        <v/>
      </c>
      <c r="J26" s="88" t="n"/>
      <c r="K26" s="105" t="n"/>
      <c r="L26" s="105" t="n"/>
      <c r="M26" s="88" t="n"/>
      <c r="N26" s="88" t="n"/>
      <c r="O26" s="87" t="n"/>
      <c r="P26" s="107" t="n"/>
      <c r="Q26" s="88" t="n"/>
      <c r="R26" s="87" t="n"/>
      <c r="S26" s="92">
        <f>IF($O26="","",IF(OR($Q26="Terminée",$Q26="Abandonnée"),IF($R26="","",MAX(0,$R26-$O26)),MAX(0,TODAY()-$O26)))</f>
        <v/>
      </c>
      <c r="T26" s="92">
        <f>IF(OR($R26="",$B26=""),"",$R26-$B26)</f>
        <v/>
      </c>
      <c r="U26" s="88" t="n"/>
      <c r="V26" s="87" t="n"/>
      <c r="W26" s="88" t="n"/>
      <c r="X26" s="108" t="n"/>
      <c r="Y26" s="105" t="n"/>
    </row>
    <row r="27" ht="30" customHeight="1">
      <c r="A27" s="104">
        <f>IF($E27="","","A-"&amp;TEXT(ROW()-8,"000"))</f>
        <v/>
      </c>
      <c r="B27" s="87" t="n"/>
      <c r="C27" s="88" t="n"/>
      <c r="D27" s="88" t="n"/>
      <c r="E27" s="105" t="n"/>
      <c r="F27" s="106" t="n"/>
      <c r="G27" s="106" t="n"/>
      <c r="H27" s="106" t="n"/>
      <c r="I27" s="95">
        <f>IF(OR($F27="",$G27="",$H27=""),"",$F27*$G27*$H27)</f>
        <v/>
      </c>
      <c r="J27" s="88" t="n"/>
      <c r="K27" s="105" t="n"/>
      <c r="L27" s="105" t="n"/>
      <c r="M27" s="88" t="n"/>
      <c r="N27" s="88" t="n"/>
      <c r="O27" s="87" t="n"/>
      <c r="P27" s="107" t="n"/>
      <c r="Q27" s="88" t="n"/>
      <c r="R27" s="87" t="n"/>
      <c r="S27" s="92">
        <f>IF($O27="","",IF(OR($Q27="Terminée",$Q27="Abandonnée"),IF($R27="","",MAX(0,$R27-$O27)),MAX(0,TODAY()-$O27)))</f>
        <v/>
      </c>
      <c r="T27" s="92">
        <f>IF(OR($R27="",$B27=""),"",$R27-$B27)</f>
        <v/>
      </c>
      <c r="U27" s="88" t="n"/>
      <c r="V27" s="87" t="n"/>
      <c r="W27" s="88" t="n"/>
      <c r="X27" s="108" t="n"/>
      <c r="Y27" s="105" t="n"/>
    </row>
    <row r="28" ht="30" customHeight="1">
      <c r="A28" s="104">
        <f>IF($E28="","","A-"&amp;TEXT(ROW()-8,"000"))</f>
        <v/>
      </c>
      <c r="B28" s="87" t="n"/>
      <c r="C28" s="88" t="n"/>
      <c r="D28" s="88" t="n"/>
      <c r="E28" s="105" t="n"/>
      <c r="F28" s="106" t="n"/>
      <c r="G28" s="106" t="n"/>
      <c r="H28" s="106" t="n"/>
      <c r="I28" s="95">
        <f>IF(OR($F28="",$G28="",$H28=""),"",$F28*$G28*$H28)</f>
        <v/>
      </c>
      <c r="J28" s="88" t="n"/>
      <c r="K28" s="105" t="n"/>
      <c r="L28" s="105" t="n"/>
      <c r="M28" s="88" t="n"/>
      <c r="N28" s="88" t="n"/>
      <c r="O28" s="87" t="n"/>
      <c r="P28" s="107" t="n"/>
      <c r="Q28" s="88" t="n"/>
      <c r="R28" s="87" t="n"/>
      <c r="S28" s="92">
        <f>IF($O28="","",IF(OR($Q28="Terminée",$Q28="Abandonnée"),IF($R28="","",MAX(0,$R28-$O28)),MAX(0,TODAY()-$O28)))</f>
        <v/>
      </c>
      <c r="T28" s="92">
        <f>IF(OR($R28="",$B28=""),"",$R28-$B28)</f>
        <v/>
      </c>
      <c r="U28" s="88" t="n"/>
      <c r="V28" s="87" t="n"/>
      <c r="W28" s="88" t="n"/>
      <c r="X28" s="108" t="n"/>
      <c r="Y28" s="105" t="n"/>
    </row>
    <row r="29" ht="30" customHeight="1">
      <c r="A29" s="104">
        <f>IF($E29="","","A-"&amp;TEXT(ROW()-8,"000"))</f>
        <v/>
      </c>
      <c r="B29" s="87" t="n"/>
      <c r="C29" s="88" t="n"/>
      <c r="D29" s="88" t="n"/>
      <c r="E29" s="105" t="n"/>
      <c r="F29" s="106" t="n"/>
      <c r="G29" s="106" t="n"/>
      <c r="H29" s="106" t="n"/>
      <c r="I29" s="95">
        <f>IF(OR($F29="",$G29="",$H29=""),"",$F29*$G29*$H29)</f>
        <v/>
      </c>
      <c r="J29" s="88" t="n"/>
      <c r="K29" s="105" t="n"/>
      <c r="L29" s="105" t="n"/>
      <c r="M29" s="88" t="n"/>
      <c r="N29" s="88" t="n"/>
      <c r="O29" s="87" t="n"/>
      <c r="P29" s="107" t="n"/>
      <c r="Q29" s="88" t="n"/>
      <c r="R29" s="87" t="n"/>
      <c r="S29" s="92">
        <f>IF($O29="","",IF(OR($Q29="Terminée",$Q29="Abandonnée"),IF($R29="","",MAX(0,$R29-$O29)),MAX(0,TODAY()-$O29)))</f>
        <v/>
      </c>
      <c r="T29" s="92">
        <f>IF(OR($R29="",$B29=""),"",$R29-$B29)</f>
        <v/>
      </c>
      <c r="U29" s="88" t="n"/>
      <c r="V29" s="87" t="n"/>
      <c r="W29" s="88" t="n"/>
      <c r="X29" s="108" t="n"/>
      <c r="Y29" s="105" t="n"/>
    </row>
    <row r="30" ht="30" customHeight="1">
      <c r="A30" s="104">
        <f>IF($E30="","","A-"&amp;TEXT(ROW()-8,"000"))</f>
        <v/>
      </c>
      <c r="B30" s="87" t="n"/>
      <c r="C30" s="88" t="n"/>
      <c r="D30" s="88" t="n"/>
      <c r="E30" s="105" t="n"/>
      <c r="F30" s="106" t="n"/>
      <c r="G30" s="106" t="n"/>
      <c r="H30" s="106" t="n"/>
      <c r="I30" s="95">
        <f>IF(OR($F30="",$G30="",$H30=""),"",$F30*$G30*$H30)</f>
        <v/>
      </c>
      <c r="J30" s="88" t="n"/>
      <c r="K30" s="105" t="n"/>
      <c r="L30" s="105" t="n"/>
      <c r="M30" s="88" t="n"/>
      <c r="N30" s="88" t="n"/>
      <c r="O30" s="87" t="n"/>
      <c r="P30" s="107" t="n"/>
      <c r="Q30" s="88" t="n"/>
      <c r="R30" s="87" t="n"/>
      <c r="S30" s="92">
        <f>IF($O30="","",IF(OR($Q30="Terminée",$Q30="Abandonnée"),IF($R30="","",MAX(0,$R30-$O30)),MAX(0,TODAY()-$O30)))</f>
        <v/>
      </c>
      <c r="T30" s="92">
        <f>IF(OR($R30="",$B30=""),"",$R30-$B30)</f>
        <v/>
      </c>
      <c r="U30" s="88" t="n"/>
      <c r="V30" s="87" t="n"/>
      <c r="W30" s="88" t="n"/>
      <c r="X30" s="108" t="n"/>
      <c r="Y30" s="105" t="n"/>
    </row>
    <row r="31" ht="30" customHeight="1">
      <c r="A31" s="104">
        <f>IF($E31="","","A-"&amp;TEXT(ROW()-8,"000"))</f>
        <v/>
      </c>
      <c r="B31" s="87" t="n"/>
      <c r="C31" s="88" t="n"/>
      <c r="D31" s="88" t="n"/>
      <c r="E31" s="105" t="n"/>
      <c r="F31" s="106" t="n"/>
      <c r="G31" s="106" t="n"/>
      <c r="H31" s="106" t="n"/>
      <c r="I31" s="95">
        <f>IF(OR($F31="",$G31="",$H31=""),"",$F31*$G31*$H31)</f>
        <v/>
      </c>
      <c r="J31" s="88" t="n"/>
      <c r="K31" s="105" t="n"/>
      <c r="L31" s="105" t="n"/>
      <c r="M31" s="88" t="n"/>
      <c r="N31" s="88" t="n"/>
      <c r="O31" s="87" t="n"/>
      <c r="P31" s="107" t="n"/>
      <c r="Q31" s="88" t="n"/>
      <c r="R31" s="87" t="n"/>
      <c r="S31" s="92">
        <f>IF($O31="","",IF(OR($Q31="Terminée",$Q31="Abandonnée"),IF($R31="","",MAX(0,$R31-$O31)),MAX(0,TODAY()-$O31)))</f>
        <v/>
      </c>
      <c r="T31" s="92">
        <f>IF(OR($R31="",$B31=""),"",$R31-$B31)</f>
        <v/>
      </c>
      <c r="U31" s="88" t="n"/>
      <c r="V31" s="87" t="n"/>
      <c r="W31" s="88" t="n"/>
      <c r="X31" s="108" t="n"/>
      <c r="Y31" s="105" t="n"/>
    </row>
    <row r="32" ht="30" customHeight="1">
      <c r="A32" s="104">
        <f>IF($E32="","","A-"&amp;TEXT(ROW()-8,"000"))</f>
        <v/>
      </c>
      <c r="B32" s="87" t="n"/>
      <c r="C32" s="88" t="n"/>
      <c r="D32" s="88" t="n"/>
      <c r="E32" s="105" t="n"/>
      <c r="F32" s="106" t="n"/>
      <c r="G32" s="106" t="n"/>
      <c r="H32" s="106" t="n"/>
      <c r="I32" s="95">
        <f>IF(OR($F32="",$G32="",$H32=""),"",$F32*$G32*$H32)</f>
        <v/>
      </c>
      <c r="J32" s="88" t="n"/>
      <c r="K32" s="105" t="n"/>
      <c r="L32" s="105" t="n"/>
      <c r="M32" s="88" t="n"/>
      <c r="N32" s="88" t="n"/>
      <c r="O32" s="87" t="n"/>
      <c r="P32" s="107" t="n"/>
      <c r="Q32" s="88" t="n"/>
      <c r="R32" s="87" t="n"/>
      <c r="S32" s="92">
        <f>IF($O32="","",IF(OR($Q32="Terminée",$Q32="Abandonnée"),IF($R32="","",MAX(0,$R32-$O32)),MAX(0,TODAY()-$O32)))</f>
        <v/>
      </c>
      <c r="T32" s="92">
        <f>IF(OR($R32="",$B32=""),"",$R32-$B32)</f>
        <v/>
      </c>
      <c r="U32" s="88" t="n"/>
      <c r="V32" s="87" t="n"/>
      <c r="W32" s="88" t="n"/>
      <c r="X32" s="108" t="n"/>
      <c r="Y32" s="105" t="n"/>
    </row>
    <row r="33" ht="30" customHeight="1">
      <c r="A33" s="104">
        <f>IF($E33="","","A-"&amp;TEXT(ROW()-8,"000"))</f>
        <v/>
      </c>
      <c r="B33" s="87" t="n"/>
      <c r="C33" s="88" t="n"/>
      <c r="D33" s="88" t="n"/>
      <c r="E33" s="105" t="n"/>
      <c r="F33" s="106" t="n"/>
      <c r="G33" s="106" t="n"/>
      <c r="H33" s="106" t="n"/>
      <c r="I33" s="95">
        <f>IF(OR($F33="",$G33="",$H33=""),"",$F33*$G33*$H33)</f>
        <v/>
      </c>
      <c r="J33" s="88" t="n"/>
      <c r="K33" s="105" t="n"/>
      <c r="L33" s="105" t="n"/>
      <c r="M33" s="88" t="n"/>
      <c r="N33" s="88" t="n"/>
      <c r="O33" s="87" t="n"/>
      <c r="P33" s="107" t="n"/>
      <c r="Q33" s="88" t="n"/>
      <c r="R33" s="87" t="n"/>
      <c r="S33" s="92">
        <f>IF($O33="","",IF(OR($Q33="Terminée",$Q33="Abandonnée"),IF($R33="","",MAX(0,$R33-$O33)),MAX(0,TODAY()-$O33)))</f>
        <v/>
      </c>
      <c r="T33" s="92">
        <f>IF(OR($R33="",$B33=""),"",$R33-$B33)</f>
        <v/>
      </c>
      <c r="U33" s="88" t="n"/>
      <c r="V33" s="87" t="n"/>
      <c r="W33" s="88" t="n"/>
      <c r="X33" s="108" t="n"/>
      <c r="Y33" s="105" t="n"/>
    </row>
    <row r="34" ht="30" customHeight="1">
      <c r="A34" s="104">
        <f>IF($E34="","","A-"&amp;TEXT(ROW()-8,"000"))</f>
        <v/>
      </c>
      <c r="B34" s="87" t="n"/>
      <c r="C34" s="88" t="n"/>
      <c r="D34" s="88" t="n"/>
      <c r="E34" s="105" t="n"/>
      <c r="F34" s="106" t="n"/>
      <c r="G34" s="106" t="n"/>
      <c r="H34" s="106" t="n"/>
      <c r="I34" s="95">
        <f>IF(OR($F34="",$G34="",$H34=""),"",$F34*$G34*$H34)</f>
        <v/>
      </c>
      <c r="J34" s="88" t="n"/>
      <c r="K34" s="105" t="n"/>
      <c r="L34" s="105" t="n"/>
      <c r="M34" s="88" t="n"/>
      <c r="N34" s="88" t="n"/>
      <c r="O34" s="87" t="n"/>
      <c r="P34" s="107" t="n"/>
      <c r="Q34" s="88" t="n"/>
      <c r="R34" s="87" t="n"/>
      <c r="S34" s="92">
        <f>IF($O34="","",IF(OR($Q34="Terminée",$Q34="Abandonnée"),IF($R34="","",MAX(0,$R34-$O34)),MAX(0,TODAY()-$O34)))</f>
        <v/>
      </c>
      <c r="T34" s="92">
        <f>IF(OR($R34="",$B34=""),"",$R34-$B34)</f>
        <v/>
      </c>
      <c r="U34" s="88" t="n"/>
      <c r="V34" s="87" t="n"/>
      <c r="W34" s="88" t="n"/>
      <c r="X34" s="108" t="n"/>
      <c r="Y34" s="105" t="n"/>
    </row>
    <row r="35" ht="30" customHeight="1">
      <c r="A35" s="104">
        <f>IF($E35="","","A-"&amp;TEXT(ROW()-8,"000"))</f>
        <v/>
      </c>
      <c r="B35" s="87" t="n"/>
      <c r="C35" s="88" t="n"/>
      <c r="D35" s="88" t="n"/>
      <c r="E35" s="105" t="n"/>
      <c r="F35" s="106" t="n"/>
      <c r="G35" s="106" t="n"/>
      <c r="H35" s="106" t="n"/>
      <c r="I35" s="95">
        <f>IF(OR($F35="",$G35="",$H35=""),"",$F35*$G35*$H35)</f>
        <v/>
      </c>
      <c r="J35" s="88" t="n"/>
      <c r="K35" s="105" t="n"/>
      <c r="L35" s="105" t="n"/>
      <c r="M35" s="88" t="n"/>
      <c r="N35" s="88" t="n"/>
      <c r="O35" s="87" t="n"/>
      <c r="P35" s="107" t="n"/>
      <c r="Q35" s="88" t="n"/>
      <c r="R35" s="87" t="n"/>
      <c r="S35" s="92">
        <f>IF($O35="","",IF(OR($Q35="Terminée",$Q35="Abandonnée"),IF($R35="","",MAX(0,$R35-$O35)),MAX(0,TODAY()-$O35)))</f>
        <v/>
      </c>
      <c r="T35" s="92">
        <f>IF(OR($R35="",$B35=""),"",$R35-$B35)</f>
        <v/>
      </c>
      <c r="U35" s="88" t="n"/>
      <c r="V35" s="87" t="n"/>
      <c r="W35" s="88" t="n"/>
      <c r="X35" s="108" t="n"/>
      <c r="Y35" s="105" t="n"/>
    </row>
    <row r="36" ht="30" customHeight="1">
      <c r="A36" s="104">
        <f>IF($E36="","","A-"&amp;TEXT(ROW()-8,"000"))</f>
        <v/>
      </c>
      <c r="B36" s="87" t="n"/>
      <c r="C36" s="88" t="n"/>
      <c r="D36" s="88" t="n"/>
      <c r="E36" s="105" t="n"/>
      <c r="F36" s="106" t="n"/>
      <c r="G36" s="106" t="n"/>
      <c r="H36" s="106" t="n"/>
      <c r="I36" s="95">
        <f>IF(OR($F36="",$G36="",$H36=""),"",$F36*$G36*$H36)</f>
        <v/>
      </c>
      <c r="J36" s="88" t="n"/>
      <c r="K36" s="105" t="n"/>
      <c r="L36" s="105" t="n"/>
      <c r="M36" s="88" t="n"/>
      <c r="N36" s="88" t="n"/>
      <c r="O36" s="87" t="n"/>
      <c r="P36" s="107" t="n"/>
      <c r="Q36" s="88" t="n"/>
      <c r="R36" s="87" t="n"/>
      <c r="S36" s="92">
        <f>IF($O36="","",IF(OR($Q36="Terminée",$Q36="Abandonnée"),IF($R36="","",MAX(0,$R36-$O36)),MAX(0,TODAY()-$O36)))</f>
        <v/>
      </c>
      <c r="T36" s="92">
        <f>IF(OR($R36="",$B36=""),"",$R36-$B36)</f>
        <v/>
      </c>
      <c r="U36" s="88" t="n"/>
      <c r="V36" s="87" t="n"/>
      <c r="W36" s="88" t="n"/>
      <c r="X36" s="108" t="n"/>
      <c r="Y36" s="105" t="n"/>
    </row>
    <row r="37" ht="30" customHeight="1">
      <c r="A37" s="104">
        <f>IF($E37="","","A-"&amp;TEXT(ROW()-8,"000"))</f>
        <v/>
      </c>
      <c r="B37" s="87" t="n"/>
      <c r="C37" s="88" t="n"/>
      <c r="D37" s="88" t="n"/>
      <c r="E37" s="105" t="n"/>
      <c r="F37" s="106" t="n"/>
      <c r="G37" s="106" t="n"/>
      <c r="H37" s="106" t="n"/>
      <c r="I37" s="95">
        <f>IF(OR($F37="",$G37="",$H37=""),"",$F37*$G37*$H37)</f>
        <v/>
      </c>
      <c r="J37" s="88" t="n"/>
      <c r="K37" s="105" t="n"/>
      <c r="L37" s="105" t="n"/>
      <c r="M37" s="88" t="n"/>
      <c r="N37" s="88" t="n"/>
      <c r="O37" s="87" t="n"/>
      <c r="P37" s="107" t="n"/>
      <c r="Q37" s="88" t="n"/>
      <c r="R37" s="87" t="n"/>
      <c r="S37" s="92">
        <f>IF($O37="","",IF(OR($Q37="Terminée",$Q37="Abandonnée"),IF($R37="","",MAX(0,$R37-$O37)),MAX(0,TODAY()-$O37)))</f>
        <v/>
      </c>
      <c r="T37" s="92">
        <f>IF(OR($R37="",$B37=""),"",$R37-$B37)</f>
        <v/>
      </c>
      <c r="U37" s="88" t="n"/>
      <c r="V37" s="87" t="n"/>
      <c r="W37" s="88" t="n"/>
      <c r="X37" s="108" t="n"/>
      <c r="Y37" s="105" t="n"/>
    </row>
    <row r="38" ht="30" customHeight="1">
      <c r="A38" s="104">
        <f>IF($E38="","","A-"&amp;TEXT(ROW()-8,"000"))</f>
        <v/>
      </c>
      <c r="B38" s="87" t="n"/>
      <c r="C38" s="88" t="n"/>
      <c r="D38" s="88" t="n"/>
      <c r="E38" s="105" t="n"/>
      <c r="F38" s="106" t="n"/>
      <c r="G38" s="106" t="n"/>
      <c r="H38" s="106" t="n"/>
      <c r="I38" s="95">
        <f>IF(OR($F38="",$G38="",$H38=""),"",$F38*$G38*$H38)</f>
        <v/>
      </c>
      <c r="J38" s="88" t="n"/>
      <c r="K38" s="105" t="n"/>
      <c r="L38" s="105" t="n"/>
      <c r="M38" s="88" t="n"/>
      <c r="N38" s="88" t="n"/>
      <c r="O38" s="87" t="n"/>
      <c r="P38" s="107" t="n"/>
      <c r="Q38" s="88" t="n"/>
      <c r="R38" s="87" t="n"/>
      <c r="S38" s="92">
        <f>IF($O38="","",IF(OR($Q38="Terminée",$Q38="Abandonnée"),IF($R38="","",MAX(0,$R38-$O38)),MAX(0,TODAY()-$O38)))</f>
        <v/>
      </c>
      <c r="T38" s="92">
        <f>IF(OR($R38="",$B38=""),"",$R38-$B38)</f>
        <v/>
      </c>
      <c r="U38" s="88" t="n"/>
      <c r="V38" s="87" t="n"/>
      <c r="W38" s="88" t="n"/>
      <c r="X38" s="108" t="n"/>
      <c r="Y38" s="105" t="n"/>
    </row>
    <row r="39" ht="30" customHeight="1">
      <c r="A39" s="104">
        <f>IF($E39="","","A-"&amp;TEXT(ROW()-8,"000"))</f>
        <v/>
      </c>
      <c r="B39" s="87" t="n"/>
      <c r="C39" s="88" t="n"/>
      <c r="D39" s="88" t="n"/>
      <c r="E39" s="105" t="n"/>
      <c r="F39" s="106" t="n"/>
      <c r="G39" s="106" t="n"/>
      <c r="H39" s="106" t="n"/>
      <c r="I39" s="95">
        <f>IF(OR($F39="",$G39="",$H39=""),"",$F39*$G39*$H39)</f>
        <v/>
      </c>
      <c r="J39" s="88" t="n"/>
      <c r="K39" s="105" t="n"/>
      <c r="L39" s="105" t="n"/>
      <c r="M39" s="88" t="n"/>
      <c r="N39" s="88" t="n"/>
      <c r="O39" s="87" t="n"/>
      <c r="P39" s="107" t="n"/>
      <c r="Q39" s="88" t="n"/>
      <c r="R39" s="87" t="n"/>
      <c r="S39" s="92">
        <f>IF($O39="","",IF(OR($Q39="Terminée",$Q39="Abandonnée"),IF($R39="","",MAX(0,$R39-$O39)),MAX(0,TODAY()-$O39)))</f>
        <v/>
      </c>
      <c r="T39" s="92">
        <f>IF(OR($R39="",$B39=""),"",$R39-$B39)</f>
        <v/>
      </c>
      <c r="U39" s="88" t="n"/>
      <c r="V39" s="87" t="n"/>
      <c r="W39" s="88" t="n"/>
      <c r="X39" s="108" t="n"/>
      <c r="Y39" s="105" t="n"/>
    </row>
    <row r="40" ht="30" customHeight="1">
      <c r="A40" s="104">
        <f>IF($E40="","","A-"&amp;TEXT(ROW()-8,"000"))</f>
        <v/>
      </c>
      <c r="B40" s="87" t="n"/>
      <c r="C40" s="88" t="n"/>
      <c r="D40" s="88" t="n"/>
      <c r="E40" s="105" t="n"/>
      <c r="F40" s="106" t="n"/>
      <c r="G40" s="106" t="n"/>
      <c r="H40" s="106" t="n"/>
      <c r="I40" s="95">
        <f>IF(OR($F40="",$G40="",$H40=""),"",$F40*$G40*$H40)</f>
        <v/>
      </c>
      <c r="J40" s="88" t="n"/>
      <c r="K40" s="105" t="n"/>
      <c r="L40" s="105" t="n"/>
      <c r="M40" s="88" t="n"/>
      <c r="N40" s="88" t="n"/>
      <c r="O40" s="87" t="n"/>
      <c r="P40" s="107" t="n"/>
      <c r="Q40" s="88" t="n"/>
      <c r="R40" s="87" t="n"/>
      <c r="S40" s="92">
        <f>IF($O40="","",IF(OR($Q40="Terminée",$Q40="Abandonnée"),IF($R40="","",MAX(0,$R40-$O40)),MAX(0,TODAY()-$O40)))</f>
        <v/>
      </c>
      <c r="T40" s="92">
        <f>IF(OR($R40="",$B40=""),"",$R40-$B40)</f>
        <v/>
      </c>
      <c r="U40" s="88" t="n"/>
      <c r="V40" s="87" t="n"/>
      <c r="W40" s="88" t="n"/>
      <c r="X40" s="108" t="n"/>
      <c r="Y40" s="105" t="n"/>
    </row>
    <row r="41" ht="30" customHeight="1">
      <c r="A41" s="104">
        <f>IF($E41="","","A-"&amp;TEXT(ROW()-8,"000"))</f>
        <v/>
      </c>
      <c r="B41" s="87" t="n"/>
      <c r="C41" s="88" t="n"/>
      <c r="D41" s="88" t="n"/>
      <c r="E41" s="105" t="n"/>
      <c r="F41" s="106" t="n"/>
      <c r="G41" s="106" t="n"/>
      <c r="H41" s="106" t="n"/>
      <c r="I41" s="95">
        <f>IF(OR($F41="",$G41="",$H41=""),"",$F41*$G41*$H41)</f>
        <v/>
      </c>
      <c r="J41" s="88" t="n"/>
      <c r="K41" s="105" t="n"/>
      <c r="L41" s="105" t="n"/>
      <c r="M41" s="88" t="n"/>
      <c r="N41" s="88" t="n"/>
      <c r="O41" s="87" t="n"/>
      <c r="P41" s="107" t="n"/>
      <c r="Q41" s="88" t="n"/>
      <c r="R41" s="87" t="n"/>
      <c r="S41" s="92">
        <f>IF($O41="","",IF(OR($Q41="Terminée",$Q41="Abandonnée"),IF($R41="","",MAX(0,$R41-$O41)),MAX(0,TODAY()-$O41)))</f>
        <v/>
      </c>
      <c r="T41" s="92">
        <f>IF(OR($R41="",$B41=""),"",$R41-$B41)</f>
        <v/>
      </c>
      <c r="U41" s="88" t="n"/>
      <c r="V41" s="87" t="n"/>
      <c r="W41" s="88" t="n"/>
      <c r="X41" s="108" t="n"/>
      <c r="Y41" s="105" t="n"/>
    </row>
    <row r="42" ht="30" customHeight="1">
      <c r="A42" s="104">
        <f>IF($E42="","","A-"&amp;TEXT(ROW()-8,"000"))</f>
        <v/>
      </c>
      <c r="B42" s="87" t="n"/>
      <c r="C42" s="88" t="n"/>
      <c r="D42" s="88" t="n"/>
      <c r="E42" s="105" t="n"/>
      <c r="F42" s="106" t="n"/>
      <c r="G42" s="106" t="n"/>
      <c r="H42" s="106" t="n"/>
      <c r="I42" s="95">
        <f>IF(OR($F42="",$G42="",$H42=""),"",$F42*$G42*$H42)</f>
        <v/>
      </c>
      <c r="J42" s="88" t="n"/>
      <c r="K42" s="105" t="n"/>
      <c r="L42" s="105" t="n"/>
      <c r="M42" s="88" t="n"/>
      <c r="N42" s="88" t="n"/>
      <c r="O42" s="87" t="n"/>
      <c r="P42" s="107" t="n"/>
      <c r="Q42" s="88" t="n"/>
      <c r="R42" s="87" t="n"/>
      <c r="S42" s="92">
        <f>IF($O42="","",IF(OR($Q42="Terminée",$Q42="Abandonnée"),IF($R42="","",MAX(0,$R42-$O42)),MAX(0,TODAY()-$O42)))</f>
        <v/>
      </c>
      <c r="T42" s="92">
        <f>IF(OR($R42="",$B42=""),"",$R42-$B42)</f>
        <v/>
      </c>
      <c r="U42" s="88" t="n"/>
      <c r="V42" s="87" t="n"/>
      <c r="W42" s="88" t="n"/>
      <c r="X42" s="108" t="n"/>
      <c r="Y42" s="105" t="n"/>
    </row>
    <row r="43" ht="30" customHeight="1">
      <c r="A43" s="104">
        <f>IF($E43="","","A-"&amp;TEXT(ROW()-8,"000"))</f>
        <v/>
      </c>
      <c r="B43" s="87" t="n"/>
      <c r="C43" s="88" t="n"/>
      <c r="D43" s="88" t="n"/>
      <c r="E43" s="105" t="n"/>
      <c r="F43" s="106" t="n"/>
      <c r="G43" s="106" t="n"/>
      <c r="H43" s="106" t="n"/>
      <c r="I43" s="95">
        <f>IF(OR($F43="",$G43="",$H43=""),"",$F43*$G43*$H43)</f>
        <v/>
      </c>
      <c r="J43" s="88" t="n"/>
      <c r="K43" s="105" t="n"/>
      <c r="L43" s="105" t="n"/>
      <c r="M43" s="88" t="n"/>
      <c r="N43" s="88" t="n"/>
      <c r="O43" s="87" t="n"/>
      <c r="P43" s="107" t="n"/>
      <c r="Q43" s="88" t="n"/>
      <c r="R43" s="87" t="n"/>
      <c r="S43" s="92">
        <f>IF($O43="","",IF(OR($Q43="Terminée",$Q43="Abandonnée"),IF($R43="","",MAX(0,$R43-$O43)),MAX(0,TODAY()-$O43)))</f>
        <v/>
      </c>
      <c r="T43" s="92">
        <f>IF(OR($R43="",$B43=""),"",$R43-$B43)</f>
        <v/>
      </c>
      <c r="U43" s="88" t="n"/>
      <c r="V43" s="87" t="n"/>
      <c r="W43" s="88" t="n"/>
      <c r="X43" s="108" t="n"/>
      <c r="Y43" s="105" t="n"/>
    </row>
    <row r="44" ht="30" customHeight="1">
      <c r="A44" s="104">
        <f>IF($E44="","","A-"&amp;TEXT(ROW()-8,"000"))</f>
        <v/>
      </c>
      <c r="B44" s="87" t="n"/>
      <c r="C44" s="88" t="n"/>
      <c r="D44" s="88" t="n"/>
      <c r="E44" s="105" t="n"/>
      <c r="F44" s="106" t="n"/>
      <c r="G44" s="106" t="n"/>
      <c r="H44" s="106" t="n"/>
      <c r="I44" s="95">
        <f>IF(OR($F44="",$G44="",$H44=""),"",$F44*$G44*$H44)</f>
        <v/>
      </c>
      <c r="J44" s="88" t="n"/>
      <c r="K44" s="105" t="n"/>
      <c r="L44" s="105" t="n"/>
      <c r="M44" s="88" t="n"/>
      <c r="N44" s="88" t="n"/>
      <c r="O44" s="87" t="n"/>
      <c r="P44" s="107" t="n"/>
      <c r="Q44" s="88" t="n"/>
      <c r="R44" s="87" t="n"/>
      <c r="S44" s="92">
        <f>IF($O44="","",IF(OR($Q44="Terminée",$Q44="Abandonnée"),IF($R44="","",MAX(0,$R44-$O44)),MAX(0,TODAY()-$O44)))</f>
        <v/>
      </c>
      <c r="T44" s="92">
        <f>IF(OR($R44="",$B44=""),"",$R44-$B44)</f>
        <v/>
      </c>
      <c r="U44" s="88" t="n"/>
      <c r="V44" s="87" t="n"/>
      <c r="W44" s="88" t="n"/>
      <c r="X44" s="108" t="n"/>
      <c r="Y44" s="105" t="n"/>
    </row>
    <row r="45" ht="30" customHeight="1">
      <c r="A45" s="104">
        <f>IF($E45="","","A-"&amp;TEXT(ROW()-8,"000"))</f>
        <v/>
      </c>
      <c r="B45" s="87" t="n"/>
      <c r="C45" s="88" t="n"/>
      <c r="D45" s="88" t="n"/>
      <c r="E45" s="105" t="n"/>
      <c r="F45" s="106" t="n"/>
      <c r="G45" s="106" t="n"/>
      <c r="H45" s="106" t="n"/>
      <c r="I45" s="95">
        <f>IF(OR($F45="",$G45="",$H45=""),"",$F45*$G45*$H45)</f>
        <v/>
      </c>
      <c r="J45" s="88" t="n"/>
      <c r="K45" s="105" t="n"/>
      <c r="L45" s="105" t="n"/>
      <c r="M45" s="88" t="n"/>
      <c r="N45" s="88" t="n"/>
      <c r="O45" s="87" t="n"/>
      <c r="P45" s="107" t="n"/>
      <c r="Q45" s="88" t="n"/>
      <c r="R45" s="87" t="n"/>
      <c r="S45" s="92">
        <f>IF($O45="","",IF(OR($Q45="Terminée",$Q45="Abandonnée"),IF($R45="","",MAX(0,$R45-$O45)),MAX(0,TODAY()-$O45)))</f>
        <v/>
      </c>
      <c r="T45" s="92">
        <f>IF(OR($R45="",$B45=""),"",$R45-$B45)</f>
        <v/>
      </c>
      <c r="U45" s="88" t="n"/>
      <c r="V45" s="87" t="n"/>
      <c r="W45" s="88" t="n"/>
      <c r="X45" s="108" t="n"/>
      <c r="Y45" s="105" t="n"/>
    </row>
    <row r="46" ht="30" customHeight="1">
      <c r="A46" s="104">
        <f>IF($E46="","","A-"&amp;TEXT(ROW()-8,"000"))</f>
        <v/>
      </c>
      <c r="B46" s="87" t="n"/>
      <c r="C46" s="88" t="n"/>
      <c r="D46" s="88" t="n"/>
      <c r="E46" s="105" t="n"/>
      <c r="F46" s="106" t="n"/>
      <c r="G46" s="106" t="n"/>
      <c r="H46" s="106" t="n"/>
      <c r="I46" s="95">
        <f>IF(OR($F46="",$G46="",$H46=""),"",$F46*$G46*$H46)</f>
        <v/>
      </c>
      <c r="J46" s="88" t="n"/>
      <c r="K46" s="105" t="n"/>
      <c r="L46" s="105" t="n"/>
      <c r="M46" s="88" t="n"/>
      <c r="N46" s="88" t="n"/>
      <c r="O46" s="87" t="n"/>
      <c r="P46" s="107" t="n"/>
      <c r="Q46" s="88" t="n"/>
      <c r="R46" s="87" t="n"/>
      <c r="S46" s="92">
        <f>IF($O46="","",IF(OR($Q46="Terminée",$Q46="Abandonnée"),IF($R46="","",MAX(0,$R46-$O46)),MAX(0,TODAY()-$O46)))</f>
        <v/>
      </c>
      <c r="T46" s="92">
        <f>IF(OR($R46="",$B46=""),"",$R46-$B46)</f>
        <v/>
      </c>
      <c r="U46" s="88" t="n"/>
      <c r="V46" s="87" t="n"/>
      <c r="W46" s="88" t="n"/>
      <c r="X46" s="108" t="n"/>
      <c r="Y46" s="105" t="n"/>
    </row>
    <row r="47" ht="30" customHeight="1">
      <c r="A47" s="104">
        <f>IF($E47="","","A-"&amp;TEXT(ROW()-8,"000"))</f>
        <v/>
      </c>
      <c r="B47" s="87" t="n"/>
      <c r="C47" s="88" t="n"/>
      <c r="D47" s="88" t="n"/>
      <c r="E47" s="105" t="n"/>
      <c r="F47" s="106" t="n"/>
      <c r="G47" s="106" t="n"/>
      <c r="H47" s="106" t="n"/>
      <c r="I47" s="95">
        <f>IF(OR($F47="",$G47="",$H47=""),"",$F47*$G47*$H47)</f>
        <v/>
      </c>
      <c r="J47" s="88" t="n"/>
      <c r="K47" s="105" t="n"/>
      <c r="L47" s="105" t="n"/>
      <c r="M47" s="88" t="n"/>
      <c r="N47" s="88" t="n"/>
      <c r="O47" s="87" t="n"/>
      <c r="P47" s="107" t="n"/>
      <c r="Q47" s="88" t="n"/>
      <c r="R47" s="87" t="n"/>
      <c r="S47" s="92">
        <f>IF($O47="","",IF(OR($Q47="Terminée",$Q47="Abandonnée"),IF($R47="","",MAX(0,$R47-$O47)),MAX(0,TODAY()-$O47)))</f>
        <v/>
      </c>
      <c r="T47" s="92">
        <f>IF(OR($R47="",$B47=""),"",$R47-$B47)</f>
        <v/>
      </c>
      <c r="U47" s="88" t="n"/>
      <c r="V47" s="87" t="n"/>
      <c r="W47" s="88" t="n"/>
      <c r="X47" s="108" t="n"/>
      <c r="Y47" s="105" t="n"/>
    </row>
    <row r="48" ht="30" customHeight="1">
      <c r="A48" s="104">
        <f>IF($E48="","","A-"&amp;TEXT(ROW()-8,"000"))</f>
        <v/>
      </c>
      <c r="B48" s="87" t="n"/>
      <c r="C48" s="88" t="n"/>
      <c r="D48" s="88" t="n"/>
      <c r="E48" s="105" t="n"/>
      <c r="F48" s="106" t="n"/>
      <c r="G48" s="106" t="n"/>
      <c r="H48" s="106" t="n"/>
      <c r="I48" s="95">
        <f>IF(OR($F48="",$G48="",$H48=""),"",$F48*$G48*$H48)</f>
        <v/>
      </c>
      <c r="J48" s="88" t="n"/>
      <c r="K48" s="105" t="n"/>
      <c r="L48" s="105" t="n"/>
      <c r="M48" s="88" t="n"/>
      <c r="N48" s="88" t="n"/>
      <c r="O48" s="87" t="n"/>
      <c r="P48" s="107" t="n"/>
      <c r="Q48" s="88" t="n"/>
      <c r="R48" s="87" t="n"/>
      <c r="S48" s="92">
        <f>IF($O48="","",IF(OR($Q48="Terminée",$Q48="Abandonnée"),IF($R48="","",MAX(0,$R48-$O48)),MAX(0,TODAY()-$O48)))</f>
        <v/>
      </c>
      <c r="T48" s="92">
        <f>IF(OR($R48="",$B48=""),"",$R48-$B48)</f>
        <v/>
      </c>
      <c r="U48" s="88" t="n"/>
      <c r="V48" s="87" t="n"/>
      <c r="W48" s="88" t="n"/>
      <c r="X48" s="108" t="n"/>
      <c r="Y48" s="105" t="n"/>
    </row>
    <row r="49" ht="30" customHeight="1">
      <c r="A49" s="104">
        <f>IF($E49="","","A-"&amp;TEXT(ROW()-8,"000"))</f>
        <v/>
      </c>
      <c r="B49" s="87" t="n"/>
      <c r="C49" s="88" t="n"/>
      <c r="D49" s="88" t="n"/>
      <c r="E49" s="105" t="n"/>
      <c r="F49" s="106" t="n"/>
      <c r="G49" s="106" t="n"/>
      <c r="H49" s="106" t="n"/>
      <c r="I49" s="95">
        <f>IF(OR($F49="",$G49="",$H49=""),"",$F49*$G49*$H49)</f>
        <v/>
      </c>
      <c r="J49" s="88" t="n"/>
      <c r="K49" s="105" t="n"/>
      <c r="L49" s="105" t="n"/>
      <c r="M49" s="88" t="n"/>
      <c r="N49" s="88" t="n"/>
      <c r="O49" s="87" t="n"/>
      <c r="P49" s="107" t="n"/>
      <c r="Q49" s="88" t="n"/>
      <c r="R49" s="87" t="n"/>
      <c r="S49" s="92">
        <f>IF($O49="","",IF(OR($Q49="Terminée",$Q49="Abandonnée"),IF($R49="","",MAX(0,$R49-$O49)),MAX(0,TODAY()-$O49)))</f>
        <v/>
      </c>
      <c r="T49" s="92">
        <f>IF(OR($R49="",$B49=""),"",$R49-$B49)</f>
        <v/>
      </c>
      <c r="U49" s="88" t="n"/>
      <c r="V49" s="87" t="n"/>
      <c r="W49" s="88" t="n"/>
      <c r="X49" s="108" t="n"/>
      <c r="Y49" s="105" t="n"/>
    </row>
    <row r="50" ht="30" customHeight="1">
      <c r="A50" s="104">
        <f>IF($E50="","","A-"&amp;TEXT(ROW()-8,"000"))</f>
        <v/>
      </c>
      <c r="B50" s="87" t="n"/>
      <c r="C50" s="88" t="n"/>
      <c r="D50" s="88" t="n"/>
      <c r="E50" s="105" t="n"/>
      <c r="F50" s="106" t="n"/>
      <c r="G50" s="106" t="n"/>
      <c r="H50" s="106" t="n"/>
      <c r="I50" s="95">
        <f>IF(OR($F50="",$G50="",$H50=""),"",$F50*$G50*$H50)</f>
        <v/>
      </c>
      <c r="J50" s="88" t="n"/>
      <c r="K50" s="105" t="n"/>
      <c r="L50" s="105" t="n"/>
      <c r="M50" s="88" t="n"/>
      <c r="N50" s="88" t="n"/>
      <c r="O50" s="87" t="n"/>
      <c r="P50" s="107" t="n"/>
      <c r="Q50" s="88" t="n"/>
      <c r="R50" s="87" t="n"/>
      <c r="S50" s="92">
        <f>IF($O50="","",IF(OR($Q50="Terminée",$Q50="Abandonnée"),IF($R50="","",MAX(0,$R50-$O50)),MAX(0,TODAY()-$O50)))</f>
        <v/>
      </c>
      <c r="T50" s="92">
        <f>IF(OR($R50="",$B50=""),"",$R50-$B50)</f>
        <v/>
      </c>
      <c r="U50" s="88" t="n"/>
      <c r="V50" s="87" t="n"/>
      <c r="W50" s="88" t="n"/>
      <c r="X50" s="108" t="n"/>
      <c r="Y50" s="105" t="n"/>
    </row>
    <row r="51" ht="30" customHeight="1">
      <c r="A51" s="104">
        <f>IF($E51="","","A-"&amp;TEXT(ROW()-8,"000"))</f>
        <v/>
      </c>
      <c r="B51" s="87" t="n"/>
      <c r="C51" s="88" t="n"/>
      <c r="D51" s="88" t="n"/>
      <c r="E51" s="105" t="n"/>
      <c r="F51" s="106" t="n"/>
      <c r="G51" s="106" t="n"/>
      <c r="H51" s="106" t="n"/>
      <c r="I51" s="95">
        <f>IF(OR($F51="",$G51="",$H51=""),"",$F51*$G51*$H51)</f>
        <v/>
      </c>
      <c r="J51" s="88" t="n"/>
      <c r="K51" s="105" t="n"/>
      <c r="L51" s="105" t="n"/>
      <c r="M51" s="88" t="n"/>
      <c r="N51" s="88" t="n"/>
      <c r="O51" s="87" t="n"/>
      <c r="P51" s="107" t="n"/>
      <c r="Q51" s="88" t="n"/>
      <c r="R51" s="87" t="n"/>
      <c r="S51" s="92">
        <f>IF($O51="","",IF(OR($Q51="Terminée",$Q51="Abandonnée"),IF($R51="","",MAX(0,$R51-$O51)),MAX(0,TODAY()-$O51)))</f>
        <v/>
      </c>
      <c r="T51" s="92">
        <f>IF(OR($R51="",$B51=""),"",$R51-$B51)</f>
        <v/>
      </c>
      <c r="U51" s="88" t="n"/>
      <c r="V51" s="87" t="n"/>
      <c r="W51" s="88" t="n"/>
      <c r="X51" s="108" t="n"/>
      <c r="Y51" s="105" t="n"/>
    </row>
    <row r="52" ht="30" customHeight="1">
      <c r="A52" s="104">
        <f>IF($E52="","","A-"&amp;TEXT(ROW()-8,"000"))</f>
        <v/>
      </c>
      <c r="B52" s="87" t="n"/>
      <c r="C52" s="88" t="n"/>
      <c r="D52" s="88" t="n"/>
      <c r="E52" s="105" t="n"/>
      <c r="F52" s="106" t="n"/>
      <c r="G52" s="106" t="n"/>
      <c r="H52" s="106" t="n"/>
      <c r="I52" s="95">
        <f>IF(OR($F52="",$G52="",$H52=""),"",$F52*$G52*$H52)</f>
        <v/>
      </c>
      <c r="J52" s="88" t="n"/>
      <c r="K52" s="105" t="n"/>
      <c r="L52" s="105" t="n"/>
      <c r="M52" s="88" t="n"/>
      <c r="N52" s="88" t="n"/>
      <c r="O52" s="87" t="n"/>
      <c r="P52" s="107" t="n"/>
      <c r="Q52" s="88" t="n"/>
      <c r="R52" s="87" t="n"/>
      <c r="S52" s="92">
        <f>IF($O52="","",IF(OR($Q52="Terminée",$Q52="Abandonnée"),IF($R52="","",MAX(0,$R52-$O52)),MAX(0,TODAY()-$O52)))</f>
        <v/>
      </c>
      <c r="T52" s="92">
        <f>IF(OR($R52="",$B52=""),"",$R52-$B52)</f>
        <v/>
      </c>
      <c r="U52" s="88" t="n"/>
      <c r="V52" s="87" t="n"/>
      <c r="W52" s="88" t="n"/>
      <c r="X52" s="108" t="n"/>
      <c r="Y52" s="105" t="n"/>
    </row>
    <row r="53" ht="30" customHeight="1">
      <c r="A53" s="104">
        <f>IF($E53="","","A-"&amp;TEXT(ROW()-8,"000"))</f>
        <v/>
      </c>
      <c r="B53" s="87" t="n"/>
      <c r="C53" s="88" t="n"/>
      <c r="D53" s="88" t="n"/>
      <c r="E53" s="105" t="n"/>
      <c r="F53" s="106" t="n"/>
      <c r="G53" s="106" t="n"/>
      <c r="H53" s="106" t="n"/>
      <c r="I53" s="95">
        <f>IF(OR($F53="",$G53="",$H53=""),"",$F53*$G53*$H53)</f>
        <v/>
      </c>
      <c r="J53" s="88" t="n"/>
      <c r="K53" s="105" t="n"/>
      <c r="L53" s="105" t="n"/>
      <c r="M53" s="88" t="n"/>
      <c r="N53" s="88" t="n"/>
      <c r="O53" s="87" t="n"/>
      <c r="P53" s="107" t="n"/>
      <c r="Q53" s="88" t="n"/>
      <c r="R53" s="87" t="n"/>
      <c r="S53" s="92">
        <f>IF($O53="","",IF(OR($Q53="Terminée",$Q53="Abandonnée"),IF($R53="","",MAX(0,$R53-$O53)),MAX(0,TODAY()-$O53)))</f>
        <v/>
      </c>
      <c r="T53" s="92">
        <f>IF(OR($R53="",$B53=""),"",$R53-$B53)</f>
        <v/>
      </c>
      <c r="U53" s="88" t="n"/>
      <c r="V53" s="87" t="n"/>
      <c r="W53" s="88" t="n"/>
      <c r="X53" s="108" t="n"/>
      <c r="Y53" s="105" t="n"/>
    </row>
    <row r="54" ht="30" customHeight="1">
      <c r="A54" s="104">
        <f>IF($E54="","","A-"&amp;TEXT(ROW()-8,"000"))</f>
        <v/>
      </c>
      <c r="B54" s="87" t="n"/>
      <c r="C54" s="88" t="n"/>
      <c r="D54" s="88" t="n"/>
      <c r="E54" s="105" t="n"/>
      <c r="F54" s="106" t="n"/>
      <c r="G54" s="106" t="n"/>
      <c r="H54" s="106" t="n"/>
      <c r="I54" s="95">
        <f>IF(OR($F54="",$G54="",$H54=""),"",$F54*$G54*$H54)</f>
        <v/>
      </c>
      <c r="J54" s="88" t="n"/>
      <c r="K54" s="105" t="n"/>
      <c r="L54" s="105" t="n"/>
      <c r="M54" s="88" t="n"/>
      <c r="N54" s="88" t="n"/>
      <c r="O54" s="87" t="n"/>
      <c r="P54" s="107" t="n"/>
      <c r="Q54" s="88" t="n"/>
      <c r="R54" s="87" t="n"/>
      <c r="S54" s="92">
        <f>IF($O54="","",IF(OR($Q54="Terminée",$Q54="Abandonnée"),IF($R54="","",MAX(0,$R54-$O54)),MAX(0,TODAY()-$O54)))</f>
        <v/>
      </c>
      <c r="T54" s="92">
        <f>IF(OR($R54="",$B54=""),"",$R54-$B54)</f>
        <v/>
      </c>
      <c r="U54" s="88" t="n"/>
      <c r="V54" s="87" t="n"/>
      <c r="W54" s="88" t="n"/>
      <c r="X54" s="108" t="n"/>
      <c r="Y54" s="105" t="n"/>
    </row>
    <row r="55" ht="30" customHeight="1">
      <c r="A55" s="104">
        <f>IF($E55="","","A-"&amp;TEXT(ROW()-8,"000"))</f>
        <v/>
      </c>
      <c r="B55" s="87" t="n"/>
      <c r="C55" s="88" t="n"/>
      <c r="D55" s="88" t="n"/>
      <c r="E55" s="105" t="n"/>
      <c r="F55" s="106" t="n"/>
      <c r="G55" s="106" t="n"/>
      <c r="H55" s="106" t="n"/>
      <c r="I55" s="95">
        <f>IF(OR($F55="",$G55="",$H55=""),"",$F55*$G55*$H55)</f>
        <v/>
      </c>
      <c r="J55" s="88" t="n"/>
      <c r="K55" s="105" t="n"/>
      <c r="L55" s="105" t="n"/>
      <c r="M55" s="88" t="n"/>
      <c r="N55" s="88" t="n"/>
      <c r="O55" s="87" t="n"/>
      <c r="P55" s="107" t="n"/>
      <c r="Q55" s="88" t="n"/>
      <c r="R55" s="87" t="n"/>
      <c r="S55" s="92">
        <f>IF($O55="","",IF(OR($Q55="Terminée",$Q55="Abandonnée"),IF($R55="","",MAX(0,$R55-$O55)),MAX(0,TODAY()-$O55)))</f>
        <v/>
      </c>
      <c r="T55" s="92">
        <f>IF(OR($R55="",$B55=""),"",$R55-$B55)</f>
        <v/>
      </c>
      <c r="U55" s="88" t="n"/>
      <c r="V55" s="87" t="n"/>
      <c r="W55" s="88" t="n"/>
      <c r="X55" s="108" t="n"/>
      <c r="Y55" s="105" t="n"/>
    </row>
    <row r="56" ht="30" customHeight="1">
      <c r="A56" s="104">
        <f>IF($E56="","","A-"&amp;TEXT(ROW()-8,"000"))</f>
        <v/>
      </c>
      <c r="B56" s="87" t="n"/>
      <c r="C56" s="88" t="n"/>
      <c r="D56" s="88" t="n"/>
      <c r="E56" s="105" t="n"/>
      <c r="F56" s="106" t="n"/>
      <c r="G56" s="106" t="n"/>
      <c r="H56" s="106" t="n"/>
      <c r="I56" s="95">
        <f>IF(OR($F56="",$G56="",$H56=""),"",$F56*$G56*$H56)</f>
        <v/>
      </c>
      <c r="J56" s="88" t="n"/>
      <c r="K56" s="105" t="n"/>
      <c r="L56" s="105" t="n"/>
      <c r="M56" s="88" t="n"/>
      <c r="N56" s="88" t="n"/>
      <c r="O56" s="87" t="n"/>
      <c r="P56" s="107" t="n"/>
      <c r="Q56" s="88" t="n"/>
      <c r="R56" s="87" t="n"/>
      <c r="S56" s="92">
        <f>IF($O56="","",IF(OR($Q56="Terminée",$Q56="Abandonnée"),IF($R56="","",MAX(0,$R56-$O56)),MAX(0,TODAY()-$O56)))</f>
        <v/>
      </c>
      <c r="T56" s="92">
        <f>IF(OR($R56="",$B56=""),"",$R56-$B56)</f>
        <v/>
      </c>
      <c r="U56" s="88" t="n"/>
      <c r="V56" s="87" t="n"/>
      <c r="W56" s="88" t="n"/>
      <c r="X56" s="108" t="n"/>
      <c r="Y56" s="105" t="n"/>
    </row>
    <row r="57" ht="30" customHeight="1">
      <c r="A57" s="104">
        <f>IF($E57="","","A-"&amp;TEXT(ROW()-8,"000"))</f>
        <v/>
      </c>
      <c r="B57" s="87" t="n"/>
      <c r="C57" s="88" t="n"/>
      <c r="D57" s="88" t="n"/>
      <c r="E57" s="105" t="n"/>
      <c r="F57" s="106" t="n"/>
      <c r="G57" s="106" t="n"/>
      <c r="H57" s="106" t="n"/>
      <c r="I57" s="95">
        <f>IF(OR($F57="",$G57="",$H57=""),"",$F57*$G57*$H57)</f>
        <v/>
      </c>
      <c r="J57" s="88" t="n"/>
      <c r="K57" s="105" t="n"/>
      <c r="L57" s="105" t="n"/>
      <c r="M57" s="88" t="n"/>
      <c r="N57" s="88" t="n"/>
      <c r="O57" s="87" t="n"/>
      <c r="P57" s="107" t="n"/>
      <c r="Q57" s="88" t="n"/>
      <c r="R57" s="87" t="n"/>
      <c r="S57" s="92">
        <f>IF($O57="","",IF(OR($Q57="Terminée",$Q57="Abandonnée"),IF($R57="","",MAX(0,$R57-$O57)),MAX(0,TODAY()-$O57)))</f>
        <v/>
      </c>
      <c r="T57" s="92">
        <f>IF(OR($R57="",$B57=""),"",$R57-$B57)</f>
        <v/>
      </c>
      <c r="U57" s="88" t="n"/>
      <c r="V57" s="87" t="n"/>
      <c r="W57" s="88" t="n"/>
      <c r="X57" s="108" t="n"/>
      <c r="Y57" s="105" t="n"/>
    </row>
    <row r="58" ht="30" customHeight="1">
      <c r="A58" s="104">
        <f>IF($E58="","","A-"&amp;TEXT(ROW()-8,"000"))</f>
        <v/>
      </c>
      <c r="B58" s="87" t="n"/>
      <c r="C58" s="88" t="n"/>
      <c r="D58" s="88" t="n"/>
      <c r="E58" s="105" t="n"/>
      <c r="F58" s="106" t="n"/>
      <c r="G58" s="106" t="n"/>
      <c r="H58" s="106" t="n"/>
      <c r="I58" s="95">
        <f>IF(OR($F58="",$G58="",$H58=""),"",$F58*$G58*$H58)</f>
        <v/>
      </c>
      <c r="J58" s="88" t="n"/>
      <c r="K58" s="105" t="n"/>
      <c r="L58" s="105" t="n"/>
      <c r="M58" s="88" t="n"/>
      <c r="N58" s="88" t="n"/>
      <c r="O58" s="87" t="n"/>
      <c r="P58" s="107" t="n"/>
      <c r="Q58" s="88" t="n"/>
      <c r="R58" s="87" t="n"/>
      <c r="S58" s="92">
        <f>IF($O58="","",IF(OR($Q58="Terminée",$Q58="Abandonnée"),IF($R58="","",MAX(0,$R58-$O58)),MAX(0,TODAY()-$O58)))</f>
        <v/>
      </c>
      <c r="T58" s="92">
        <f>IF(OR($R58="",$B58=""),"",$R58-$B58)</f>
        <v/>
      </c>
      <c r="U58" s="88" t="n"/>
      <c r="V58" s="87" t="n"/>
      <c r="W58" s="88" t="n"/>
      <c r="X58" s="108" t="n"/>
      <c r="Y58" s="105" t="n"/>
    </row>
    <row r="59" ht="30" customHeight="1">
      <c r="A59" s="104">
        <f>IF($E59="","","A-"&amp;TEXT(ROW()-8,"000"))</f>
        <v/>
      </c>
      <c r="B59" s="87" t="n"/>
      <c r="C59" s="88" t="n"/>
      <c r="D59" s="88" t="n"/>
      <c r="E59" s="105" t="n"/>
      <c r="F59" s="106" t="n"/>
      <c r="G59" s="106" t="n"/>
      <c r="H59" s="106" t="n"/>
      <c r="I59" s="95">
        <f>IF(OR($F59="",$G59="",$H59=""),"",$F59*$G59*$H59)</f>
        <v/>
      </c>
      <c r="J59" s="88" t="n"/>
      <c r="K59" s="105" t="n"/>
      <c r="L59" s="105" t="n"/>
      <c r="M59" s="88" t="n"/>
      <c r="N59" s="88" t="n"/>
      <c r="O59" s="87" t="n"/>
      <c r="P59" s="107" t="n"/>
      <c r="Q59" s="88" t="n"/>
      <c r="R59" s="87" t="n"/>
      <c r="S59" s="92">
        <f>IF($O59="","",IF(OR($Q59="Terminée",$Q59="Abandonnée"),IF($R59="","",MAX(0,$R59-$O59)),MAX(0,TODAY()-$O59)))</f>
        <v/>
      </c>
      <c r="T59" s="92">
        <f>IF(OR($R59="",$B59=""),"",$R59-$B59)</f>
        <v/>
      </c>
      <c r="U59" s="88" t="n"/>
      <c r="V59" s="87" t="n"/>
      <c r="W59" s="88" t="n"/>
      <c r="X59" s="108" t="n"/>
      <c r="Y59" s="105" t="n"/>
    </row>
    <row r="60" ht="30" customHeight="1">
      <c r="A60" s="104">
        <f>IF($E60="","","A-"&amp;TEXT(ROW()-8,"000"))</f>
        <v/>
      </c>
      <c r="B60" s="87" t="n"/>
      <c r="C60" s="88" t="n"/>
      <c r="D60" s="88" t="n"/>
      <c r="E60" s="105" t="n"/>
      <c r="F60" s="106" t="n"/>
      <c r="G60" s="106" t="n"/>
      <c r="H60" s="106" t="n"/>
      <c r="I60" s="95">
        <f>IF(OR($F60="",$G60="",$H60=""),"",$F60*$G60*$H60)</f>
        <v/>
      </c>
      <c r="J60" s="88" t="n"/>
      <c r="K60" s="105" t="n"/>
      <c r="L60" s="105" t="n"/>
      <c r="M60" s="88" t="n"/>
      <c r="N60" s="88" t="n"/>
      <c r="O60" s="87" t="n"/>
      <c r="P60" s="107" t="n"/>
      <c r="Q60" s="88" t="n"/>
      <c r="R60" s="87" t="n"/>
      <c r="S60" s="92">
        <f>IF($O60="","",IF(OR($Q60="Terminée",$Q60="Abandonnée"),IF($R60="","",MAX(0,$R60-$O60)),MAX(0,TODAY()-$O60)))</f>
        <v/>
      </c>
      <c r="T60" s="92">
        <f>IF(OR($R60="",$B60=""),"",$R60-$B60)</f>
        <v/>
      </c>
      <c r="U60" s="88" t="n"/>
      <c r="V60" s="87" t="n"/>
      <c r="W60" s="88" t="n"/>
      <c r="X60" s="108" t="n"/>
      <c r="Y60" s="105" t="n"/>
    </row>
    <row r="61" ht="30" customHeight="1">
      <c r="A61" s="104">
        <f>IF($E61="","","A-"&amp;TEXT(ROW()-8,"000"))</f>
        <v/>
      </c>
      <c r="B61" s="87" t="n"/>
      <c r="C61" s="88" t="n"/>
      <c r="D61" s="88" t="n"/>
      <c r="E61" s="105" t="n"/>
      <c r="F61" s="106" t="n"/>
      <c r="G61" s="106" t="n"/>
      <c r="H61" s="106" t="n"/>
      <c r="I61" s="95">
        <f>IF(OR($F61="",$G61="",$H61=""),"",$F61*$G61*$H61)</f>
        <v/>
      </c>
      <c r="J61" s="88" t="n"/>
      <c r="K61" s="105" t="n"/>
      <c r="L61" s="105" t="n"/>
      <c r="M61" s="88" t="n"/>
      <c r="N61" s="88" t="n"/>
      <c r="O61" s="87" t="n"/>
      <c r="P61" s="107" t="n"/>
      <c r="Q61" s="88" t="n"/>
      <c r="R61" s="87" t="n"/>
      <c r="S61" s="92">
        <f>IF($O61="","",IF(OR($Q61="Terminée",$Q61="Abandonnée"),IF($R61="","",MAX(0,$R61-$O61)),MAX(0,TODAY()-$O61)))</f>
        <v/>
      </c>
      <c r="T61" s="92">
        <f>IF(OR($R61="",$B61=""),"",$R61-$B61)</f>
        <v/>
      </c>
      <c r="U61" s="88" t="n"/>
      <c r="V61" s="87" t="n"/>
      <c r="W61" s="88" t="n"/>
      <c r="X61" s="108" t="n"/>
      <c r="Y61" s="105" t="n"/>
    </row>
    <row r="62" ht="30" customHeight="1">
      <c r="A62" s="104">
        <f>IF($E62="","","A-"&amp;TEXT(ROW()-8,"000"))</f>
        <v/>
      </c>
      <c r="B62" s="87" t="n"/>
      <c r="C62" s="88" t="n"/>
      <c r="D62" s="88" t="n"/>
      <c r="E62" s="105" t="n"/>
      <c r="F62" s="106" t="n"/>
      <c r="G62" s="106" t="n"/>
      <c r="H62" s="106" t="n"/>
      <c r="I62" s="95">
        <f>IF(OR($F62="",$G62="",$H62=""),"",$F62*$G62*$H62)</f>
        <v/>
      </c>
      <c r="J62" s="88" t="n"/>
      <c r="K62" s="105" t="n"/>
      <c r="L62" s="105" t="n"/>
      <c r="M62" s="88" t="n"/>
      <c r="N62" s="88" t="n"/>
      <c r="O62" s="87" t="n"/>
      <c r="P62" s="107" t="n"/>
      <c r="Q62" s="88" t="n"/>
      <c r="R62" s="87" t="n"/>
      <c r="S62" s="92">
        <f>IF($O62="","",IF(OR($Q62="Terminée",$Q62="Abandonnée"),IF($R62="","",MAX(0,$R62-$O62)),MAX(0,TODAY()-$O62)))</f>
        <v/>
      </c>
      <c r="T62" s="92">
        <f>IF(OR($R62="",$B62=""),"",$R62-$B62)</f>
        <v/>
      </c>
      <c r="U62" s="88" t="n"/>
      <c r="V62" s="87" t="n"/>
      <c r="W62" s="88" t="n"/>
      <c r="X62" s="108" t="n"/>
      <c r="Y62" s="105" t="n"/>
    </row>
    <row r="63" ht="30" customHeight="1">
      <c r="A63" s="104">
        <f>IF($E63="","","A-"&amp;TEXT(ROW()-8,"000"))</f>
        <v/>
      </c>
      <c r="B63" s="87" t="n"/>
      <c r="C63" s="88" t="n"/>
      <c r="D63" s="88" t="n"/>
      <c r="E63" s="105" t="n"/>
      <c r="F63" s="106" t="n"/>
      <c r="G63" s="106" t="n"/>
      <c r="H63" s="106" t="n"/>
      <c r="I63" s="95">
        <f>IF(OR($F63="",$G63="",$H63=""),"",$F63*$G63*$H63)</f>
        <v/>
      </c>
      <c r="J63" s="88" t="n"/>
      <c r="K63" s="105" t="n"/>
      <c r="L63" s="105" t="n"/>
      <c r="M63" s="88" t="n"/>
      <c r="N63" s="88" t="n"/>
      <c r="O63" s="87" t="n"/>
      <c r="P63" s="107" t="n"/>
      <c r="Q63" s="88" t="n"/>
      <c r="R63" s="87" t="n"/>
      <c r="S63" s="92">
        <f>IF($O63="","",IF(OR($Q63="Terminée",$Q63="Abandonnée"),IF($R63="","",MAX(0,$R63-$O63)),MAX(0,TODAY()-$O63)))</f>
        <v/>
      </c>
      <c r="T63" s="92">
        <f>IF(OR($R63="",$B63=""),"",$R63-$B63)</f>
        <v/>
      </c>
      <c r="U63" s="88" t="n"/>
      <c r="V63" s="87" t="n"/>
      <c r="W63" s="88" t="n"/>
      <c r="X63" s="108" t="n"/>
      <c r="Y63" s="105" t="n"/>
    </row>
    <row r="64" ht="30" customHeight="1">
      <c r="A64" s="104">
        <f>IF($E64="","","A-"&amp;TEXT(ROW()-8,"000"))</f>
        <v/>
      </c>
      <c r="B64" s="87" t="n"/>
      <c r="C64" s="88" t="n"/>
      <c r="D64" s="88" t="n"/>
      <c r="E64" s="105" t="n"/>
      <c r="F64" s="106" t="n"/>
      <c r="G64" s="106" t="n"/>
      <c r="H64" s="106" t="n"/>
      <c r="I64" s="95">
        <f>IF(OR($F64="",$G64="",$H64=""),"",$F64*$G64*$H64)</f>
        <v/>
      </c>
      <c r="J64" s="88" t="n"/>
      <c r="K64" s="105" t="n"/>
      <c r="L64" s="105" t="n"/>
      <c r="M64" s="88" t="n"/>
      <c r="N64" s="88" t="n"/>
      <c r="O64" s="87" t="n"/>
      <c r="P64" s="107" t="n"/>
      <c r="Q64" s="88" t="n"/>
      <c r="R64" s="87" t="n"/>
      <c r="S64" s="92">
        <f>IF($O64="","",IF(OR($Q64="Terminée",$Q64="Abandonnée"),IF($R64="","",MAX(0,$R64-$O64)),MAX(0,TODAY()-$O64)))</f>
        <v/>
      </c>
      <c r="T64" s="92">
        <f>IF(OR($R64="",$B64=""),"",$R64-$B64)</f>
        <v/>
      </c>
      <c r="U64" s="88" t="n"/>
      <c r="V64" s="87" t="n"/>
      <c r="W64" s="88" t="n"/>
      <c r="X64" s="108" t="n"/>
      <c r="Y64" s="105" t="n"/>
    </row>
    <row r="65" ht="30" customHeight="1">
      <c r="A65" s="104">
        <f>IF($E65="","","A-"&amp;TEXT(ROW()-8,"000"))</f>
        <v/>
      </c>
      <c r="B65" s="87" t="n"/>
      <c r="C65" s="88" t="n"/>
      <c r="D65" s="88" t="n"/>
      <c r="E65" s="105" t="n"/>
      <c r="F65" s="106" t="n"/>
      <c r="G65" s="106" t="n"/>
      <c r="H65" s="106" t="n"/>
      <c r="I65" s="95">
        <f>IF(OR($F65="",$G65="",$H65=""),"",$F65*$G65*$H65)</f>
        <v/>
      </c>
      <c r="J65" s="88" t="n"/>
      <c r="K65" s="105" t="n"/>
      <c r="L65" s="105" t="n"/>
      <c r="M65" s="88" t="n"/>
      <c r="N65" s="88" t="n"/>
      <c r="O65" s="87" t="n"/>
      <c r="P65" s="107" t="n"/>
      <c r="Q65" s="88" t="n"/>
      <c r="R65" s="87" t="n"/>
      <c r="S65" s="92">
        <f>IF($O65="","",IF(OR($Q65="Terminée",$Q65="Abandonnée"),IF($R65="","",MAX(0,$R65-$O65)),MAX(0,TODAY()-$O65)))</f>
        <v/>
      </c>
      <c r="T65" s="92">
        <f>IF(OR($R65="",$B65=""),"",$R65-$B65)</f>
        <v/>
      </c>
      <c r="U65" s="88" t="n"/>
      <c r="V65" s="87" t="n"/>
      <c r="W65" s="88" t="n"/>
      <c r="X65" s="108" t="n"/>
      <c r="Y65" s="105" t="n"/>
    </row>
    <row r="66" ht="30" customHeight="1">
      <c r="A66" s="104">
        <f>IF($E66="","","A-"&amp;TEXT(ROW()-8,"000"))</f>
        <v/>
      </c>
      <c r="B66" s="87" t="n"/>
      <c r="C66" s="88" t="n"/>
      <c r="D66" s="88" t="n"/>
      <c r="E66" s="105" t="n"/>
      <c r="F66" s="106" t="n"/>
      <c r="G66" s="106" t="n"/>
      <c r="H66" s="106" t="n"/>
      <c r="I66" s="95">
        <f>IF(OR($F66="",$G66="",$H66=""),"",$F66*$G66*$H66)</f>
        <v/>
      </c>
      <c r="J66" s="88" t="n"/>
      <c r="K66" s="105" t="n"/>
      <c r="L66" s="105" t="n"/>
      <c r="M66" s="88" t="n"/>
      <c r="N66" s="88" t="n"/>
      <c r="O66" s="87" t="n"/>
      <c r="P66" s="107" t="n"/>
      <c r="Q66" s="88" t="n"/>
      <c r="R66" s="87" t="n"/>
      <c r="S66" s="92">
        <f>IF($O66="","",IF(OR($Q66="Terminée",$Q66="Abandonnée"),IF($R66="","",MAX(0,$R66-$O66)),MAX(0,TODAY()-$O66)))</f>
        <v/>
      </c>
      <c r="T66" s="92">
        <f>IF(OR($R66="",$B66=""),"",$R66-$B66)</f>
        <v/>
      </c>
      <c r="U66" s="88" t="n"/>
      <c r="V66" s="87" t="n"/>
      <c r="W66" s="88" t="n"/>
      <c r="X66" s="108" t="n"/>
      <c r="Y66" s="105" t="n"/>
    </row>
    <row r="67" ht="30" customHeight="1">
      <c r="A67" s="104">
        <f>IF($E67="","","A-"&amp;TEXT(ROW()-8,"000"))</f>
        <v/>
      </c>
      <c r="B67" s="87" t="n"/>
      <c r="C67" s="88" t="n"/>
      <c r="D67" s="88" t="n"/>
      <c r="E67" s="105" t="n"/>
      <c r="F67" s="106" t="n"/>
      <c r="G67" s="106" t="n"/>
      <c r="H67" s="106" t="n"/>
      <c r="I67" s="95">
        <f>IF(OR($F67="",$G67="",$H67=""),"",$F67*$G67*$H67)</f>
        <v/>
      </c>
      <c r="J67" s="88" t="n"/>
      <c r="K67" s="105" t="n"/>
      <c r="L67" s="105" t="n"/>
      <c r="M67" s="88" t="n"/>
      <c r="N67" s="88" t="n"/>
      <c r="O67" s="87" t="n"/>
      <c r="P67" s="107" t="n"/>
      <c r="Q67" s="88" t="n"/>
      <c r="R67" s="87" t="n"/>
      <c r="S67" s="92">
        <f>IF($O67="","",IF(OR($Q67="Terminée",$Q67="Abandonnée"),IF($R67="","",MAX(0,$R67-$O67)),MAX(0,TODAY()-$O67)))</f>
        <v/>
      </c>
      <c r="T67" s="92">
        <f>IF(OR($R67="",$B67=""),"",$R67-$B67)</f>
        <v/>
      </c>
      <c r="U67" s="88" t="n"/>
      <c r="V67" s="87" t="n"/>
      <c r="W67" s="88" t="n"/>
      <c r="X67" s="108" t="n"/>
      <c r="Y67" s="105" t="n"/>
    </row>
    <row r="68" ht="30" customHeight="1">
      <c r="A68" s="104">
        <f>IF($E68="","","A-"&amp;TEXT(ROW()-8,"000"))</f>
        <v/>
      </c>
      <c r="B68" s="87" t="n"/>
      <c r="C68" s="88" t="n"/>
      <c r="D68" s="88" t="n"/>
      <c r="E68" s="105" t="n"/>
      <c r="F68" s="106" t="n"/>
      <c r="G68" s="106" t="n"/>
      <c r="H68" s="106" t="n"/>
      <c r="I68" s="95">
        <f>IF(OR($F68="",$G68="",$H68=""),"",$F68*$G68*$H68)</f>
        <v/>
      </c>
      <c r="J68" s="88" t="n"/>
      <c r="K68" s="105" t="n"/>
      <c r="L68" s="105" t="n"/>
      <c r="M68" s="88" t="n"/>
      <c r="N68" s="88" t="n"/>
      <c r="O68" s="87" t="n"/>
      <c r="P68" s="107" t="n"/>
      <c r="Q68" s="88" t="n"/>
      <c r="R68" s="87" t="n"/>
      <c r="S68" s="92">
        <f>IF($O68="","",IF(OR($Q68="Terminée",$Q68="Abandonnée"),IF($R68="","",MAX(0,$R68-$O68)),MAX(0,TODAY()-$O68)))</f>
        <v/>
      </c>
      <c r="T68" s="92">
        <f>IF(OR($R68="",$B68=""),"",$R68-$B68)</f>
        <v/>
      </c>
      <c r="U68" s="88" t="n"/>
      <c r="V68" s="87" t="n"/>
      <c r="W68" s="88" t="n"/>
      <c r="X68" s="108" t="n"/>
      <c r="Y68" s="105" t="n"/>
    </row>
    <row r="69" ht="30" customHeight="1">
      <c r="A69" s="104">
        <f>IF($E69="","","A-"&amp;TEXT(ROW()-8,"000"))</f>
        <v/>
      </c>
      <c r="B69" s="87" t="n"/>
      <c r="C69" s="88" t="n"/>
      <c r="D69" s="88" t="n"/>
      <c r="E69" s="105" t="n"/>
      <c r="F69" s="106" t="n"/>
      <c r="G69" s="106" t="n"/>
      <c r="H69" s="106" t="n"/>
      <c r="I69" s="95">
        <f>IF(OR($F69="",$G69="",$H69=""),"",$F69*$G69*$H69)</f>
        <v/>
      </c>
      <c r="J69" s="88" t="n"/>
      <c r="K69" s="105" t="n"/>
      <c r="L69" s="105" t="n"/>
      <c r="M69" s="88" t="n"/>
      <c r="N69" s="88" t="n"/>
      <c r="O69" s="87" t="n"/>
      <c r="P69" s="107" t="n"/>
      <c r="Q69" s="88" t="n"/>
      <c r="R69" s="87" t="n"/>
      <c r="S69" s="92">
        <f>IF($O69="","",IF(OR($Q69="Terminée",$Q69="Abandonnée"),IF($R69="","",MAX(0,$R69-$O69)),MAX(0,TODAY()-$O69)))</f>
        <v/>
      </c>
      <c r="T69" s="92">
        <f>IF(OR($R69="",$B69=""),"",$R69-$B69)</f>
        <v/>
      </c>
      <c r="U69" s="88" t="n"/>
      <c r="V69" s="87" t="n"/>
      <c r="W69" s="88" t="n"/>
      <c r="X69" s="108" t="n"/>
      <c r="Y69" s="105" t="n"/>
    </row>
    <row r="70" ht="30" customHeight="1">
      <c r="A70" s="104">
        <f>IF($E70="","","A-"&amp;TEXT(ROW()-8,"000"))</f>
        <v/>
      </c>
      <c r="B70" s="87" t="n"/>
      <c r="C70" s="88" t="n"/>
      <c r="D70" s="88" t="n"/>
      <c r="E70" s="105" t="n"/>
      <c r="F70" s="106" t="n"/>
      <c r="G70" s="106" t="n"/>
      <c r="H70" s="106" t="n"/>
      <c r="I70" s="95">
        <f>IF(OR($F70="",$G70="",$H70=""),"",$F70*$G70*$H70)</f>
        <v/>
      </c>
      <c r="J70" s="88" t="n"/>
      <c r="K70" s="105" t="n"/>
      <c r="L70" s="105" t="n"/>
      <c r="M70" s="88" t="n"/>
      <c r="N70" s="88" t="n"/>
      <c r="O70" s="87" t="n"/>
      <c r="P70" s="107" t="n"/>
      <c r="Q70" s="88" t="n"/>
      <c r="R70" s="87" t="n"/>
      <c r="S70" s="92">
        <f>IF($O70="","",IF(OR($Q70="Terminée",$Q70="Abandonnée"),IF($R70="","",MAX(0,$R70-$O70)),MAX(0,TODAY()-$O70)))</f>
        <v/>
      </c>
      <c r="T70" s="92">
        <f>IF(OR($R70="",$B70=""),"",$R70-$B70)</f>
        <v/>
      </c>
      <c r="U70" s="88" t="n"/>
      <c r="V70" s="87" t="n"/>
      <c r="W70" s="88" t="n"/>
      <c r="X70" s="108" t="n"/>
      <c r="Y70" s="105" t="n"/>
    </row>
    <row r="71" ht="30" customHeight="1">
      <c r="A71" s="104">
        <f>IF($E71="","","A-"&amp;TEXT(ROW()-8,"000"))</f>
        <v/>
      </c>
      <c r="B71" s="87" t="n"/>
      <c r="C71" s="88" t="n"/>
      <c r="D71" s="88" t="n"/>
      <c r="E71" s="105" t="n"/>
      <c r="F71" s="106" t="n"/>
      <c r="G71" s="106" t="n"/>
      <c r="H71" s="106" t="n"/>
      <c r="I71" s="95">
        <f>IF(OR($F71="",$G71="",$H71=""),"",$F71*$G71*$H71)</f>
        <v/>
      </c>
      <c r="J71" s="88" t="n"/>
      <c r="K71" s="105" t="n"/>
      <c r="L71" s="105" t="n"/>
      <c r="M71" s="88" t="n"/>
      <c r="N71" s="88" t="n"/>
      <c r="O71" s="87" t="n"/>
      <c r="P71" s="107" t="n"/>
      <c r="Q71" s="88" t="n"/>
      <c r="R71" s="87" t="n"/>
      <c r="S71" s="92">
        <f>IF($O71="","",IF(OR($Q71="Terminée",$Q71="Abandonnée"),IF($R71="","",MAX(0,$R71-$O71)),MAX(0,TODAY()-$O71)))</f>
        <v/>
      </c>
      <c r="T71" s="92">
        <f>IF(OR($R71="",$B71=""),"",$R71-$B71)</f>
        <v/>
      </c>
      <c r="U71" s="88" t="n"/>
      <c r="V71" s="87" t="n"/>
      <c r="W71" s="88" t="n"/>
      <c r="X71" s="108" t="n"/>
      <c r="Y71" s="105" t="n"/>
    </row>
    <row r="72" ht="30" customHeight="1">
      <c r="A72" s="104">
        <f>IF($E72="","","A-"&amp;TEXT(ROW()-8,"000"))</f>
        <v/>
      </c>
      <c r="B72" s="87" t="n"/>
      <c r="C72" s="88" t="n"/>
      <c r="D72" s="88" t="n"/>
      <c r="E72" s="105" t="n"/>
      <c r="F72" s="106" t="n"/>
      <c r="G72" s="106" t="n"/>
      <c r="H72" s="106" t="n"/>
      <c r="I72" s="95">
        <f>IF(OR($F72="",$G72="",$H72=""),"",$F72*$G72*$H72)</f>
        <v/>
      </c>
      <c r="J72" s="88" t="n"/>
      <c r="K72" s="105" t="n"/>
      <c r="L72" s="105" t="n"/>
      <c r="M72" s="88" t="n"/>
      <c r="N72" s="88" t="n"/>
      <c r="O72" s="87" t="n"/>
      <c r="P72" s="107" t="n"/>
      <c r="Q72" s="88" t="n"/>
      <c r="R72" s="87" t="n"/>
      <c r="S72" s="92">
        <f>IF($O72="","",IF(OR($Q72="Terminée",$Q72="Abandonnée"),IF($R72="","",MAX(0,$R72-$O72)),MAX(0,TODAY()-$O72)))</f>
        <v/>
      </c>
      <c r="T72" s="92">
        <f>IF(OR($R72="",$B72=""),"",$R72-$B72)</f>
        <v/>
      </c>
      <c r="U72" s="88" t="n"/>
      <c r="V72" s="87" t="n"/>
      <c r="W72" s="88" t="n"/>
      <c r="X72" s="108" t="n"/>
      <c r="Y72" s="105" t="n"/>
    </row>
    <row r="73" ht="30" customHeight="1">
      <c r="A73" s="104">
        <f>IF($E73="","","A-"&amp;TEXT(ROW()-8,"000"))</f>
        <v/>
      </c>
      <c r="B73" s="87" t="n"/>
      <c r="C73" s="88" t="n"/>
      <c r="D73" s="88" t="n"/>
      <c r="E73" s="105" t="n"/>
      <c r="F73" s="106" t="n"/>
      <c r="G73" s="106" t="n"/>
      <c r="H73" s="106" t="n"/>
      <c r="I73" s="95">
        <f>IF(OR($F73="",$G73="",$H73=""),"",$F73*$G73*$H73)</f>
        <v/>
      </c>
      <c r="J73" s="88" t="n"/>
      <c r="K73" s="105" t="n"/>
      <c r="L73" s="105" t="n"/>
      <c r="M73" s="88" t="n"/>
      <c r="N73" s="88" t="n"/>
      <c r="O73" s="87" t="n"/>
      <c r="P73" s="107" t="n"/>
      <c r="Q73" s="88" t="n"/>
      <c r="R73" s="87" t="n"/>
      <c r="S73" s="92">
        <f>IF($O73="","",IF(OR($Q73="Terminée",$Q73="Abandonnée"),IF($R73="","",MAX(0,$R73-$O73)),MAX(0,TODAY()-$O73)))</f>
        <v/>
      </c>
      <c r="T73" s="92">
        <f>IF(OR($R73="",$B73=""),"",$R73-$B73)</f>
        <v/>
      </c>
      <c r="U73" s="88" t="n"/>
      <c r="V73" s="87" t="n"/>
      <c r="W73" s="88" t="n"/>
      <c r="X73" s="108" t="n"/>
      <c r="Y73" s="105" t="n"/>
    </row>
    <row r="74" ht="30" customHeight="1">
      <c r="A74" s="104">
        <f>IF($E74="","","A-"&amp;TEXT(ROW()-8,"000"))</f>
        <v/>
      </c>
      <c r="B74" s="87" t="n"/>
      <c r="C74" s="88" t="n"/>
      <c r="D74" s="88" t="n"/>
      <c r="E74" s="105" t="n"/>
      <c r="F74" s="106" t="n"/>
      <c r="G74" s="106" t="n"/>
      <c r="H74" s="106" t="n"/>
      <c r="I74" s="95">
        <f>IF(OR($F74="",$G74="",$H74=""),"",$F74*$G74*$H74)</f>
        <v/>
      </c>
      <c r="J74" s="88" t="n"/>
      <c r="K74" s="105" t="n"/>
      <c r="L74" s="105" t="n"/>
      <c r="M74" s="88" t="n"/>
      <c r="N74" s="88" t="n"/>
      <c r="O74" s="87" t="n"/>
      <c r="P74" s="107" t="n"/>
      <c r="Q74" s="88" t="n"/>
      <c r="R74" s="87" t="n"/>
      <c r="S74" s="92">
        <f>IF($O74="","",IF(OR($Q74="Terminée",$Q74="Abandonnée"),IF($R74="","",MAX(0,$R74-$O74)),MAX(0,TODAY()-$O74)))</f>
        <v/>
      </c>
      <c r="T74" s="92">
        <f>IF(OR($R74="",$B74=""),"",$R74-$B74)</f>
        <v/>
      </c>
      <c r="U74" s="88" t="n"/>
      <c r="V74" s="87" t="n"/>
      <c r="W74" s="88" t="n"/>
      <c r="X74" s="108" t="n"/>
      <c r="Y74" s="105" t="n"/>
    </row>
    <row r="75" ht="30" customHeight="1">
      <c r="A75" s="104">
        <f>IF($E75="","","A-"&amp;TEXT(ROW()-8,"000"))</f>
        <v/>
      </c>
      <c r="B75" s="87" t="n"/>
      <c r="C75" s="88" t="n"/>
      <c r="D75" s="88" t="n"/>
      <c r="E75" s="105" t="n"/>
      <c r="F75" s="106" t="n"/>
      <c r="G75" s="106" t="n"/>
      <c r="H75" s="106" t="n"/>
      <c r="I75" s="95">
        <f>IF(OR($F75="",$G75="",$H75=""),"",$F75*$G75*$H75)</f>
        <v/>
      </c>
      <c r="J75" s="88" t="n"/>
      <c r="K75" s="105" t="n"/>
      <c r="L75" s="105" t="n"/>
      <c r="M75" s="88" t="n"/>
      <c r="N75" s="88" t="n"/>
      <c r="O75" s="87" t="n"/>
      <c r="P75" s="107" t="n"/>
      <c r="Q75" s="88" t="n"/>
      <c r="R75" s="87" t="n"/>
      <c r="S75" s="92">
        <f>IF($O75="","",IF(OR($Q75="Terminée",$Q75="Abandonnée"),IF($R75="","",MAX(0,$R75-$O75)),MAX(0,TODAY()-$O75)))</f>
        <v/>
      </c>
      <c r="T75" s="92">
        <f>IF(OR($R75="",$B75=""),"",$R75-$B75)</f>
        <v/>
      </c>
      <c r="U75" s="88" t="n"/>
      <c r="V75" s="87" t="n"/>
      <c r="W75" s="88" t="n"/>
      <c r="X75" s="108" t="n"/>
      <c r="Y75" s="105" t="n"/>
    </row>
    <row r="76" ht="30" customHeight="1">
      <c r="A76" s="104">
        <f>IF($E76="","","A-"&amp;TEXT(ROW()-8,"000"))</f>
        <v/>
      </c>
      <c r="B76" s="87" t="n"/>
      <c r="C76" s="88" t="n"/>
      <c r="D76" s="88" t="n"/>
      <c r="E76" s="105" t="n"/>
      <c r="F76" s="106" t="n"/>
      <c r="G76" s="106" t="n"/>
      <c r="H76" s="106" t="n"/>
      <c r="I76" s="95">
        <f>IF(OR($F76="",$G76="",$H76=""),"",$F76*$G76*$H76)</f>
        <v/>
      </c>
      <c r="J76" s="88" t="n"/>
      <c r="K76" s="105" t="n"/>
      <c r="L76" s="105" t="n"/>
      <c r="M76" s="88" t="n"/>
      <c r="N76" s="88" t="n"/>
      <c r="O76" s="87" t="n"/>
      <c r="P76" s="107" t="n"/>
      <c r="Q76" s="88" t="n"/>
      <c r="R76" s="87" t="n"/>
      <c r="S76" s="92">
        <f>IF($O76="","",IF(OR($Q76="Terminée",$Q76="Abandonnée"),IF($R76="","",MAX(0,$R76-$O76)),MAX(0,TODAY()-$O76)))</f>
        <v/>
      </c>
      <c r="T76" s="92">
        <f>IF(OR($R76="",$B76=""),"",$R76-$B76)</f>
        <v/>
      </c>
      <c r="U76" s="88" t="n"/>
      <c r="V76" s="87" t="n"/>
      <c r="W76" s="88" t="n"/>
      <c r="X76" s="108" t="n"/>
      <c r="Y76" s="105" t="n"/>
    </row>
    <row r="77" ht="30" customHeight="1">
      <c r="A77" s="104">
        <f>IF($E77="","","A-"&amp;TEXT(ROW()-8,"000"))</f>
        <v/>
      </c>
      <c r="B77" s="87" t="n"/>
      <c r="C77" s="88" t="n"/>
      <c r="D77" s="88" t="n"/>
      <c r="E77" s="105" t="n"/>
      <c r="F77" s="106" t="n"/>
      <c r="G77" s="106" t="n"/>
      <c r="H77" s="106" t="n"/>
      <c r="I77" s="95">
        <f>IF(OR($F77="",$G77="",$H77=""),"",$F77*$G77*$H77)</f>
        <v/>
      </c>
      <c r="J77" s="88" t="n"/>
      <c r="K77" s="105" t="n"/>
      <c r="L77" s="105" t="n"/>
      <c r="M77" s="88" t="n"/>
      <c r="N77" s="88" t="n"/>
      <c r="O77" s="87" t="n"/>
      <c r="P77" s="107" t="n"/>
      <c r="Q77" s="88" t="n"/>
      <c r="R77" s="87" t="n"/>
      <c r="S77" s="92">
        <f>IF($O77="","",IF(OR($Q77="Terminée",$Q77="Abandonnée"),IF($R77="","",MAX(0,$R77-$O77)),MAX(0,TODAY()-$O77)))</f>
        <v/>
      </c>
      <c r="T77" s="92">
        <f>IF(OR($R77="",$B77=""),"",$R77-$B77)</f>
        <v/>
      </c>
      <c r="U77" s="88" t="n"/>
      <c r="V77" s="87" t="n"/>
      <c r="W77" s="88" t="n"/>
      <c r="X77" s="108" t="n"/>
      <c r="Y77" s="105" t="n"/>
    </row>
    <row r="78" ht="30" customHeight="1">
      <c r="A78" s="104">
        <f>IF($E78="","","A-"&amp;TEXT(ROW()-8,"000"))</f>
        <v/>
      </c>
      <c r="B78" s="87" t="n"/>
      <c r="C78" s="88" t="n"/>
      <c r="D78" s="88" t="n"/>
      <c r="E78" s="105" t="n"/>
      <c r="F78" s="106" t="n"/>
      <c r="G78" s="106" t="n"/>
      <c r="H78" s="106" t="n"/>
      <c r="I78" s="95">
        <f>IF(OR($F78="",$G78="",$H78=""),"",$F78*$G78*$H78)</f>
        <v/>
      </c>
      <c r="J78" s="88" t="n"/>
      <c r="K78" s="105" t="n"/>
      <c r="L78" s="105" t="n"/>
      <c r="M78" s="88" t="n"/>
      <c r="N78" s="88" t="n"/>
      <c r="O78" s="87" t="n"/>
      <c r="P78" s="107" t="n"/>
      <c r="Q78" s="88" t="n"/>
      <c r="R78" s="87" t="n"/>
      <c r="S78" s="92">
        <f>IF($O78="","",IF(OR($Q78="Terminée",$Q78="Abandonnée"),IF($R78="","",MAX(0,$R78-$O78)),MAX(0,TODAY()-$O78)))</f>
        <v/>
      </c>
      <c r="T78" s="92">
        <f>IF(OR($R78="",$B78=""),"",$R78-$B78)</f>
        <v/>
      </c>
      <c r="U78" s="88" t="n"/>
      <c r="V78" s="87" t="n"/>
      <c r="W78" s="88" t="n"/>
      <c r="X78" s="108" t="n"/>
      <c r="Y78" s="105" t="n"/>
    </row>
    <row r="79" ht="30" customHeight="1">
      <c r="A79" s="104">
        <f>IF($E79="","","A-"&amp;TEXT(ROW()-8,"000"))</f>
        <v/>
      </c>
      <c r="B79" s="87" t="n"/>
      <c r="C79" s="88" t="n"/>
      <c r="D79" s="88" t="n"/>
      <c r="E79" s="105" t="n"/>
      <c r="F79" s="106" t="n"/>
      <c r="G79" s="106" t="n"/>
      <c r="H79" s="106" t="n"/>
      <c r="I79" s="95">
        <f>IF(OR($F79="",$G79="",$H79=""),"",$F79*$G79*$H79)</f>
        <v/>
      </c>
      <c r="J79" s="88" t="n"/>
      <c r="K79" s="105" t="n"/>
      <c r="L79" s="105" t="n"/>
      <c r="M79" s="88" t="n"/>
      <c r="N79" s="88" t="n"/>
      <c r="O79" s="87" t="n"/>
      <c r="P79" s="107" t="n"/>
      <c r="Q79" s="88" t="n"/>
      <c r="R79" s="87" t="n"/>
      <c r="S79" s="92">
        <f>IF($O79="","",IF(OR($Q79="Terminée",$Q79="Abandonnée"),IF($R79="","",MAX(0,$R79-$O79)),MAX(0,TODAY()-$O79)))</f>
        <v/>
      </c>
      <c r="T79" s="92">
        <f>IF(OR($R79="",$B79=""),"",$R79-$B79)</f>
        <v/>
      </c>
      <c r="U79" s="88" t="n"/>
      <c r="V79" s="87" t="n"/>
      <c r="W79" s="88" t="n"/>
      <c r="X79" s="108" t="n"/>
      <c r="Y79" s="105" t="n"/>
    </row>
    <row r="80" ht="30" customHeight="1">
      <c r="A80" s="104">
        <f>IF($E80="","","A-"&amp;TEXT(ROW()-8,"000"))</f>
        <v/>
      </c>
      <c r="B80" s="87" t="n"/>
      <c r="C80" s="88" t="n"/>
      <c r="D80" s="88" t="n"/>
      <c r="E80" s="105" t="n"/>
      <c r="F80" s="106" t="n"/>
      <c r="G80" s="106" t="n"/>
      <c r="H80" s="106" t="n"/>
      <c r="I80" s="95">
        <f>IF(OR($F80="",$G80="",$H80=""),"",$F80*$G80*$H80)</f>
        <v/>
      </c>
      <c r="J80" s="88" t="n"/>
      <c r="K80" s="105" t="n"/>
      <c r="L80" s="105" t="n"/>
      <c r="M80" s="88" t="n"/>
      <c r="N80" s="88" t="n"/>
      <c r="O80" s="87" t="n"/>
      <c r="P80" s="107" t="n"/>
      <c r="Q80" s="88" t="n"/>
      <c r="R80" s="87" t="n"/>
      <c r="S80" s="92">
        <f>IF($O80="","",IF(OR($Q80="Terminée",$Q80="Abandonnée"),IF($R80="","",MAX(0,$R80-$O80)),MAX(0,TODAY()-$O80)))</f>
        <v/>
      </c>
      <c r="T80" s="92">
        <f>IF(OR($R80="",$B80=""),"",$R80-$B80)</f>
        <v/>
      </c>
      <c r="U80" s="88" t="n"/>
      <c r="V80" s="87" t="n"/>
      <c r="W80" s="88" t="n"/>
      <c r="X80" s="108" t="n"/>
      <c r="Y80" s="105" t="n"/>
    </row>
    <row r="81" ht="30" customHeight="1">
      <c r="A81" s="104">
        <f>IF($E81="","","A-"&amp;TEXT(ROW()-8,"000"))</f>
        <v/>
      </c>
      <c r="B81" s="87" t="n"/>
      <c r="C81" s="88" t="n"/>
      <c r="D81" s="88" t="n"/>
      <c r="E81" s="105" t="n"/>
      <c r="F81" s="106" t="n"/>
      <c r="G81" s="106" t="n"/>
      <c r="H81" s="106" t="n"/>
      <c r="I81" s="95">
        <f>IF(OR($F81="",$G81="",$H81=""),"",$F81*$G81*$H81)</f>
        <v/>
      </c>
      <c r="J81" s="88" t="n"/>
      <c r="K81" s="105" t="n"/>
      <c r="L81" s="105" t="n"/>
      <c r="M81" s="88" t="n"/>
      <c r="N81" s="88" t="n"/>
      <c r="O81" s="87" t="n"/>
      <c r="P81" s="107" t="n"/>
      <c r="Q81" s="88" t="n"/>
      <c r="R81" s="87" t="n"/>
      <c r="S81" s="92">
        <f>IF($O81="","",IF(OR($Q81="Terminée",$Q81="Abandonnée"),IF($R81="","",MAX(0,$R81-$O81)),MAX(0,TODAY()-$O81)))</f>
        <v/>
      </c>
      <c r="T81" s="92">
        <f>IF(OR($R81="",$B81=""),"",$R81-$B81)</f>
        <v/>
      </c>
      <c r="U81" s="88" t="n"/>
      <c r="V81" s="87" t="n"/>
      <c r="W81" s="88" t="n"/>
      <c r="X81" s="108" t="n"/>
      <c r="Y81" s="105" t="n"/>
    </row>
    <row r="82" ht="30" customHeight="1">
      <c r="A82" s="104">
        <f>IF($E82="","","A-"&amp;TEXT(ROW()-8,"000"))</f>
        <v/>
      </c>
      <c r="B82" s="87" t="n"/>
      <c r="C82" s="88" t="n"/>
      <c r="D82" s="88" t="n"/>
      <c r="E82" s="105" t="n"/>
      <c r="F82" s="106" t="n"/>
      <c r="G82" s="106" t="n"/>
      <c r="H82" s="106" t="n"/>
      <c r="I82" s="95">
        <f>IF(OR($F82="",$G82="",$H82=""),"",$F82*$G82*$H82)</f>
        <v/>
      </c>
      <c r="J82" s="88" t="n"/>
      <c r="K82" s="105" t="n"/>
      <c r="L82" s="105" t="n"/>
      <c r="M82" s="88" t="n"/>
      <c r="N82" s="88" t="n"/>
      <c r="O82" s="87" t="n"/>
      <c r="P82" s="107" t="n"/>
      <c r="Q82" s="88" t="n"/>
      <c r="R82" s="87" t="n"/>
      <c r="S82" s="92">
        <f>IF($O82="","",IF(OR($Q82="Terminée",$Q82="Abandonnée"),IF($R82="","",MAX(0,$R82-$O82)),MAX(0,TODAY()-$O82)))</f>
        <v/>
      </c>
      <c r="T82" s="92">
        <f>IF(OR($R82="",$B82=""),"",$R82-$B82)</f>
        <v/>
      </c>
      <c r="U82" s="88" t="n"/>
      <c r="V82" s="87" t="n"/>
      <c r="W82" s="88" t="n"/>
      <c r="X82" s="108" t="n"/>
      <c r="Y82" s="105" t="n"/>
    </row>
    <row r="83" ht="30" customHeight="1">
      <c r="A83" s="104">
        <f>IF($E83="","","A-"&amp;TEXT(ROW()-8,"000"))</f>
        <v/>
      </c>
      <c r="B83" s="87" t="n"/>
      <c r="C83" s="88" t="n"/>
      <c r="D83" s="88" t="n"/>
      <c r="E83" s="105" t="n"/>
      <c r="F83" s="106" t="n"/>
      <c r="G83" s="106" t="n"/>
      <c r="H83" s="106" t="n"/>
      <c r="I83" s="95">
        <f>IF(OR($F83="",$G83="",$H83=""),"",$F83*$G83*$H83)</f>
        <v/>
      </c>
      <c r="J83" s="88" t="n"/>
      <c r="K83" s="105" t="n"/>
      <c r="L83" s="105" t="n"/>
      <c r="M83" s="88" t="n"/>
      <c r="N83" s="88" t="n"/>
      <c r="O83" s="87" t="n"/>
      <c r="P83" s="107" t="n"/>
      <c r="Q83" s="88" t="n"/>
      <c r="R83" s="87" t="n"/>
      <c r="S83" s="92">
        <f>IF($O83="","",IF(OR($Q83="Terminée",$Q83="Abandonnée"),IF($R83="","",MAX(0,$R83-$O83)),MAX(0,TODAY()-$O83)))</f>
        <v/>
      </c>
      <c r="T83" s="92">
        <f>IF(OR($R83="",$B83=""),"",$R83-$B83)</f>
        <v/>
      </c>
      <c r="U83" s="88" t="n"/>
      <c r="V83" s="87" t="n"/>
      <c r="W83" s="88" t="n"/>
      <c r="X83" s="108" t="n"/>
      <c r="Y83" s="105" t="n"/>
    </row>
    <row r="84" ht="30" customHeight="1">
      <c r="A84" s="104">
        <f>IF($E84="","","A-"&amp;TEXT(ROW()-8,"000"))</f>
        <v/>
      </c>
      <c r="B84" s="87" t="n"/>
      <c r="C84" s="88" t="n"/>
      <c r="D84" s="88" t="n"/>
      <c r="E84" s="105" t="n"/>
      <c r="F84" s="106" t="n"/>
      <c r="G84" s="106" t="n"/>
      <c r="H84" s="106" t="n"/>
      <c r="I84" s="95">
        <f>IF(OR($F84="",$G84="",$H84=""),"",$F84*$G84*$H84)</f>
        <v/>
      </c>
      <c r="J84" s="88" t="n"/>
      <c r="K84" s="105" t="n"/>
      <c r="L84" s="105" t="n"/>
      <c r="M84" s="88" t="n"/>
      <c r="N84" s="88" t="n"/>
      <c r="O84" s="87" t="n"/>
      <c r="P84" s="107" t="n"/>
      <c r="Q84" s="88" t="n"/>
      <c r="R84" s="87" t="n"/>
      <c r="S84" s="92">
        <f>IF($O84="","",IF(OR($Q84="Terminée",$Q84="Abandonnée"),IF($R84="","",MAX(0,$R84-$O84)),MAX(0,TODAY()-$O84)))</f>
        <v/>
      </c>
      <c r="T84" s="92">
        <f>IF(OR($R84="",$B84=""),"",$R84-$B84)</f>
        <v/>
      </c>
      <c r="U84" s="88" t="n"/>
      <c r="V84" s="87" t="n"/>
      <c r="W84" s="88" t="n"/>
      <c r="X84" s="108" t="n"/>
      <c r="Y84" s="105" t="n"/>
    </row>
    <row r="85" ht="30" customHeight="1">
      <c r="A85" s="104">
        <f>IF($E85="","","A-"&amp;TEXT(ROW()-8,"000"))</f>
        <v/>
      </c>
      <c r="B85" s="87" t="n"/>
      <c r="C85" s="88" t="n"/>
      <c r="D85" s="88" t="n"/>
      <c r="E85" s="105" t="n"/>
      <c r="F85" s="106" t="n"/>
      <c r="G85" s="106" t="n"/>
      <c r="H85" s="106" t="n"/>
      <c r="I85" s="95">
        <f>IF(OR($F85="",$G85="",$H85=""),"",$F85*$G85*$H85)</f>
        <v/>
      </c>
      <c r="J85" s="88" t="n"/>
      <c r="K85" s="105" t="n"/>
      <c r="L85" s="105" t="n"/>
      <c r="M85" s="88" t="n"/>
      <c r="N85" s="88" t="n"/>
      <c r="O85" s="87" t="n"/>
      <c r="P85" s="107" t="n"/>
      <c r="Q85" s="88" t="n"/>
      <c r="R85" s="87" t="n"/>
      <c r="S85" s="92">
        <f>IF($O85="","",IF(OR($Q85="Terminée",$Q85="Abandonnée"),IF($R85="","",MAX(0,$R85-$O85)),MAX(0,TODAY()-$O85)))</f>
        <v/>
      </c>
      <c r="T85" s="92">
        <f>IF(OR($R85="",$B85=""),"",$R85-$B85)</f>
        <v/>
      </c>
      <c r="U85" s="88" t="n"/>
      <c r="V85" s="87" t="n"/>
      <c r="W85" s="88" t="n"/>
      <c r="X85" s="108" t="n"/>
      <c r="Y85" s="105" t="n"/>
    </row>
    <row r="86" ht="30" customHeight="1">
      <c r="A86" s="104">
        <f>IF($E86="","","A-"&amp;TEXT(ROW()-8,"000"))</f>
        <v/>
      </c>
      <c r="B86" s="87" t="n"/>
      <c r="C86" s="88" t="n"/>
      <c r="D86" s="88" t="n"/>
      <c r="E86" s="105" t="n"/>
      <c r="F86" s="106" t="n"/>
      <c r="G86" s="106" t="n"/>
      <c r="H86" s="106" t="n"/>
      <c r="I86" s="95">
        <f>IF(OR($F86="",$G86="",$H86=""),"",$F86*$G86*$H86)</f>
        <v/>
      </c>
      <c r="J86" s="88" t="n"/>
      <c r="K86" s="105" t="n"/>
      <c r="L86" s="105" t="n"/>
      <c r="M86" s="88" t="n"/>
      <c r="N86" s="88" t="n"/>
      <c r="O86" s="87" t="n"/>
      <c r="P86" s="107" t="n"/>
      <c r="Q86" s="88" t="n"/>
      <c r="R86" s="87" t="n"/>
      <c r="S86" s="92">
        <f>IF($O86="","",IF(OR($Q86="Terminée",$Q86="Abandonnée"),IF($R86="","",MAX(0,$R86-$O86)),MAX(0,TODAY()-$O86)))</f>
        <v/>
      </c>
      <c r="T86" s="92">
        <f>IF(OR($R86="",$B86=""),"",$R86-$B86)</f>
        <v/>
      </c>
      <c r="U86" s="88" t="n"/>
      <c r="V86" s="87" t="n"/>
      <c r="W86" s="88" t="n"/>
      <c r="X86" s="108" t="n"/>
      <c r="Y86" s="105" t="n"/>
    </row>
    <row r="87" ht="30" customHeight="1">
      <c r="A87" s="104">
        <f>IF($E87="","","A-"&amp;TEXT(ROW()-8,"000"))</f>
        <v/>
      </c>
      <c r="B87" s="87" t="n"/>
      <c r="C87" s="88" t="n"/>
      <c r="D87" s="88" t="n"/>
      <c r="E87" s="105" t="n"/>
      <c r="F87" s="106" t="n"/>
      <c r="G87" s="106" t="n"/>
      <c r="H87" s="106" t="n"/>
      <c r="I87" s="95">
        <f>IF(OR($F87="",$G87="",$H87=""),"",$F87*$G87*$H87)</f>
        <v/>
      </c>
      <c r="J87" s="88" t="n"/>
      <c r="K87" s="105" t="n"/>
      <c r="L87" s="105" t="n"/>
      <c r="M87" s="88" t="n"/>
      <c r="N87" s="88" t="n"/>
      <c r="O87" s="87" t="n"/>
      <c r="P87" s="107" t="n"/>
      <c r="Q87" s="88" t="n"/>
      <c r="R87" s="87" t="n"/>
      <c r="S87" s="92">
        <f>IF($O87="","",IF(OR($Q87="Terminée",$Q87="Abandonnée"),IF($R87="","",MAX(0,$R87-$O87)),MAX(0,TODAY()-$O87)))</f>
        <v/>
      </c>
      <c r="T87" s="92">
        <f>IF(OR($R87="",$B87=""),"",$R87-$B87)</f>
        <v/>
      </c>
      <c r="U87" s="88" t="n"/>
      <c r="V87" s="87" t="n"/>
      <c r="W87" s="88" t="n"/>
      <c r="X87" s="108" t="n"/>
      <c r="Y87" s="105" t="n"/>
    </row>
    <row r="88" ht="30" customHeight="1">
      <c r="A88" s="104">
        <f>IF($E88="","","A-"&amp;TEXT(ROW()-8,"000"))</f>
        <v/>
      </c>
      <c r="B88" s="87" t="n"/>
      <c r="C88" s="88" t="n"/>
      <c r="D88" s="88" t="n"/>
      <c r="E88" s="105" t="n"/>
      <c r="F88" s="106" t="n"/>
      <c r="G88" s="106" t="n"/>
      <c r="H88" s="106" t="n"/>
      <c r="I88" s="95">
        <f>IF(OR($F88="",$G88="",$H88=""),"",$F88*$G88*$H88)</f>
        <v/>
      </c>
      <c r="J88" s="88" t="n"/>
      <c r="K88" s="105" t="n"/>
      <c r="L88" s="105" t="n"/>
      <c r="M88" s="88" t="n"/>
      <c r="N88" s="88" t="n"/>
      <c r="O88" s="87" t="n"/>
      <c r="P88" s="107" t="n"/>
      <c r="Q88" s="88" t="n"/>
      <c r="R88" s="87" t="n"/>
      <c r="S88" s="92">
        <f>IF($O88="","",IF(OR($Q88="Terminée",$Q88="Abandonnée"),IF($R88="","",MAX(0,$R88-$O88)),MAX(0,TODAY()-$O88)))</f>
        <v/>
      </c>
      <c r="T88" s="92">
        <f>IF(OR($R88="",$B88=""),"",$R88-$B88)</f>
        <v/>
      </c>
      <c r="U88" s="88" t="n"/>
      <c r="V88" s="87" t="n"/>
      <c r="W88" s="88" t="n"/>
      <c r="X88" s="108" t="n"/>
      <c r="Y88" s="105" t="n"/>
    </row>
    <row r="89" ht="30" customHeight="1">
      <c r="A89" s="104">
        <f>IF($E89="","","A-"&amp;TEXT(ROW()-8,"000"))</f>
        <v/>
      </c>
      <c r="B89" s="87" t="n"/>
      <c r="C89" s="88" t="n"/>
      <c r="D89" s="88" t="n"/>
      <c r="E89" s="105" t="n"/>
      <c r="F89" s="106" t="n"/>
      <c r="G89" s="106" t="n"/>
      <c r="H89" s="106" t="n"/>
      <c r="I89" s="95">
        <f>IF(OR($F89="",$G89="",$H89=""),"",$F89*$G89*$H89)</f>
        <v/>
      </c>
      <c r="J89" s="88" t="n"/>
      <c r="K89" s="105" t="n"/>
      <c r="L89" s="105" t="n"/>
      <c r="M89" s="88" t="n"/>
      <c r="N89" s="88" t="n"/>
      <c r="O89" s="87" t="n"/>
      <c r="P89" s="107" t="n"/>
      <c r="Q89" s="88" t="n"/>
      <c r="R89" s="87" t="n"/>
      <c r="S89" s="92">
        <f>IF($O89="","",IF(OR($Q89="Terminée",$Q89="Abandonnée"),IF($R89="","",MAX(0,$R89-$O89)),MAX(0,TODAY()-$O89)))</f>
        <v/>
      </c>
      <c r="T89" s="92">
        <f>IF(OR($R89="",$B89=""),"",$R89-$B89)</f>
        <v/>
      </c>
      <c r="U89" s="88" t="n"/>
      <c r="V89" s="87" t="n"/>
      <c r="W89" s="88" t="n"/>
      <c r="X89" s="108" t="n"/>
      <c r="Y89" s="105" t="n"/>
    </row>
    <row r="90" ht="30" customHeight="1">
      <c r="A90" s="104">
        <f>IF($E90="","","A-"&amp;TEXT(ROW()-8,"000"))</f>
        <v/>
      </c>
      <c r="B90" s="87" t="n"/>
      <c r="C90" s="88" t="n"/>
      <c r="D90" s="88" t="n"/>
      <c r="E90" s="105" t="n"/>
      <c r="F90" s="106" t="n"/>
      <c r="G90" s="106" t="n"/>
      <c r="H90" s="106" t="n"/>
      <c r="I90" s="95">
        <f>IF(OR($F90="",$G90="",$H90=""),"",$F90*$G90*$H90)</f>
        <v/>
      </c>
      <c r="J90" s="88" t="n"/>
      <c r="K90" s="105" t="n"/>
      <c r="L90" s="105" t="n"/>
      <c r="M90" s="88" t="n"/>
      <c r="N90" s="88" t="n"/>
      <c r="O90" s="87" t="n"/>
      <c r="P90" s="107" t="n"/>
      <c r="Q90" s="88" t="n"/>
      <c r="R90" s="87" t="n"/>
      <c r="S90" s="92">
        <f>IF($O90="","",IF(OR($Q90="Terminée",$Q90="Abandonnée"),IF($R90="","",MAX(0,$R90-$O90)),MAX(0,TODAY()-$O90)))</f>
        <v/>
      </c>
      <c r="T90" s="92">
        <f>IF(OR($R90="",$B90=""),"",$R90-$B90)</f>
        <v/>
      </c>
      <c r="U90" s="88" t="n"/>
      <c r="V90" s="87" t="n"/>
      <c r="W90" s="88" t="n"/>
      <c r="X90" s="108" t="n"/>
      <c r="Y90" s="105" t="n"/>
    </row>
    <row r="91" ht="30" customHeight="1">
      <c r="A91" s="104">
        <f>IF($E91="","","A-"&amp;TEXT(ROW()-8,"000"))</f>
        <v/>
      </c>
      <c r="B91" s="87" t="n"/>
      <c r="C91" s="88" t="n"/>
      <c r="D91" s="88" t="n"/>
      <c r="E91" s="105" t="n"/>
      <c r="F91" s="106" t="n"/>
      <c r="G91" s="106" t="n"/>
      <c r="H91" s="106" t="n"/>
      <c r="I91" s="95">
        <f>IF(OR($F91="",$G91="",$H91=""),"",$F91*$G91*$H91)</f>
        <v/>
      </c>
      <c r="J91" s="88" t="n"/>
      <c r="K91" s="105" t="n"/>
      <c r="L91" s="105" t="n"/>
      <c r="M91" s="88" t="n"/>
      <c r="N91" s="88" t="n"/>
      <c r="O91" s="87" t="n"/>
      <c r="P91" s="107" t="n"/>
      <c r="Q91" s="88" t="n"/>
      <c r="R91" s="87" t="n"/>
      <c r="S91" s="92">
        <f>IF($O91="","",IF(OR($Q91="Terminée",$Q91="Abandonnée"),IF($R91="","",MAX(0,$R91-$O91)),MAX(0,TODAY()-$O91)))</f>
        <v/>
      </c>
      <c r="T91" s="92">
        <f>IF(OR($R91="",$B91=""),"",$R91-$B91)</f>
        <v/>
      </c>
      <c r="U91" s="88" t="n"/>
      <c r="V91" s="87" t="n"/>
      <c r="W91" s="88" t="n"/>
      <c r="X91" s="108" t="n"/>
      <c r="Y91" s="105" t="n"/>
    </row>
    <row r="92" ht="30" customHeight="1">
      <c r="A92" s="104">
        <f>IF($E92="","","A-"&amp;TEXT(ROW()-8,"000"))</f>
        <v/>
      </c>
      <c r="B92" s="87" t="n"/>
      <c r="C92" s="88" t="n"/>
      <c r="D92" s="88" t="n"/>
      <c r="E92" s="105" t="n"/>
      <c r="F92" s="106" t="n"/>
      <c r="G92" s="106" t="n"/>
      <c r="H92" s="106" t="n"/>
      <c r="I92" s="95">
        <f>IF(OR($F92="",$G92="",$H92=""),"",$F92*$G92*$H92)</f>
        <v/>
      </c>
      <c r="J92" s="88" t="n"/>
      <c r="K92" s="105" t="n"/>
      <c r="L92" s="105" t="n"/>
      <c r="M92" s="88" t="n"/>
      <c r="N92" s="88" t="n"/>
      <c r="O92" s="87" t="n"/>
      <c r="P92" s="107" t="n"/>
      <c r="Q92" s="88" t="n"/>
      <c r="R92" s="87" t="n"/>
      <c r="S92" s="92">
        <f>IF($O92="","",IF(OR($Q92="Terminée",$Q92="Abandonnée"),IF($R92="","",MAX(0,$R92-$O92)),MAX(0,TODAY()-$O92)))</f>
        <v/>
      </c>
      <c r="T92" s="92">
        <f>IF(OR($R92="",$B92=""),"",$R92-$B92)</f>
        <v/>
      </c>
      <c r="U92" s="88" t="n"/>
      <c r="V92" s="87" t="n"/>
      <c r="W92" s="88" t="n"/>
      <c r="X92" s="108" t="n"/>
      <c r="Y92" s="105" t="n"/>
    </row>
    <row r="93" ht="30" customHeight="1">
      <c r="A93" s="104">
        <f>IF($E93="","","A-"&amp;TEXT(ROW()-8,"000"))</f>
        <v/>
      </c>
      <c r="B93" s="87" t="n"/>
      <c r="C93" s="88" t="n"/>
      <c r="D93" s="88" t="n"/>
      <c r="E93" s="105" t="n"/>
      <c r="F93" s="106" t="n"/>
      <c r="G93" s="106" t="n"/>
      <c r="H93" s="106" t="n"/>
      <c r="I93" s="95">
        <f>IF(OR($F93="",$G93="",$H93=""),"",$F93*$G93*$H93)</f>
        <v/>
      </c>
      <c r="J93" s="88" t="n"/>
      <c r="K93" s="105" t="n"/>
      <c r="L93" s="105" t="n"/>
      <c r="M93" s="88" t="n"/>
      <c r="N93" s="88" t="n"/>
      <c r="O93" s="87" t="n"/>
      <c r="P93" s="107" t="n"/>
      <c r="Q93" s="88" t="n"/>
      <c r="R93" s="87" t="n"/>
      <c r="S93" s="92">
        <f>IF($O93="","",IF(OR($Q93="Terminée",$Q93="Abandonnée"),IF($R93="","",MAX(0,$R93-$O93)),MAX(0,TODAY()-$O93)))</f>
        <v/>
      </c>
      <c r="T93" s="92">
        <f>IF(OR($R93="",$B93=""),"",$R93-$B93)</f>
        <v/>
      </c>
      <c r="U93" s="88" t="n"/>
      <c r="V93" s="87" t="n"/>
      <c r="W93" s="88" t="n"/>
      <c r="X93" s="108" t="n"/>
      <c r="Y93" s="105" t="n"/>
    </row>
    <row r="94" ht="30" customHeight="1">
      <c r="A94" s="104">
        <f>IF($E94="","","A-"&amp;TEXT(ROW()-8,"000"))</f>
        <v/>
      </c>
      <c r="B94" s="87" t="n"/>
      <c r="C94" s="88" t="n"/>
      <c r="D94" s="88" t="n"/>
      <c r="E94" s="105" t="n"/>
      <c r="F94" s="106" t="n"/>
      <c r="G94" s="106" t="n"/>
      <c r="H94" s="106" t="n"/>
      <c r="I94" s="95">
        <f>IF(OR($F94="",$G94="",$H94=""),"",$F94*$G94*$H94)</f>
        <v/>
      </c>
      <c r="J94" s="88" t="n"/>
      <c r="K94" s="105" t="n"/>
      <c r="L94" s="105" t="n"/>
      <c r="M94" s="88" t="n"/>
      <c r="N94" s="88" t="n"/>
      <c r="O94" s="87" t="n"/>
      <c r="P94" s="107" t="n"/>
      <c r="Q94" s="88" t="n"/>
      <c r="R94" s="87" t="n"/>
      <c r="S94" s="92">
        <f>IF($O94="","",IF(OR($Q94="Terminée",$Q94="Abandonnée"),IF($R94="","",MAX(0,$R94-$O94)),MAX(0,TODAY()-$O94)))</f>
        <v/>
      </c>
      <c r="T94" s="92">
        <f>IF(OR($R94="",$B94=""),"",$R94-$B94)</f>
        <v/>
      </c>
      <c r="U94" s="88" t="n"/>
      <c r="V94" s="87" t="n"/>
      <c r="W94" s="88" t="n"/>
      <c r="X94" s="108" t="n"/>
      <c r="Y94" s="105" t="n"/>
    </row>
    <row r="95" ht="30" customHeight="1">
      <c r="A95" s="104">
        <f>IF($E95="","","A-"&amp;TEXT(ROW()-8,"000"))</f>
        <v/>
      </c>
      <c r="B95" s="87" t="n"/>
      <c r="C95" s="88" t="n"/>
      <c r="D95" s="88" t="n"/>
      <c r="E95" s="105" t="n"/>
      <c r="F95" s="106" t="n"/>
      <c r="G95" s="106" t="n"/>
      <c r="H95" s="106" t="n"/>
      <c r="I95" s="95">
        <f>IF(OR($F95="",$G95="",$H95=""),"",$F95*$G95*$H95)</f>
        <v/>
      </c>
      <c r="J95" s="88" t="n"/>
      <c r="K95" s="105" t="n"/>
      <c r="L95" s="105" t="n"/>
      <c r="M95" s="88" t="n"/>
      <c r="N95" s="88" t="n"/>
      <c r="O95" s="87" t="n"/>
      <c r="P95" s="107" t="n"/>
      <c r="Q95" s="88" t="n"/>
      <c r="R95" s="87" t="n"/>
      <c r="S95" s="92">
        <f>IF($O95="","",IF(OR($Q95="Terminée",$Q95="Abandonnée"),IF($R95="","",MAX(0,$R95-$O95)),MAX(0,TODAY()-$O95)))</f>
        <v/>
      </c>
      <c r="T95" s="92">
        <f>IF(OR($R95="",$B95=""),"",$R95-$B95)</f>
        <v/>
      </c>
      <c r="U95" s="88" t="n"/>
      <c r="V95" s="87" t="n"/>
      <c r="W95" s="88" t="n"/>
      <c r="X95" s="108" t="n"/>
      <c r="Y95" s="105" t="n"/>
    </row>
    <row r="96" ht="30" customHeight="1">
      <c r="A96" s="104">
        <f>IF($E96="","","A-"&amp;TEXT(ROW()-8,"000"))</f>
        <v/>
      </c>
      <c r="B96" s="87" t="n"/>
      <c r="C96" s="88" t="n"/>
      <c r="D96" s="88" t="n"/>
      <c r="E96" s="105" t="n"/>
      <c r="F96" s="106" t="n"/>
      <c r="G96" s="106" t="n"/>
      <c r="H96" s="106" t="n"/>
      <c r="I96" s="95">
        <f>IF(OR($F96="",$G96="",$H96=""),"",$F96*$G96*$H96)</f>
        <v/>
      </c>
      <c r="J96" s="88" t="n"/>
      <c r="K96" s="105" t="n"/>
      <c r="L96" s="105" t="n"/>
      <c r="M96" s="88" t="n"/>
      <c r="N96" s="88" t="n"/>
      <c r="O96" s="87" t="n"/>
      <c r="P96" s="107" t="n"/>
      <c r="Q96" s="88" t="n"/>
      <c r="R96" s="87" t="n"/>
      <c r="S96" s="92">
        <f>IF($O96="","",IF(OR($Q96="Terminée",$Q96="Abandonnée"),IF($R96="","",MAX(0,$R96-$O96)),MAX(0,TODAY()-$O96)))</f>
        <v/>
      </c>
      <c r="T96" s="92">
        <f>IF(OR($R96="",$B96=""),"",$R96-$B96)</f>
        <v/>
      </c>
      <c r="U96" s="88" t="n"/>
      <c r="V96" s="87" t="n"/>
      <c r="W96" s="88" t="n"/>
      <c r="X96" s="108" t="n"/>
      <c r="Y96" s="105" t="n"/>
    </row>
    <row r="97" ht="30" customHeight="1">
      <c r="A97" s="104">
        <f>IF($E97="","","A-"&amp;TEXT(ROW()-8,"000"))</f>
        <v/>
      </c>
      <c r="B97" s="87" t="n"/>
      <c r="C97" s="88" t="n"/>
      <c r="D97" s="88" t="n"/>
      <c r="E97" s="105" t="n"/>
      <c r="F97" s="106" t="n"/>
      <c r="G97" s="106" t="n"/>
      <c r="H97" s="106" t="n"/>
      <c r="I97" s="95">
        <f>IF(OR($F97="",$G97="",$H97=""),"",$F97*$G97*$H97)</f>
        <v/>
      </c>
      <c r="J97" s="88" t="n"/>
      <c r="K97" s="105" t="n"/>
      <c r="L97" s="105" t="n"/>
      <c r="M97" s="88" t="n"/>
      <c r="N97" s="88" t="n"/>
      <c r="O97" s="87" t="n"/>
      <c r="P97" s="107" t="n"/>
      <c r="Q97" s="88" t="n"/>
      <c r="R97" s="87" t="n"/>
      <c r="S97" s="92">
        <f>IF($O97="","",IF(OR($Q97="Terminée",$Q97="Abandonnée"),IF($R97="","",MAX(0,$R97-$O97)),MAX(0,TODAY()-$O97)))</f>
        <v/>
      </c>
      <c r="T97" s="92">
        <f>IF(OR($R97="",$B97=""),"",$R97-$B97)</f>
        <v/>
      </c>
      <c r="U97" s="88" t="n"/>
      <c r="V97" s="87" t="n"/>
      <c r="W97" s="88" t="n"/>
      <c r="X97" s="108" t="n"/>
      <c r="Y97" s="105" t="n"/>
    </row>
    <row r="98" ht="30" customHeight="1">
      <c r="A98" s="104">
        <f>IF($E98="","","A-"&amp;TEXT(ROW()-8,"000"))</f>
        <v/>
      </c>
      <c r="B98" s="87" t="n"/>
      <c r="C98" s="88" t="n"/>
      <c r="D98" s="88" t="n"/>
      <c r="E98" s="105" t="n"/>
      <c r="F98" s="106" t="n"/>
      <c r="G98" s="106" t="n"/>
      <c r="H98" s="106" t="n"/>
      <c r="I98" s="95">
        <f>IF(OR($F98="",$G98="",$H98=""),"",$F98*$G98*$H98)</f>
        <v/>
      </c>
      <c r="J98" s="88" t="n"/>
      <c r="K98" s="105" t="n"/>
      <c r="L98" s="105" t="n"/>
      <c r="M98" s="88" t="n"/>
      <c r="N98" s="88" t="n"/>
      <c r="O98" s="87" t="n"/>
      <c r="P98" s="107" t="n"/>
      <c r="Q98" s="88" t="n"/>
      <c r="R98" s="87" t="n"/>
      <c r="S98" s="92">
        <f>IF($O98="","",IF(OR($Q98="Terminée",$Q98="Abandonnée"),IF($R98="","",MAX(0,$R98-$O98)),MAX(0,TODAY()-$O98)))</f>
        <v/>
      </c>
      <c r="T98" s="92">
        <f>IF(OR($R98="",$B98=""),"",$R98-$B98)</f>
        <v/>
      </c>
      <c r="U98" s="88" t="n"/>
      <c r="V98" s="87" t="n"/>
      <c r="W98" s="88" t="n"/>
      <c r="X98" s="108" t="n"/>
      <c r="Y98" s="105" t="n"/>
    </row>
    <row r="99" ht="30" customHeight="1">
      <c r="A99" s="104">
        <f>IF($E99="","","A-"&amp;TEXT(ROW()-8,"000"))</f>
        <v/>
      </c>
      <c r="B99" s="87" t="n"/>
      <c r="C99" s="88" t="n"/>
      <c r="D99" s="88" t="n"/>
      <c r="E99" s="105" t="n"/>
      <c r="F99" s="106" t="n"/>
      <c r="G99" s="106" t="n"/>
      <c r="H99" s="106" t="n"/>
      <c r="I99" s="95">
        <f>IF(OR($F99="",$G99="",$H99=""),"",$F99*$G99*$H99)</f>
        <v/>
      </c>
      <c r="J99" s="88" t="n"/>
      <c r="K99" s="105" t="n"/>
      <c r="L99" s="105" t="n"/>
      <c r="M99" s="88" t="n"/>
      <c r="N99" s="88" t="n"/>
      <c r="O99" s="87" t="n"/>
      <c r="P99" s="107" t="n"/>
      <c r="Q99" s="88" t="n"/>
      <c r="R99" s="87" t="n"/>
      <c r="S99" s="92">
        <f>IF($O99="","",IF(OR($Q99="Terminée",$Q99="Abandonnée"),IF($R99="","",MAX(0,$R99-$O99)),MAX(0,TODAY()-$O99)))</f>
        <v/>
      </c>
      <c r="T99" s="92">
        <f>IF(OR($R99="",$B99=""),"",$R99-$B99)</f>
        <v/>
      </c>
      <c r="U99" s="88" t="n"/>
      <c r="V99" s="87" t="n"/>
      <c r="W99" s="88" t="n"/>
      <c r="X99" s="108" t="n"/>
      <c r="Y99" s="105" t="n"/>
    </row>
    <row r="100" ht="30" customHeight="1">
      <c r="A100" s="104">
        <f>IF($E100="","","A-"&amp;TEXT(ROW()-8,"000"))</f>
        <v/>
      </c>
      <c r="B100" s="87" t="n"/>
      <c r="C100" s="88" t="n"/>
      <c r="D100" s="88" t="n"/>
      <c r="E100" s="105" t="n"/>
      <c r="F100" s="106" t="n"/>
      <c r="G100" s="106" t="n"/>
      <c r="H100" s="106" t="n"/>
      <c r="I100" s="95">
        <f>IF(OR($F100="",$G100="",$H100=""),"",$F100*$G100*$H100)</f>
        <v/>
      </c>
      <c r="J100" s="88" t="n"/>
      <c r="K100" s="105" t="n"/>
      <c r="L100" s="105" t="n"/>
      <c r="M100" s="88" t="n"/>
      <c r="N100" s="88" t="n"/>
      <c r="O100" s="87" t="n"/>
      <c r="P100" s="107" t="n"/>
      <c r="Q100" s="88" t="n"/>
      <c r="R100" s="87" t="n"/>
      <c r="S100" s="92">
        <f>IF($O100="","",IF(OR($Q100="Terminée",$Q100="Abandonnée"),IF($R100="","",MAX(0,$R100-$O100)),MAX(0,TODAY()-$O100)))</f>
        <v/>
      </c>
      <c r="T100" s="92">
        <f>IF(OR($R100="",$B100=""),"",$R100-$B100)</f>
        <v/>
      </c>
      <c r="U100" s="88" t="n"/>
      <c r="V100" s="87" t="n"/>
      <c r="W100" s="88" t="n"/>
      <c r="X100" s="108" t="n"/>
      <c r="Y100" s="105" t="n"/>
    </row>
    <row r="101" ht="30" customHeight="1">
      <c r="A101" s="104">
        <f>IF($E101="","","A-"&amp;TEXT(ROW()-8,"000"))</f>
        <v/>
      </c>
      <c r="B101" s="87" t="n"/>
      <c r="C101" s="88" t="n"/>
      <c r="D101" s="88" t="n"/>
      <c r="E101" s="105" t="n"/>
      <c r="F101" s="106" t="n"/>
      <c r="G101" s="106" t="n"/>
      <c r="H101" s="106" t="n"/>
      <c r="I101" s="95">
        <f>IF(OR($F101="",$G101="",$H101=""),"",$F101*$G101*$H101)</f>
        <v/>
      </c>
      <c r="J101" s="88" t="n"/>
      <c r="K101" s="105" t="n"/>
      <c r="L101" s="105" t="n"/>
      <c r="M101" s="88" t="n"/>
      <c r="N101" s="88" t="n"/>
      <c r="O101" s="87" t="n"/>
      <c r="P101" s="107" t="n"/>
      <c r="Q101" s="88" t="n"/>
      <c r="R101" s="87" t="n"/>
      <c r="S101" s="92">
        <f>IF($O101="","",IF(OR($Q101="Terminée",$Q101="Abandonnée"),IF($R101="","",MAX(0,$R101-$O101)),MAX(0,TODAY()-$O101)))</f>
        <v/>
      </c>
      <c r="T101" s="92">
        <f>IF(OR($R101="",$B101=""),"",$R101-$B101)</f>
        <v/>
      </c>
      <c r="U101" s="88" t="n"/>
      <c r="V101" s="87" t="n"/>
      <c r="W101" s="88" t="n"/>
      <c r="X101" s="108" t="n"/>
      <c r="Y101" s="105" t="n"/>
    </row>
    <row r="102" ht="30" customHeight="1">
      <c r="A102" s="104">
        <f>IF($E102="","","A-"&amp;TEXT(ROW()-8,"000"))</f>
        <v/>
      </c>
      <c r="B102" s="87" t="n"/>
      <c r="C102" s="88" t="n"/>
      <c r="D102" s="88" t="n"/>
      <c r="E102" s="105" t="n"/>
      <c r="F102" s="106" t="n"/>
      <c r="G102" s="106" t="n"/>
      <c r="H102" s="106" t="n"/>
      <c r="I102" s="95">
        <f>IF(OR($F102="",$G102="",$H102=""),"",$F102*$G102*$H102)</f>
        <v/>
      </c>
      <c r="J102" s="88" t="n"/>
      <c r="K102" s="105" t="n"/>
      <c r="L102" s="105" t="n"/>
      <c r="M102" s="88" t="n"/>
      <c r="N102" s="88" t="n"/>
      <c r="O102" s="87" t="n"/>
      <c r="P102" s="107" t="n"/>
      <c r="Q102" s="88" t="n"/>
      <c r="R102" s="87" t="n"/>
      <c r="S102" s="92">
        <f>IF($O102="","",IF(OR($Q102="Terminée",$Q102="Abandonnée"),IF($R102="","",MAX(0,$R102-$O102)),MAX(0,TODAY()-$O102)))</f>
        <v/>
      </c>
      <c r="T102" s="92">
        <f>IF(OR($R102="",$B102=""),"",$R102-$B102)</f>
        <v/>
      </c>
      <c r="U102" s="88" t="n"/>
      <c r="V102" s="87" t="n"/>
      <c r="W102" s="88" t="n"/>
      <c r="X102" s="108" t="n"/>
      <c r="Y102" s="105" t="n"/>
    </row>
    <row r="103" ht="30" customHeight="1">
      <c r="A103" s="104">
        <f>IF($E103="","","A-"&amp;TEXT(ROW()-8,"000"))</f>
        <v/>
      </c>
      <c r="B103" s="87" t="n"/>
      <c r="C103" s="88" t="n"/>
      <c r="D103" s="88" t="n"/>
      <c r="E103" s="105" t="n"/>
      <c r="F103" s="106" t="n"/>
      <c r="G103" s="106" t="n"/>
      <c r="H103" s="106" t="n"/>
      <c r="I103" s="95">
        <f>IF(OR($F103="",$G103="",$H103=""),"",$F103*$G103*$H103)</f>
        <v/>
      </c>
      <c r="J103" s="88" t="n"/>
      <c r="K103" s="105" t="n"/>
      <c r="L103" s="105" t="n"/>
      <c r="M103" s="88" t="n"/>
      <c r="N103" s="88" t="n"/>
      <c r="O103" s="87" t="n"/>
      <c r="P103" s="107" t="n"/>
      <c r="Q103" s="88" t="n"/>
      <c r="R103" s="87" t="n"/>
      <c r="S103" s="92">
        <f>IF($O103="","",IF(OR($Q103="Terminée",$Q103="Abandonnée"),IF($R103="","",MAX(0,$R103-$O103)),MAX(0,TODAY()-$O103)))</f>
        <v/>
      </c>
      <c r="T103" s="92">
        <f>IF(OR($R103="",$B103=""),"",$R103-$B103)</f>
        <v/>
      </c>
      <c r="U103" s="88" t="n"/>
      <c r="V103" s="87" t="n"/>
      <c r="W103" s="88" t="n"/>
      <c r="X103" s="108" t="n"/>
      <c r="Y103" s="105" t="n"/>
    </row>
    <row r="104" ht="30" customHeight="1">
      <c r="A104" s="104">
        <f>IF($E104="","","A-"&amp;TEXT(ROW()-8,"000"))</f>
        <v/>
      </c>
      <c r="B104" s="87" t="n"/>
      <c r="C104" s="88" t="n"/>
      <c r="D104" s="88" t="n"/>
      <c r="E104" s="105" t="n"/>
      <c r="F104" s="106" t="n"/>
      <c r="G104" s="106" t="n"/>
      <c r="H104" s="106" t="n"/>
      <c r="I104" s="95">
        <f>IF(OR($F104="",$G104="",$H104=""),"",$F104*$G104*$H104)</f>
        <v/>
      </c>
      <c r="J104" s="88" t="n"/>
      <c r="K104" s="105" t="n"/>
      <c r="L104" s="105" t="n"/>
      <c r="M104" s="88" t="n"/>
      <c r="N104" s="88" t="n"/>
      <c r="O104" s="87" t="n"/>
      <c r="P104" s="107" t="n"/>
      <c r="Q104" s="88" t="n"/>
      <c r="R104" s="87" t="n"/>
      <c r="S104" s="92">
        <f>IF($O104="","",IF(OR($Q104="Terminée",$Q104="Abandonnée"),IF($R104="","",MAX(0,$R104-$O104)),MAX(0,TODAY()-$O104)))</f>
        <v/>
      </c>
      <c r="T104" s="92">
        <f>IF(OR($R104="",$B104=""),"",$R104-$B104)</f>
        <v/>
      </c>
      <c r="U104" s="88" t="n"/>
      <c r="V104" s="87" t="n"/>
      <c r="W104" s="88" t="n"/>
      <c r="X104" s="108" t="n"/>
      <c r="Y104" s="105" t="n"/>
    </row>
    <row r="105" ht="30" customHeight="1">
      <c r="A105" s="104">
        <f>IF($E105="","","A-"&amp;TEXT(ROW()-8,"000"))</f>
        <v/>
      </c>
      <c r="B105" s="87" t="n"/>
      <c r="C105" s="88" t="n"/>
      <c r="D105" s="88" t="n"/>
      <c r="E105" s="105" t="n"/>
      <c r="F105" s="106" t="n"/>
      <c r="G105" s="106" t="n"/>
      <c r="H105" s="106" t="n"/>
      <c r="I105" s="95">
        <f>IF(OR($F105="",$G105="",$H105=""),"",$F105*$G105*$H105)</f>
        <v/>
      </c>
      <c r="J105" s="88" t="n"/>
      <c r="K105" s="105" t="n"/>
      <c r="L105" s="105" t="n"/>
      <c r="M105" s="88" t="n"/>
      <c r="N105" s="88" t="n"/>
      <c r="O105" s="87" t="n"/>
      <c r="P105" s="107" t="n"/>
      <c r="Q105" s="88" t="n"/>
      <c r="R105" s="87" t="n"/>
      <c r="S105" s="92">
        <f>IF($O105="","",IF(OR($Q105="Terminée",$Q105="Abandonnée"),IF($R105="","",MAX(0,$R105-$O105)),MAX(0,TODAY()-$O105)))</f>
        <v/>
      </c>
      <c r="T105" s="92">
        <f>IF(OR($R105="",$B105=""),"",$R105-$B105)</f>
        <v/>
      </c>
      <c r="U105" s="88" t="n"/>
      <c r="V105" s="87" t="n"/>
      <c r="W105" s="88" t="n"/>
      <c r="X105" s="108" t="n"/>
      <c r="Y105" s="105" t="n"/>
    </row>
    <row r="106" ht="30" customHeight="1">
      <c r="A106" s="104">
        <f>IF($E106="","","A-"&amp;TEXT(ROW()-8,"000"))</f>
        <v/>
      </c>
      <c r="B106" s="87" t="n"/>
      <c r="C106" s="88" t="n"/>
      <c r="D106" s="88" t="n"/>
      <c r="E106" s="105" t="n"/>
      <c r="F106" s="106" t="n"/>
      <c r="G106" s="106" t="n"/>
      <c r="H106" s="106" t="n"/>
      <c r="I106" s="95">
        <f>IF(OR($F106="",$G106="",$H106=""),"",$F106*$G106*$H106)</f>
        <v/>
      </c>
      <c r="J106" s="88" t="n"/>
      <c r="K106" s="105" t="n"/>
      <c r="L106" s="105" t="n"/>
      <c r="M106" s="88" t="n"/>
      <c r="N106" s="88" t="n"/>
      <c r="O106" s="87" t="n"/>
      <c r="P106" s="107" t="n"/>
      <c r="Q106" s="88" t="n"/>
      <c r="R106" s="87" t="n"/>
      <c r="S106" s="92">
        <f>IF($O106="","",IF(OR($Q106="Terminée",$Q106="Abandonnée"),IF($R106="","",MAX(0,$R106-$O106)),MAX(0,TODAY()-$O106)))</f>
        <v/>
      </c>
      <c r="T106" s="92">
        <f>IF(OR($R106="",$B106=""),"",$R106-$B106)</f>
        <v/>
      </c>
      <c r="U106" s="88" t="n"/>
      <c r="V106" s="87" t="n"/>
      <c r="W106" s="88" t="n"/>
      <c r="X106" s="108" t="n"/>
      <c r="Y106" s="105" t="n"/>
    </row>
    <row r="107" ht="30" customHeight="1">
      <c r="A107" s="104">
        <f>IF($E107="","","A-"&amp;TEXT(ROW()-8,"000"))</f>
        <v/>
      </c>
      <c r="B107" s="87" t="n"/>
      <c r="C107" s="88" t="n"/>
      <c r="D107" s="88" t="n"/>
      <c r="E107" s="105" t="n"/>
      <c r="F107" s="106" t="n"/>
      <c r="G107" s="106" t="n"/>
      <c r="H107" s="106" t="n"/>
      <c r="I107" s="95">
        <f>IF(OR($F107="",$G107="",$H107=""),"",$F107*$G107*$H107)</f>
        <v/>
      </c>
      <c r="J107" s="88" t="n"/>
      <c r="K107" s="105" t="n"/>
      <c r="L107" s="105" t="n"/>
      <c r="M107" s="88" t="n"/>
      <c r="N107" s="88" t="n"/>
      <c r="O107" s="87" t="n"/>
      <c r="P107" s="107" t="n"/>
      <c r="Q107" s="88" t="n"/>
      <c r="R107" s="87" t="n"/>
      <c r="S107" s="92">
        <f>IF($O107="","",IF(OR($Q107="Terminée",$Q107="Abandonnée"),IF($R107="","",MAX(0,$R107-$O107)),MAX(0,TODAY()-$O107)))</f>
        <v/>
      </c>
      <c r="T107" s="92">
        <f>IF(OR($R107="",$B107=""),"",$R107-$B107)</f>
        <v/>
      </c>
      <c r="U107" s="88" t="n"/>
      <c r="V107" s="87" t="n"/>
      <c r="W107" s="88" t="n"/>
      <c r="X107" s="108" t="n"/>
      <c r="Y107" s="105" t="n"/>
    </row>
    <row r="108" ht="30" customHeight="1">
      <c r="A108" s="104">
        <f>IF($E108="","","A-"&amp;TEXT(ROW()-8,"000"))</f>
        <v/>
      </c>
      <c r="B108" s="87" t="n"/>
      <c r="C108" s="88" t="n"/>
      <c r="D108" s="88" t="n"/>
      <c r="E108" s="105" t="n"/>
      <c r="F108" s="106" t="n"/>
      <c r="G108" s="106" t="n"/>
      <c r="H108" s="106" t="n"/>
      <c r="I108" s="95">
        <f>IF(OR($F108="",$G108="",$H108=""),"",$F108*$G108*$H108)</f>
        <v/>
      </c>
      <c r="J108" s="88" t="n"/>
      <c r="K108" s="105" t="n"/>
      <c r="L108" s="105" t="n"/>
      <c r="M108" s="88" t="n"/>
      <c r="N108" s="88" t="n"/>
      <c r="O108" s="87" t="n"/>
      <c r="P108" s="107" t="n"/>
      <c r="Q108" s="88" t="n"/>
      <c r="R108" s="87" t="n"/>
      <c r="S108" s="92">
        <f>IF($O108="","",IF(OR($Q108="Terminée",$Q108="Abandonnée"),IF($R108="","",MAX(0,$R108-$O108)),MAX(0,TODAY()-$O108)))</f>
        <v/>
      </c>
      <c r="T108" s="92">
        <f>IF(OR($R108="",$B108=""),"",$R108-$B108)</f>
        <v/>
      </c>
      <c r="U108" s="88" t="n"/>
      <c r="V108" s="87" t="n"/>
      <c r="W108" s="88" t="n"/>
      <c r="X108" s="108" t="n"/>
      <c r="Y108" s="105" t="n"/>
    </row>
    <row r="109" ht="30" customHeight="1">
      <c r="A109" s="104">
        <f>IF($E109="","","A-"&amp;TEXT(ROW()-8,"000"))</f>
        <v/>
      </c>
      <c r="B109" s="87" t="n"/>
      <c r="C109" s="88" t="n"/>
      <c r="D109" s="88" t="n"/>
      <c r="E109" s="105" t="n"/>
      <c r="F109" s="106" t="n"/>
      <c r="G109" s="106" t="n"/>
      <c r="H109" s="106" t="n"/>
      <c r="I109" s="95">
        <f>IF(OR($F109="",$G109="",$H109=""),"",$F109*$G109*$H109)</f>
        <v/>
      </c>
      <c r="J109" s="88" t="n"/>
      <c r="K109" s="105" t="n"/>
      <c r="L109" s="105" t="n"/>
      <c r="M109" s="88" t="n"/>
      <c r="N109" s="88" t="n"/>
      <c r="O109" s="87" t="n"/>
      <c r="P109" s="107" t="n"/>
      <c r="Q109" s="88" t="n"/>
      <c r="R109" s="87" t="n"/>
      <c r="S109" s="92">
        <f>IF($O109="","",IF(OR($Q109="Terminée",$Q109="Abandonnée"),IF($R109="","",MAX(0,$R109-$O109)),MAX(0,TODAY()-$O109)))</f>
        <v/>
      </c>
      <c r="T109" s="92">
        <f>IF(OR($R109="",$B109=""),"",$R109-$B109)</f>
        <v/>
      </c>
      <c r="U109" s="88" t="n"/>
      <c r="V109" s="87" t="n"/>
      <c r="W109" s="88" t="n"/>
      <c r="X109" s="108" t="n"/>
      <c r="Y109" s="105" t="n"/>
    </row>
    <row r="110" ht="30" customHeight="1">
      <c r="A110" s="104">
        <f>IF($E110="","","A-"&amp;TEXT(ROW()-8,"000"))</f>
        <v/>
      </c>
      <c r="B110" s="87" t="n"/>
      <c r="C110" s="88" t="n"/>
      <c r="D110" s="88" t="n"/>
      <c r="E110" s="105" t="n"/>
      <c r="F110" s="106" t="n"/>
      <c r="G110" s="106" t="n"/>
      <c r="H110" s="106" t="n"/>
      <c r="I110" s="95">
        <f>IF(OR($F110="",$G110="",$H110=""),"",$F110*$G110*$H110)</f>
        <v/>
      </c>
      <c r="J110" s="88" t="n"/>
      <c r="K110" s="105" t="n"/>
      <c r="L110" s="105" t="n"/>
      <c r="M110" s="88" t="n"/>
      <c r="N110" s="88" t="n"/>
      <c r="O110" s="87" t="n"/>
      <c r="P110" s="107" t="n"/>
      <c r="Q110" s="88" t="n"/>
      <c r="R110" s="87" t="n"/>
      <c r="S110" s="92">
        <f>IF($O110="","",IF(OR($Q110="Terminée",$Q110="Abandonnée"),IF($R110="","",MAX(0,$R110-$O110)),MAX(0,TODAY()-$O110)))</f>
        <v/>
      </c>
      <c r="T110" s="92">
        <f>IF(OR($R110="",$B110=""),"",$R110-$B110)</f>
        <v/>
      </c>
      <c r="U110" s="88" t="n"/>
      <c r="V110" s="87" t="n"/>
      <c r="W110" s="88" t="n"/>
      <c r="X110" s="108" t="n"/>
      <c r="Y110" s="105" t="n"/>
    </row>
    <row r="111" ht="30" customHeight="1">
      <c r="A111" s="104">
        <f>IF($E111="","","A-"&amp;TEXT(ROW()-8,"000"))</f>
        <v/>
      </c>
      <c r="B111" s="87" t="n"/>
      <c r="C111" s="88" t="n"/>
      <c r="D111" s="88" t="n"/>
      <c r="E111" s="105" t="n"/>
      <c r="F111" s="106" t="n"/>
      <c r="G111" s="106" t="n"/>
      <c r="H111" s="106" t="n"/>
      <c r="I111" s="95">
        <f>IF(OR($F111="",$G111="",$H111=""),"",$F111*$G111*$H111)</f>
        <v/>
      </c>
      <c r="J111" s="88" t="n"/>
      <c r="K111" s="105" t="n"/>
      <c r="L111" s="105" t="n"/>
      <c r="M111" s="88" t="n"/>
      <c r="N111" s="88" t="n"/>
      <c r="O111" s="87" t="n"/>
      <c r="P111" s="107" t="n"/>
      <c r="Q111" s="88" t="n"/>
      <c r="R111" s="87" t="n"/>
      <c r="S111" s="92">
        <f>IF($O111="","",IF(OR($Q111="Terminée",$Q111="Abandonnée"),IF($R111="","",MAX(0,$R111-$O111)),MAX(0,TODAY()-$O111)))</f>
        <v/>
      </c>
      <c r="T111" s="92">
        <f>IF(OR($R111="",$B111=""),"",$R111-$B111)</f>
        <v/>
      </c>
      <c r="U111" s="88" t="n"/>
      <c r="V111" s="87" t="n"/>
      <c r="W111" s="88" t="n"/>
      <c r="X111" s="108" t="n"/>
      <c r="Y111" s="105" t="n"/>
    </row>
    <row r="112" ht="30" customHeight="1">
      <c r="A112" s="104">
        <f>IF($E112="","","A-"&amp;TEXT(ROW()-8,"000"))</f>
        <v/>
      </c>
      <c r="B112" s="87" t="n"/>
      <c r="C112" s="88" t="n"/>
      <c r="D112" s="88" t="n"/>
      <c r="E112" s="105" t="n"/>
      <c r="F112" s="106" t="n"/>
      <c r="G112" s="106" t="n"/>
      <c r="H112" s="106" t="n"/>
      <c r="I112" s="95">
        <f>IF(OR($F112="",$G112="",$H112=""),"",$F112*$G112*$H112)</f>
        <v/>
      </c>
      <c r="J112" s="88" t="n"/>
      <c r="K112" s="105" t="n"/>
      <c r="L112" s="105" t="n"/>
      <c r="M112" s="88" t="n"/>
      <c r="N112" s="88" t="n"/>
      <c r="O112" s="87" t="n"/>
      <c r="P112" s="107" t="n"/>
      <c r="Q112" s="88" t="n"/>
      <c r="R112" s="87" t="n"/>
      <c r="S112" s="92">
        <f>IF($O112="","",IF(OR($Q112="Terminée",$Q112="Abandonnée"),IF($R112="","",MAX(0,$R112-$O112)),MAX(0,TODAY()-$O112)))</f>
        <v/>
      </c>
      <c r="T112" s="92">
        <f>IF(OR($R112="",$B112=""),"",$R112-$B112)</f>
        <v/>
      </c>
      <c r="U112" s="88" t="n"/>
      <c r="V112" s="87" t="n"/>
      <c r="W112" s="88" t="n"/>
      <c r="X112" s="108" t="n"/>
      <c r="Y112" s="105" t="n"/>
    </row>
    <row r="113" ht="30" customHeight="1">
      <c r="A113" s="104">
        <f>IF($E113="","","A-"&amp;TEXT(ROW()-8,"000"))</f>
        <v/>
      </c>
      <c r="B113" s="87" t="n"/>
      <c r="C113" s="88" t="n"/>
      <c r="D113" s="88" t="n"/>
      <c r="E113" s="105" t="n"/>
      <c r="F113" s="106" t="n"/>
      <c r="G113" s="106" t="n"/>
      <c r="H113" s="106" t="n"/>
      <c r="I113" s="95">
        <f>IF(OR($F113="",$G113="",$H113=""),"",$F113*$G113*$H113)</f>
        <v/>
      </c>
      <c r="J113" s="88" t="n"/>
      <c r="K113" s="105" t="n"/>
      <c r="L113" s="105" t="n"/>
      <c r="M113" s="88" t="n"/>
      <c r="N113" s="88" t="n"/>
      <c r="O113" s="87" t="n"/>
      <c r="P113" s="107" t="n"/>
      <c r="Q113" s="88" t="n"/>
      <c r="R113" s="87" t="n"/>
      <c r="S113" s="92">
        <f>IF($O113="","",IF(OR($Q113="Terminée",$Q113="Abandonnée"),IF($R113="","",MAX(0,$R113-$O113)),MAX(0,TODAY()-$O113)))</f>
        <v/>
      </c>
      <c r="T113" s="92">
        <f>IF(OR($R113="",$B113=""),"",$R113-$B113)</f>
        <v/>
      </c>
      <c r="U113" s="88" t="n"/>
      <c r="V113" s="87" t="n"/>
      <c r="W113" s="88" t="n"/>
      <c r="X113" s="108" t="n"/>
      <c r="Y113" s="105" t="n"/>
    </row>
    <row r="114" ht="30" customHeight="1">
      <c r="A114" s="104">
        <f>IF($E114="","","A-"&amp;TEXT(ROW()-8,"000"))</f>
        <v/>
      </c>
      <c r="B114" s="87" t="n"/>
      <c r="C114" s="88" t="n"/>
      <c r="D114" s="88" t="n"/>
      <c r="E114" s="105" t="n"/>
      <c r="F114" s="106" t="n"/>
      <c r="G114" s="106" t="n"/>
      <c r="H114" s="106" t="n"/>
      <c r="I114" s="95">
        <f>IF(OR($F114="",$G114="",$H114=""),"",$F114*$G114*$H114)</f>
        <v/>
      </c>
      <c r="J114" s="88" t="n"/>
      <c r="K114" s="105" t="n"/>
      <c r="L114" s="105" t="n"/>
      <c r="M114" s="88" t="n"/>
      <c r="N114" s="88" t="n"/>
      <c r="O114" s="87" t="n"/>
      <c r="P114" s="107" t="n"/>
      <c r="Q114" s="88" t="n"/>
      <c r="R114" s="87" t="n"/>
      <c r="S114" s="92">
        <f>IF($O114="","",IF(OR($Q114="Terminée",$Q114="Abandonnée"),IF($R114="","",MAX(0,$R114-$O114)),MAX(0,TODAY()-$O114)))</f>
        <v/>
      </c>
      <c r="T114" s="92">
        <f>IF(OR($R114="",$B114=""),"",$R114-$B114)</f>
        <v/>
      </c>
      <c r="U114" s="88" t="n"/>
      <c r="V114" s="87" t="n"/>
      <c r="W114" s="88" t="n"/>
      <c r="X114" s="108" t="n"/>
      <c r="Y114" s="105" t="n"/>
    </row>
    <row r="115" ht="30" customHeight="1">
      <c r="A115" s="104">
        <f>IF($E115="","","A-"&amp;TEXT(ROW()-8,"000"))</f>
        <v/>
      </c>
      <c r="B115" s="87" t="n"/>
      <c r="C115" s="88" t="n"/>
      <c r="D115" s="88" t="n"/>
      <c r="E115" s="105" t="n"/>
      <c r="F115" s="106" t="n"/>
      <c r="G115" s="106" t="n"/>
      <c r="H115" s="106" t="n"/>
      <c r="I115" s="95">
        <f>IF(OR($F115="",$G115="",$H115=""),"",$F115*$G115*$H115)</f>
        <v/>
      </c>
      <c r="J115" s="88" t="n"/>
      <c r="K115" s="105" t="n"/>
      <c r="L115" s="105" t="n"/>
      <c r="M115" s="88" t="n"/>
      <c r="N115" s="88" t="n"/>
      <c r="O115" s="87" t="n"/>
      <c r="P115" s="107" t="n"/>
      <c r="Q115" s="88" t="n"/>
      <c r="R115" s="87" t="n"/>
      <c r="S115" s="92">
        <f>IF($O115="","",IF(OR($Q115="Terminée",$Q115="Abandonnée"),IF($R115="","",MAX(0,$R115-$O115)),MAX(0,TODAY()-$O115)))</f>
        <v/>
      </c>
      <c r="T115" s="92">
        <f>IF(OR($R115="",$B115=""),"",$R115-$B115)</f>
        <v/>
      </c>
      <c r="U115" s="88" t="n"/>
      <c r="V115" s="87" t="n"/>
      <c r="W115" s="88" t="n"/>
      <c r="X115" s="108" t="n"/>
      <c r="Y115" s="105" t="n"/>
    </row>
    <row r="116" ht="30" customHeight="1">
      <c r="A116" s="104">
        <f>IF($E116="","","A-"&amp;TEXT(ROW()-8,"000"))</f>
        <v/>
      </c>
      <c r="B116" s="87" t="n"/>
      <c r="C116" s="88" t="n"/>
      <c r="D116" s="88" t="n"/>
      <c r="E116" s="105" t="n"/>
      <c r="F116" s="106" t="n"/>
      <c r="G116" s="106" t="n"/>
      <c r="H116" s="106" t="n"/>
      <c r="I116" s="95">
        <f>IF(OR($F116="",$G116="",$H116=""),"",$F116*$G116*$H116)</f>
        <v/>
      </c>
      <c r="J116" s="88" t="n"/>
      <c r="K116" s="105" t="n"/>
      <c r="L116" s="105" t="n"/>
      <c r="M116" s="88" t="n"/>
      <c r="N116" s="88" t="n"/>
      <c r="O116" s="87" t="n"/>
      <c r="P116" s="107" t="n"/>
      <c r="Q116" s="88" t="n"/>
      <c r="R116" s="87" t="n"/>
      <c r="S116" s="92">
        <f>IF($O116="","",IF(OR($Q116="Terminée",$Q116="Abandonnée"),IF($R116="","",MAX(0,$R116-$O116)),MAX(0,TODAY()-$O116)))</f>
        <v/>
      </c>
      <c r="T116" s="92">
        <f>IF(OR($R116="",$B116=""),"",$R116-$B116)</f>
        <v/>
      </c>
      <c r="U116" s="88" t="n"/>
      <c r="V116" s="87" t="n"/>
      <c r="W116" s="88" t="n"/>
      <c r="X116" s="108" t="n"/>
      <c r="Y116" s="105" t="n"/>
    </row>
    <row r="117" ht="30" customHeight="1">
      <c r="A117" s="104">
        <f>IF($E117="","","A-"&amp;TEXT(ROW()-8,"000"))</f>
        <v/>
      </c>
      <c r="B117" s="87" t="n"/>
      <c r="C117" s="88" t="n"/>
      <c r="D117" s="88" t="n"/>
      <c r="E117" s="105" t="n"/>
      <c r="F117" s="106" t="n"/>
      <c r="G117" s="106" t="n"/>
      <c r="H117" s="106" t="n"/>
      <c r="I117" s="95">
        <f>IF(OR($F117="",$G117="",$H117=""),"",$F117*$G117*$H117)</f>
        <v/>
      </c>
      <c r="J117" s="88" t="n"/>
      <c r="K117" s="105" t="n"/>
      <c r="L117" s="105" t="n"/>
      <c r="M117" s="88" t="n"/>
      <c r="N117" s="88" t="n"/>
      <c r="O117" s="87" t="n"/>
      <c r="P117" s="107" t="n"/>
      <c r="Q117" s="88" t="n"/>
      <c r="R117" s="87" t="n"/>
      <c r="S117" s="92">
        <f>IF($O117="","",IF(OR($Q117="Terminée",$Q117="Abandonnée"),IF($R117="","",MAX(0,$R117-$O117)),MAX(0,TODAY()-$O117)))</f>
        <v/>
      </c>
      <c r="T117" s="92">
        <f>IF(OR($R117="",$B117=""),"",$R117-$B117)</f>
        <v/>
      </c>
      <c r="U117" s="88" t="n"/>
      <c r="V117" s="87" t="n"/>
      <c r="W117" s="88" t="n"/>
      <c r="X117" s="108" t="n"/>
      <c r="Y117" s="105" t="n"/>
    </row>
    <row r="118" ht="30" customHeight="1">
      <c r="A118" s="104">
        <f>IF($E118="","","A-"&amp;TEXT(ROW()-8,"000"))</f>
        <v/>
      </c>
      <c r="B118" s="87" t="n"/>
      <c r="C118" s="88" t="n"/>
      <c r="D118" s="88" t="n"/>
      <c r="E118" s="105" t="n"/>
      <c r="F118" s="106" t="n"/>
      <c r="G118" s="106" t="n"/>
      <c r="H118" s="106" t="n"/>
      <c r="I118" s="95">
        <f>IF(OR($F118="",$G118="",$H118=""),"",$F118*$G118*$H118)</f>
        <v/>
      </c>
      <c r="J118" s="88" t="n"/>
      <c r="K118" s="105" t="n"/>
      <c r="L118" s="105" t="n"/>
      <c r="M118" s="88" t="n"/>
      <c r="N118" s="88" t="n"/>
      <c r="O118" s="87" t="n"/>
      <c r="P118" s="107" t="n"/>
      <c r="Q118" s="88" t="n"/>
      <c r="R118" s="87" t="n"/>
      <c r="S118" s="92">
        <f>IF($O118="","",IF(OR($Q118="Terminée",$Q118="Abandonnée"),IF($R118="","",MAX(0,$R118-$O118)),MAX(0,TODAY()-$O118)))</f>
        <v/>
      </c>
      <c r="T118" s="92">
        <f>IF(OR($R118="",$B118=""),"",$R118-$B118)</f>
        <v/>
      </c>
      <c r="U118" s="88" t="n"/>
      <c r="V118" s="87" t="n"/>
      <c r="W118" s="88" t="n"/>
      <c r="X118" s="108" t="n"/>
      <c r="Y118" s="105" t="n"/>
    </row>
    <row r="119" ht="30" customHeight="1">
      <c r="A119" s="104">
        <f>IF($E119="","","A-"&amp;TEXT(ROW()-8,"000"))</f>
        <v/>
      </c>
      <c r="B119" s="87" t="n"/>
      <c r="C119" s="88" t="n"/>
      <c r="D119" s="88" t="n"/>
      <c r="E119" s="105" t="n"/>
      <c r="F119" s="106" t="n"/>
      <c r="G119" s="106" t="n"/>
      <c r="H119" s="106" t="n"/>
      <c r="I119" s="95">
        <f>IF(OR($F119="",$G119="",$H119=""),"",$F119*$G119*$H119)</f>
        <v/>
      </c>
      <c r="J119" s="88" t="n"/>
      <c r="K119" s="105" t="n"/>
      <c r="L119" s="105" t="n"/>
      <c r="M119" s="88" t="n"/>
      <c r="N119" s="88" t="n"/>
      <c r="O119" s="87" t="n"/>
      <c r="P119" s="107" t="n"/>
      <c r="Q119" s="88" t="n"/>
      <c r="R119" s="87" t="n"/>
      <c r="S119" s="92">
        <f>IF($O119="","",IF(OR($Q119="Terminée",$Q119="Abandonnée"),IF($R119="","",MAX(0,$R119-$O119)),MAX(0,TODAY()-$O119)))</f>
        <v/>
      </c>
      <c r="T119" s="92">
        <f>IF(OR($R119="",$B119=""),"",$R119-$B119)</f>
        <v/>
      </c>
      <c r="U119" s="88" t="n"/>
      <c r="V119" s="87" t="n"/>
      <c r="W119" s="88" t="n"/>
      <c r="X119" s="108" t="n"/>
      <c r="Y119" s="105" t="n"/>
    </row>
    <row r="120" ht="30" customHeight="1">
      <c r="A120" s="104">
        <f>IF($E120="","","A-"&amp;TEXT(ROW()-8,"000"))</f>
        <v/>
      </c>
      <c r="B120" s="87" t="n"/>
      <c r="C120" s="88" t="n"/>
      <c r="D120" s="88" t="n"/>
      <c r="E120" s="105" t="n"/>
      <c r="F120" s="106" t="n"/>
      <c r="G120" s="106" t="n"/>
      <c r="H120" s="106" t="n"/>
      <c r="I120" s="95">
        <f>IF(OR($F120="",$G120="",$H120=""),"",$F120*$G120*$H120)</f>
        <v/>
      </c>
      <c r="J120" s="88" t="n"/>
      <c r="K120" s="105" t="n"/>
      <c r="L120" s="105" t="n"/>
      <c r="M120" s="88" t="n"/>
      <c r="N120" s="88" t="n"/>
      <c r="O120" s="87" t="n"/>
      <c r="P120" s="107" t="n"/>
      <c r="Q120" s="88" t="n"/>
      <c r="R120" s="87" t="n"/>
      <c r="S120" s="92">
        <f>IF($O120="","",IF(OR($Q120="Terminée",$Q120="Abandonnée"),IF($R120="","",MAX(0,$R120-$O120)),MAX(0,TODAY()-$O120)))</f>
        <v/>
      </c>
      <c r="T120" s="92">
        <f>IF(OR($R120="",$B120=""),"",$R120-$B120)</f>
        <v/>
      </c>
      <c r="U120" s="88" t="n"/>
      <c r="V120" s="87" t="n"/>
      <c r="W120" s="88" t="n"/>
      <c r="X120" s="108" t="n"/>
      <c r="Y120" s="105" t="n"/>
    </row>
    <row r="121" ht="30" customHeight="1">
      <c r="A121" s="104">
        <f>IF($E121="","","A-"&amp;TEXT(ROW()-8,"000"))</f>
        <v/>
      </c>
      <c r="B121" s="87" t="n"/>
      <c r="C121" s="88" t="n"/>
      <c r="D121" s="88" t="n"/>
      <c r="E121" s="105" t="n"/>
      <c r="F121" s="106" t="n"/>
      <c r="G121" s="106" t="n"/>
      <c r="H121" s="106" t="n"/>
      <c r="I121" s="95">
        <f>IF(OR($F121="",$G121="",$H121=""),"",$F121*$G121*$H121)</f>
        <v/>
      </c>
      <c r="J121" s="88" t="n"/>
      <c r="K121" s="105" t="n"/>
      <c r="L121" s="105" t="n"/>
      <c r="M121" s="88" t="n"/>
      <c r="N121" s="88" t="n"/>
      <c r="O121" s="87" t="n"/>
      <c r="P121" s="107" t="n"/>
      <c r="Q121" s="88" t="n"/>
      <c r="R121" s="87" t="n"/>
      <c r="S121" s="92">
        <f>IF($O121="","",IF(OR($Q121="Terminée",$Q121="Abandonnée"),IF($R121="","",MAX(0,$R121-$O121)),MAX(0,TODAY()-$O121)))</f>
        <v/>
      </c>
      <c r="T121" s="92">
        <f>IF(OR($R121="",$B121=""),"",$R121-$B121)</f>
        <v/>
      </c>
      <c r="U121" s="88" t="n"/>
      <c r="V121" s="87" t="n"/>
      <c r="W121" s="88" t="n"/>
      <c r="X121" s="108" t="n"/>
      <c r="Y121" s="105" t="n"/>
    </row>
    <row r="122" ht="30" customHeight="1">
      <c r="A122" s="104">
        <f>IF($E122="","","A-"&amp;TEXT(ROW()-8,"000"))</f>
        <v/>
      </c>
      <c r="B122" s="87" t="n"/>
      <c r="C122" s="88" t="n"/>
      <c r="D122" s="88" t="n"/>
      <c r="E122" s="105" t="n"/>
      <c r="F122" s="106" t="n"/>
      <c r="G122" s="106" t="n"/>
      <c r="H122" s="106" t="n"/>
      <c r="I122" s="95">
        <f>IF(OR($F122="",$G122="",$H122=""),"",$F122*$G122*$H122)</f>
        <v/>
      </c>
      <c r="J122" s="88" t="n"/>
      <c r="K122" s="105" t="n"/>
      <c r="L122" s="105" t="n"/>
      <c r="M122" s="88" t="n"/>
      <c r="N122" s="88" t="n"/>
      <c r="O122" s="87" t="n"/>
      <c r="P122" s="107" t="n"/>
      <c r="Q122" s="88" t="n"/>
      <c r="R122" s="87" t="n"/>
      <c r="S122" s="92">
        <f>IF($O122="","",IF(OR($Q122="Terminée",$Q122="Abandonnée"),IF($R122="","",MAX(0,$R122-$O122)),MAX(0,TODAY()-$O122)))</f>
        <v/>
      </c>
      <c r="T122" s="92">
        <f>IF(OR($R122="",$B122=""),"",$R122-$B122)</f>
        <v/>
      </c>
      <c r="U122" s="88" t="n"/>
      <c r="V122" s="87" t="n"/>
      <c r="W122" s="88" t="n"/>
      <c r="X122" s="108" t="n"/>
      <c r="Y122" s="105" t="n"/>
    </row>
    <row r="123" ht="30" customHeight="1">
      <c r="A123" s="104">
        <f>IF($E123="","","A-"&amp;TEXT(ROW()-8,"000"))</f>
        <v/>
      </c>
      <c r="B123" s="87" t="n"/>
      <c r="C123" s="88" t="n"/>
      <c r="D123" s="88" t="n"/>
      <c r="E123" s="105" t="n"/>
      <c r="F123" s="106" t="n"/>
      <c r="G123" s="106" t="n"/>
      <c r="H123" s="106" t="n"/>
      <c r="I123" s="95">
        <f>IF(OR($F123="",$G123="",$H123=""),"",$F123*$G123*$H123)</f>
        <v/>
      </c>
      <c r="J123" s="88" t="n"/>
      <c r="K123" s="105" t="n"/>
      <c r="L123" s="105" t="n"/>
      <c r="M123" s="88" t="n"/>
      <c r="N123" s="88" t="n"/>
      <c r="O123" s="87" t="n"/>
      <c r="P123" s="107" t="n"/>
      <c r="Q123" s="88" t="n"/>
      <c r="R123" s="87" t="n"/>
      <c r="S123" s="92">
        <f>IF($O123="","",IF(OR($Q123="Terminée",$Q123="Abandonnée"),IF($R123="","",MAX(0,$R123-$O123)),MAX(0,TODAY()-$O123)))</f>
        <v/>
      </c>
      <c r="T123" s="92">
        <f>IF(OR($R123="",$B123=""),"",$R123-$B123)</f>
        <v/>
      </c>
      <c r="U123" s="88" t="n"/>
      <c r="V123" s="87" t="n"/>
      <c r="W123" s="88" t="n"/>
      <c r="X123" s="108" t="n"/>
      <c r="Y123" s="105" t="n"/>
    </row>
    <row r="124" ht="30" customHeight="1">
      <c r="A124" s="104">
        <f>IF($E124="","","A-"&amp;TEXT(ROW()-8,"000"))</f>
        <v/>
      </c>
      <c r="B124" s="87" t="n"/>
      <c r="C124" s="88" t="n"/>
      <c r="D124" s="88" t="n"/>
      <c r="E124" s="105" t="n"/>
      <c r="F124" s="106" t="n"/>
      <c r="G124" s="106" t="n"/>
      <c r="H124" s="106" t="n"/>
      <c r="I124" s="95">
        <f>IF(OR($F124="",$G124="",$H124=""),"",$F124*$G124*$H124)</f>
        <v/>
      </c>
      <c r="J124" s="88" t="n"/>
      <c r="K124" s="105" t="n"/>
      <c r="L124" s="105" t="n"/>
      <c r="M124" s="88" t="n"/>
      <c r="N124" s="88" t="n"/>
      <c r="O124" s="87" t="n"/>
      <c r="P124" s="107" t="n"/>
      <c r="Q124" s="88" t="n"/>
      <c r="R124" s="87" t="n"/>
      <c r="S124" s="92">
        <f>IF($O124="","",IF(OR($Q124="Terminée",$Q124="Abandonnée"),IF($R124="","",MAX(0,$R124-$O124)),MAX(0,TODAY()-$O124)))</f>
        <v/>
      </c>
      <c r="T124" s="92">
        <f>IF(OR($R124="",$B124=""),"",$R124-$B124)</f>
        <v/>
      </c>
      <c r="U124" s="88" t="n"/>
      <c r="V124" s="87" t="n"/>
      <c r="W124" s="88" t="n"/>
      <c r="X124" s="108" t="n"/>
      <c r="Y124" s="105" t="n"/>
    </row>
    <row r="125" ht="30" customHeight="1">
      <c r="A125" s="104">
        <f>IF($E125="","","A-"&amp;TEXT(ROW()-8,"000"))</f>
        <v/>
      </c>
      <c r="B125" s="87" t="n"/>
      <c r="C125" s="88" t="n"/>
      <c r="D125" s="88" t="n"/>
      <c r="E125" s="105" t="n"/>
      <c r="F125" s="106" t="n"/>
      <c r="G125" s="106" t="n"/>
      <c r="H125" s="106" t="n"/>
      <c r="I125" s="95">
        <f>IF(OR($F125="",$G125="",$H125=""),"",$F125*$G125*$H125)</f>
        <v/>
      </c>
      <c r="J125" s="88" t="n"/>
      <c r="K125" s="105" t="n"/>
      <c r="L125" s="105" t="n"/>
      <c r="M125" s="88" t="n"/>
      <c r="N125" s="88" t="n"/>
      <c r="O125" s="87" t="n"/>
      <c r="P125" s="107" t="n"/>
      <c r="Q125" s="88" t="n"/>
      <c r="R125" s="87" t="n"/>
      <c r="S125" s="92">
        <f>IF($O125="","",IF(OR($Q125="Terminée",$Q125="Abandonnée"),IF($R125="","",MAX(0,$R125-$O125)),MAX(0,TODAY()-$O125)))</f>
        <v/>
      </c>
      <c r="T125" s="92">
        <f>IF(OR($R125="",$B125=""),"",$R125-$B125)</f>
        <v/>
      </c>
      <c r="U125" s="88" t="n"/>
      <c r="V125" s="87" t="n"/>
      <c r="W125" s="88" t="n"/>
      <c r="X125" s="108" t="n"/>
      <c r="Y125" s="105" t="n"/>
    </row>
    <row r="126" ht="30" customHeight="1">
      <c r="A126" s="104">
        <f>IF($E126="","","A-"&amp;TEXT(ROW()-8,"000"))</f>
        <v/>
      </c>
      <c r="B126" s="87" t="n"/>
      <c r="C126" s="88" t="n"/>
      <c r="D126" s="88" t="n"/>
      <c r="E126" s="105" t="n"/>
      <c r="F126" s="106" t="n"/>
      <c r="G126" s="106" t="n"/>
      <c r="H126" s="106" t="n"/>
      <c r="I126" s="95">
        <f>IF(OR($F126="",$G126="",$H126=""),"",$F126*$G126*$H126)</f>
        <v/>
      </c>
      <c r="J126" s="88" t="n"/>
      <c r="K126" s="105" t="n"/>
      <c r="L126" s="105" t="n"/>
      <c r="M126" s="88" t="n"/>
      <c r="N126" s="88" t="n"/>
      <c r="O126" s="87" t="n"/>
      <c r="P126" s="107" t="n"/>
      <c r="Q126" s="88" t="n"/>
      <c r="R126" s="87" t="n"/>
      <c r="S126" s="92">
        <f>IF($O126="","",IF(OR($Q126="Terminée",$Q126="Abandonnée"),IF($R126="","",MAX(0,$R126-$O126)),MAX(0,TODAY()-$O126)))</f>
        <v/>
      </c>
      <c r="T126" s="92">
        <f>IF(OR($R126="",$B126=""),"",$R126-$B126)</f>
        <v/>
      </c>
      <c r="U126" s="88" t="n"/>
      <c r="V126" s="87" t="n"/>
      <c r="W126" s="88" t="n"/>
      <c r="X126" s="108" t="n"/>
      <c r="Y126" s="105" t="n"/>
    </row>
    <row r="127" ht="30" customHeight="1">
      <c r="A127" s="104">
        <f>IF($E127="","","A-"&amp;TEXT(ROW()-8,"000"))</f>
        <v/>
      </c>
      <c r="B127" s="87" t="n"/>
      <c r="C127" s="88" t="n"/>
      <c r="D127" s="88" t="n"/>
      <c r="E127" s="105" t="n"/>
      <c r="F127" s="106" t="n"/>
      <c r="G127" s="106" t="n"/>
      <c r="H127" s="106" t="n"/>
      <c r="I127" s="95">
        <f>IF(OR($F127="",$G127="",$H127=""),"",$F127*$G127*$H127)</f>
        <v/>
      </c>
      <c r="J127" s="88" t="n"/>
      <c r="K127" s="105" t="n"/>
      <c r="L127" s="105" t="n"/>
      <c r="M127" s="88" t="n"/>
      <c r="N127" s="88" t="n"/>
      <c r="O127" s="87" t="n"/>
      <c r="P127" s="107" t="n"/>
      <c r="Q127" s="88" t="n"/>
      <c r="R127" s="87" t="n"/>
      <c r="S127" s="92">
        <f>IF($O127="","",IF(OR($Q127="Terminée",$Q127="Abandonnée"),IF($R127="","",MAX(0,$R127-$O127)),MAX(0,TODAY()-$O127)))</f>
        <v/>
      </c>
      <c r="T127" s="92">
        <f>IF(OR($R127="",$B127=""),"",$R127-$B127)</f>
        <v/>
      </c>
      <c r="U127" s="88" t="n"/>
      <c r="V127" s="87" t="n"/>
      <c r="W127" s="88" t="n"/>
      <c r="X127" s="108" t="n"/>
      <c r="Y127" s="105" t="n"/>
    </row>
    <row r="128" ht="30" customHeight="1">
      <c r="A128" s="104">
        <f>IF($E128="","","A-"&amp;TEXT(ROW()-8,"000"))</f>
        <v/>
      </c>
      <c r="B128" s="87" t="n"/>
      <c r="C128" s="88" t="n"/>
      <c r="D128" s="88" t="n"/>
      <c r="E128" s="105" t="n"/>
      <c r="F128" s="106" t="n"/>
      <c r="G128" s="106" t="n"/>
      <c r="H128" s="106" t="n"/>
      <c r="I128" s="95">
        <f>IF(OR($F128="",$G128="",$H128=""),"",$F128*$G128*$H128)</f>
        <v/>
      </c>
      <c r="J128" s="88" t="n"/>
      <c r="K128" s="105" t="n"/>
      <c r="L128" s="105" t="n"/>
      <c r="M128" s="88" t="n"/>
      <c r="N128" s="88" t="n"/>
      <c r="O128" s="87" t="n"/>
      <c r="P128" s="107" t="n"/>
      <c r="Q128" s="88" t="n"/>
      <c r="R128" s="87" t="n"/>
      <c r="S128" s="92">
        <f>IF($O128="","",IF(OR($Q128="Terminée",$Q128="Abandonnée"),IF($R128="","",MAX(0,$R128-$O128)),MAX(0,TODAY()-$O128)))</f>
        <v/>
      </c>
      <c r="T128" s="92">
        <f>IF(OR($R128="",$B128=""),"",$R128-$B128)</f>
        <v/>
      </c>
      <c r="U128" s="88" t="n"/>
      <c r="V128" s="87" t="n"/>
      <c r="W128" s="88" t="n"/>
      <c r="X128" s="108" t="n"/>
      <c r="Y128" s="105" t="n"/>
    </row>
    <row r="130">
      <c r="A130" s="73" t="inlineStr">
        <is>
          <t>Cotation de la criticité (IPR) :  Gravité — 1 gêne interne … 5 arrêt client ou accident  •  Fréquence — 1 exceptionnel … 5 quotidien  •  Détection — 1 détecté immédiatement … 5 détecté par le client. Une action de criticité ≥ 30 doit être traitée en priorité et faire l'objet d'une vérification d'efficacité tracée.</t>
        </is>
      </c>
    </row>
    <row r="131"/>
  </sheetData>
  <autoFilter ref="A8:Y128"/>
  <mergeCells count="20">
    <mergeCell ref="J6:L6"/>
    <mergeCell ref="A2:Y2"/>
    <mergeCell ref="G6:I6"/>
    <mergeCell ref="A4:Y4"/>
    <mergeCell ref="M6:O6"/>
    <mergeCell ref="S6:U6"/>
    <mergeCell ref="A5:C5"/>
    <mergeCell ref="G5:I5"/>
    <mergeCell ref="V5:Y5"/>
    <mergeCell ref="S5:U5"/>
    <mergeCell ref="D5:F5"/>
    <mergeCell ref="P5:R5"/>
    <mergeCell ref="A1:Y1"/>
    <mergeCell ref="J5:L5"/>
    <mergeCell ref="A130:Y131"/>
    <mergeCell ref="A6:C6"/>
    <mergeCell ref="M5:O5"/>
    <mergeCell ref="V6:Y6"/>
    <mergeCell ref="D6:F6"/>
    <mergeCell ref="P6:R6"/>
  </mergeCells>
  <conditionalFormatting sqref="I9:I128">
    <cfRule type="colorScale" priority="1">
      <colorScale>
        <cfvo type="num" val="1"/>
        <cfvo type="num" val="30"/>
        <cfvo type="num" val="80"/>
        <color rgb="00D6ECD8"/>
        <color rgb="00FDE9A9"/>
        <color rgb="00F5A6A6"/>
      </colorScale>
    </cfRule>
  </conditionalFormatting>
  <conditionalFormatting sqref="A9:Y128">
    <cfRule type="expression" priority="2" dxfId="8" stopIfTrue="0">
      <formula>AND($S9&lt;&gt;"",$S9&gt;0,$Q9&lt;&gt;"Terminée",$Q9&lt;&gt;"Abandonnée")</formula>
    </cfRule>
  </conditionalFormatting>
  <conditionalFormatting sqref="Q9:Q128">
    <cfRule type="expression" priority="3" dxfId="9">
      <formula>$Q9="Terminée"</formula>
    </cfRule>
    <cfRule type="expression" priority="4" dxfId="10">
      <formula>$Q9="En cours"</formula>
    </cfRule>
  </conditionalFormatting>
  <dataValidations count="12">
    <dataValidation sqref="C9:C128" showDropDown="0" showInputMessage="0" showErrorMessage="1" allowBlank="1" errorTitle="Valeur hors référentiel" error="Choisir une valeur de la liste (onglet PARAMETRES)." type="list">
      <formula1>LST_SOURCES</formula1>
    </dataValidation>
    <dataValidation sqref="D9:D128" showDropDown="0" showInputMessage="0" showErrorMessage="1" allowBlank="1" errorTitle="Valeur hors référentiel" error="Choisir une valeur de la liste (onglet PARAMETRES)." type="list">
      <formula1>LST_LIGNES</formula1>
    </dataValidation>
    <dataValidation sqref="J9:J128" showDropDown="0" showInputMessage="0" showErrorMessage="1" allowBlank="1" errorTitle="Valeur hors référentiel" error="Choisir une valeur de la liste (onglet PARAMETRES)." type="list">
      <formula1>LST_FAM5M</formula1>
    </dataValidation>
    <dataValidation sqref="M9:M128" showDropDown="0" showInputMessage="0" showErrorMessage="1" allowBlank="1" errorTitle="Valeur hors référentiel" error="Choisir une valeur de la liste (onglet PARAMETRES)." type="list">
      <formula1>LST_NATURES</formula1>
    </dataValidation>
    <dataValidation sqref="N9:N128" showDropDown="0" showInputMessage="0" showErrorMessage="1" allowBlank="1" errorTitle="Valeur hors référentiel" error="Choisir une valeur de la liste (onglet PARAMETRES)." type="list">
      <formula1>LST_PILOTES</formula1>
    </dataValidation>
    <dataValidation sqref="Q9:Q128" showDropDown="0" showInputMessage="0" showErrorMessage="1" allowBlank="1" errorTitle="Valeur hors référentiel" error="Choisir une valeur de la liste (onglet PARAMETRES)." type="list">
      <formula1>LST_STATUTS</formula1>
    </dataValidation>
    <dataValidation sqref="U9:U128" showDropDown="0" showInputMessage="0" showErrorMessage="1" allowBlank="1" errorTitle="Valeur hors référentiel" error="Choisir une valeur de la liste (onglet PARAMETRES)." type="list">
      <formula1>LST_EFFICACITE</formula1>
    </dataValidation>
    <dataValidation sqref="W9:W128" showDropDown="0" showInputMessage="0" showErrorMessage="1" allowBlank="1" errorTitle="Valeur hors référentiel" error="Choisir une valeur de la liste (onglet PARAMETRES)." type="list">
      <formula1>LST_OUINON</formula1>
    </dataValidation>
    <dataValidation sqref="F9:F128" showDropDown="0" showInputMessage="0" showErrorMessage="1" allowBlank="1" errorTitle="Cotation" error="Coter de 1 (faible) à 5 (fort)." type="whole" operator="between">
      <formula1>1</formula1>
      <formula2>5</formula2>
    </dataValidation>
    <dataValidation sqref="G9:G128" showDropDown="0" showInputMessage="0" showErrorMessage="1" allowBlank="1" errorTitle="Cotation" error="Coter de 1 (faible) à 5 (fort)." type="whole" operator="between">
      <formula1>1</formula1>
      <formula2>5</formula2>
    </dataValidation>
    <dataValidation sqref="H9:H128" showDropDown="0" showInputMessage="0" showErrorMessage="1" allowBlank="1" errorTitle="Cotation" error="Coter de 1 (faible) à 5 (fort)." type="whole" operator="between">
      <formula1>1</formula1>
      <formula2>5</formula2>
    </dataValidation>
    <dataValidation sqref="P9:P128" showDropDown="0" showInputMessage="0" showErrorMessage="1" allowBlank="1" errorTitle="Avancement" error="Saisir un pourcentage entre 0 % et 100 %." type="decimal" operator="between">
      <formula1>0</formula1>
      <formula2>1</formula2>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worksheet>
</file>

<file path=xl/worksheets/sheet6.xml><?xml version="1.0" encoding="utf-8"?>
<worksheet xmlns="http://schemas.openxmlformats.org/spreadsheetml/2006/main">
  <sheetPr>
    <tabColor rgb="002E6B4F"/>
    <outlinePr summaryBelow="1" summaryRight="1"/>
    <pageSetUpPr fitToPage="1"/>
  </sheetPr>
  <dimension ref="A1:T59"/>
  <sheetViews>
    <sheetView showGridLines="0" workbookViewId="0">
      <pane xSplit="4" ySplit="11" topLeftCell="E1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0" customWidth="1" min="3" max="3"/>
    <col width="10"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11" customWidth="1" min="17" max="17"/>
    <col width="11" customWidth="1" min="18" max="18"/>
    <col width="13" customWidth="1" min="19" max="19"/>
    <col width="32" customWidth="1" min="20" max="20"/>
  </cols>
  <sheetData>
    <row r="1" ht="30" customHeight="1">
      <c r="A1" s="1" t="inlineStr">
        <is>
          <t>MATRICE DE POLYVALENCE  —  couverture des postes de travail</t>
        </is>
      </c>
      <c r="B1" s="2" t="n"/>
      <c r="C1" s="2" t="n"/>
      <c r="D1" s="2" t="n"/>
      <c r="E1" s="2" t="n"/>
      <c r="F1" s="2" t="n"/>
      <c r="G1" s="2" t="n"/>
      <c r="H1" s="2" t="n"/>
      <c r="I1" s="2" t="n"/>
      <c r="J1" s="2" t="n"/>
      <c r="K1" s="2" t="n"/>
      <c r="L1" s="2" t="n"/>
      <c r="M1" s="2" t="n"/>
      <c r="N1" s="2" t="n"/>
      <c r="O1" s="2" t="n"/>
      <c r="P1" s="2" t="n"/>
      <c r="Q1" s="2" t="n"/>
      <c r="R1" s="2" t="n"/>
      <c r="S1" s="2" t="n"/>
      <c r="T1" s="2" t="n"/>
    </row>
    <row r="2" ht="18" customHeight="1">
      <c r="A2" s="3" t="inlineStr">
        <is>
          <t>Échelle ILUO :  0 non formé  •  1 en formation  •  2 autonome avec appui  •  3 autonome  •  4 autonome et formateur. Un poste est considéré couvert lorsque l'effectif autonome (niveau ≥ 3) atteint la cible définie dans PARAMETRES.</t>
        </is>
      </c>
    </row>
    <row r="4" ht="20" customHeight="1">
      <c r="A4" s="4" t="inlineStr">
        <is>
          <t>INDICATEURS DE COMPÉTENCE  —  calculés automatiquement</t>
        </is>
      </c>
      <c r="B4" s="5" t="n"/>
      <c r="C4" s="5" t="n"/>
      <c r="D4" s="5" t="n"/>
      <c r="E4" s="5" t="n"/>
      <c r="F4" s="5" t="n"/>
      <c r="G4" s="5" t="n"/>
      <c r="H4" s="5" t="n"/>
      <c r="I4" s="5" t="n"/>
      <c r="J4" s="5" t="n"/>
      <c r="K4" s="5" t="n"/>
      <c r="L4" s="5" t="n"/>
      <c r="M4" s="5" t="n"/>
      <c r="N4" s="5" t="n"/>
      <c r="O4" s="5" t="n"/>
      <c r="P4" s="5" t="n"/>
      <c r="Q4" s="5" t="n"/>
      <c r="R4" s="5" t="n"/>
      <c r="S4" s="5" t="n"/>
      <c r="T4" s="5" t="n"/>
    </row>
    <row r="5" ht="26" customHeight="1">
      <c r="A5" s="97" t="inlineStr">
        <is>
          <t>Effectif suivi</t>
        </is>
      </c>
      <c r="B5" s="70" t="n"/>
      <c r="C5" s="70" t="n"/>
      <c r="D5" s="97" t="inlineStr">
        <is>
          <t>Taux de polyvalence global</t>
        </is>
      </c>
      <c r="E5" s="70" t="n"/>
      <c r="F5" s="70" t="n"/>
      <c r="G5" s="97" t="inlineStr">
        <is>
          <t>Postes sous la cible</t>
        </is>
      </c>
      <c r="H5" s="70" t="n"/>
      <c r="I5" s="70" t="n"/>
      <c r="J5" s="97" t="inlineStr">
        <is>
          <t>Postes en mono-compétence</t>
        </is>
      </c>
      <c r="K5" s="70" t="n"/>
      <c r="L5" s="70" t="n"/>
      <c r="M5" s="97" t="inlineStr">
        <is>
          <t>Niveau moyen de maîtrise</t>
        </is>
      </c>
      <c r="N5" s="70" t="n"/>
      <c r="O5" s="70" t="n"/>
      <c r="P5" s="70" t="n"/>
      <c r="Q5" s="97" t="inlineStr">
        <is>
          <t>Postes critiques couverts</t>
        </is>
      </c>
      <c r="R5" s="70" t="n"/>
      <c r="S5" s="70" t="n"/>
      <c r="T5" s="70" t="n"/>
    </row>
    <row r="6" ht="26" customHeight="1">
      <c r="A6" s="109">
        <f>COUNTA($B$12:$B$51)</f>
        <v/>
      </c>
      <c r="B6" s="11" t="n"/>
      <c r="C6" s="11" t="n"/>
      <c r="D6" s="110">
        <f>IFERROR(SUM($E$12:$P$51)/(4*COUNTIF($E$9:$P$9,"?*")*COUNTA($B$12:$B$51)),"")</f>
        <v/>
      </c>
      <c r="E6" s="11" t="n"/>
      <c r="F6" s="11" t="n"/>
      <c r="G6" s="109">
        <f>COUNTIF($E$56:$P$56,"&lt;0")</f>
        <v/>
      </c>
      <c r="H6" s="11" t="n"/>
      <c r="I6" s="11" t="n"/>
      <c r="J6" s="109">
        <f>COUNTIF($E$58:$P$58,"OUI")</f>
        <v/>
      </c>
      <c r="K6" s="11" t="n"/>
      <c r="L6" s="11" t="n"/>
      <c r="M6" s="111">
        <f>IFERROR(AVERAGE($E$12:$P$51),"")</f>
        <v/>
      </c>
      <c r="N6" s="11" t="n"/>
      <c r="O6" s="11" t="n"/>
      <c r="P6" s="11" t="n"/>
      <c r="Q6" s="109">
        <f>SUMPRODUCT(($E$10:$P$10=3)*($E$53:$P$53&gt;=$E$11:$P$11))</f>
        <v/>
      </c>
      <c r="R6" s="11" t="n"/>
      <c r="S6" s="11" t="n"/>
      <c r="T6" s="11" t="n"/>
    </row>
    <row r="8" ht="20" customHeight="1">
      <c r="A8" s="4" t="inlineStr">
        <is>
          <t>MATRICE DES COMPÉTENCES</t>
        </is>
      </c>
      <c r="B8" s="5" t="n"/>
      <c r="C8" s="5" t="n"/>
      <c r="D8" s="5" t="n"/>
      <c r="E8" s="5" t="n"/>
      <c r="F8" s="5" t="n"/>
      <c r="G8" s="5" t="n"/>
      <c r="H8" s="5" t="n"/>
      <c r="I8" s="5" t="n"/>
      <c r="J8" s="5" t="n"/>
      <c r="K8" s="5" t="n"/>
      <c r="L8" s="5" t="n"/>
      <c r="M8" s="5" t="n"/>
      <c r="N8" s="5" t="n"/>
      <c r="O8" s="5" t="n"/>
      <c r="P8" s="5" t="n"/>
      <c r="Q8" s="5" t="n"/>
      <c r="R8" s="5" t="n"/>
      <c r="S8" s="5" t="n"/>
      <c r="T8" s="5" t="n"/>
    </row>
    <row r="9" ht="46" customHeight="1">
      <c r="A9" s="112" t="inlineStr">
        <is>
          <t>Matricule</t>
        </is>
      </c>
      <c r="B9" s="112" t="inlineStr">
        <is>
          <t>Collaborateur</t>
        </is>
      </c>
      <c r="C9" s="112" t="inlineStr">
        <is>
          <t>Équipe</t>
        </is>
      </c>
      <c r="D9" s="112" t="inlineStr">
        <is>
          <t>Statut</t>
        </is>
      </c>
      <c r="E9" s="112">
        <f>IF(INDEX(PARAMETRES!$X$7:$X$26,COLUMN()-4)="","",INDEX(PARAMETRES!$X$7:$X$26,COLUMN()-4))</f>
        <v/>
      </c>
      <c r="F9" s="112">
        <f>IF(INDEX(PARAMETRES!$X$7:$X$26,COLUMN()-4)="","",INDEX(PARAMETRES!$X$7:$X$26,COLUMN()-4))</f>
        <v/>
      </c>
      <c r="G9" s="112">
        <f>IF(INDEX(PARAMETRES!$X$7:$X$26,COLUMN()-4)="","",INDEX(PARAMETRES!$X$7:$X$26,COLUMN()-4))</f>
        <v/>
      </c>
      <c r="H9" s="112">
        <f>IF(INDEX(PARAMETRES!$X$7:$X$26,COLUMN()-4)="","",INDEX(PARAMETRES!$X$7:$X$26,COLUMN()-4))</f>
        <v/>
      </c>
      <c r="I9" s="112">
        <f>IF(INDEX(PARAMETRES!$X$7:$X$26,COLUMN()-4)="","",INDEX(PARAMETRES!$X$7:$X$26,COLUMN()-4))</f>
        <v/>
      </c>
      <c r="J9" s="112">
        <f>IF(INDEX(PARAMETRES!$X$7:$X$26,COLUMN()-4)="","",INDEX(PARAMETRES!$X$7:$X$26,COLUMN()-4))</f>
        <v/>
      </c>
      <c r="K9" s="112">
        <f>IF(INDEX(PARAMETRES!$X$7:$X$26,COLUMN()-4)="","",INDEX(PARAMETRES!$X$7:$X$26,COLUMN()-4))</f>
        <v/>
      </c>
      <c r="L9" s="112">
        <f>IF(INDEX(PARAMETRES!$X$7:$X$26,COLUMN()-4)="","",INDEX(PARAMETRES!$X$7:$X$26,COLUMN()-4))</f>
        <v/>
      </c>
      <c r="M9" s="112">
        <f>IF(INDEX(PARAMETRES!$X$7:$X$26,COLUMN()-4)="","",INDEX(PARAMETRES!$X$7:$X$26,COLUMN()-4))</f>
        <v/>
      </c>
      <c r="N9" s="112">
        <f>IF(INDEX(PARAMETRES!$X$7:$X$26,COLUMN()-4)="","",INDEX(PARAMETRES!$X$7:$X$26,COLUMN()-4))</f>
        <v/>
      </c>
      <c r="O9" s="112">
        <f>IF(INDEX(PARAMETRES!$X$7:$X$26,COLUMN()-4)="","",INDEX(PARAMETRES!$X$7:$X$26,COLUMN()-4))</f>
        <v/>
      </c>
      <c r="P9" s="112">
        <f>IF(INDEX(PARAMETRES!$X$7:$X$26,COLUMN()-4)="","",INDEX(PARAMETRES!$X$7:$X$26,COLUMN()-4))</f>
        <v/>
      </c>
      <c r="Q9" s="112" t="inlineStr">
        <is>
          <t>Postes
autonomes</t>
        </is>
      </c>
      <c r="R9" s="112" t="inlineStr">
        <is>
          <t>Taux de
maîtrise</t>
        </is>
      </c>
      <c r="S9" s="112" t="inlineStr">
        <is>
          <t>Postes critiques
maîtrisés</t>
        </is>
      </c>
      <c r="T9" s="112" t="inlineStr">
        <is>
          <t>Prochaine étape de formation</t>
        </is>
      </c>
    </row>
    <row r="10" ht="15" customHeight="1">
      <c r="A10" s="113" t="inlineStr">
        <is>
          <t>Criticité du poste (1 à 3)</t>
        </is>
      </c>
      <c r="B10" s="114" t="n"/>
      <c r="C10" s="114" t="n"/>
      <c r="D10" s="114" t="n"/>
      <c r="E10" s="115">
        <f>IF(INDEX(PARAMETRES!$X$7:$X$26,COLUMN()-4)="","",INDEX(PARAMETRES!$Y$7:$Y$26,COLUMN()-4))</f>
        <v/>
      </c>
      <c r="F10" s="115">
        <f>IF(INDEX(PARAMETRES!$X$7:$X$26,COLUMN()-4)="","",INDEX(PARAMETRES!$Y$7:$Y$26,COLUMN()-4))</f>
        <v/>
      </c>
      <c r="G10" s="115">
        <f>IF(INDEX(PARAMETRES!$X$7:$X$26,COLUMN()-4)="","",INDEX(PARAMETRES!$Y$7:$Y$26,COLUMN()-4))</f>
        <v/>
      </c>
      <c r="H10" s="115">
        <f>IF(INDEX(PARAMETRES!$X$7:$X$26,COLUMN()-4)="","",INDEX(PARAMETRES!$Y$7:$Y$26,COLUMN()-4))</f>
        <v/>
      </c>
      <c r="I10" s="115">
        <f>IF(INDEX(PARAMETRES!$X$7:$X$26,COLUMN()-4)="","",INDEX(PARAMETRES!$Y$7:$Y$26,COLUMN()-4))</f>
        <v/>
      </c>
      <c r="J10" s="115">
        <f>IF(INDEX(PARAMETRES!$X$7:$X$26,COLUMN()-4)="","",INDEX(PARAMETRES!$Y$7:$Y$26,COLUMN()-4))</f>
        <v/>
      </c>
      <c r="K10" s="115">
        <f>IF(INDEX(PARAMETRES!$X$7:$X$26,COLUMN()-4)="","",INDEX(PARAMETRES!$Y$7:$Y$26,COLUMN()-4))</f>
        <v/>
      </c>
      <c r="L10" s="115">
        <f>IF(INDEX(PARAMETRES!$X$7:$X$26,COLUMN()-4)="","",INDEX(PARAMETRES!$Y$7:$Y$26,COLUMN()-4))</f>
        <v/>
      </c>
      <c r="M10" s="115">
        <f>IF(INDEX(PARAMETRES!$X$7:$X$26,COLUMN()-4)="","",INDEX(PARAMETRES!$Y$7:$Y$26,COLUMN()-4))</f>
        <v/>
      </c>
      <c r="N10" s="115">
        <f>IF(INDEX(PARAMETRES!$X$7:$X$26,COLUMN()-4)="","",INDEX(PARAMETRES!$Y$7:$Y$26,COLUMN()-4))</f>
        <v/>
      </c>
      <c r="O10" s="115">
        <f>IF(INDEX(PARAMETRES!$X$7:$X$26,COLUMN()-4)="","",INDEX(PARAMETRES!$Y$7:$Y$26,COLUMN()-4))</f>
        <v/>
      </c>
      <c r="P10" s="115">
        <f>IF(INDEX(PARAMETRES!$X$7:$X$26,COLUMN()-4)="","",INDEX(PARAMETRES!$Y$7:$Y$26,COLUMN()-4))</f>
        <v/>
      </c>
      <c r="Q10" s="114" t="n"/>
      <c r="R10" s="114" t="n"/>
      <c r="S10" s="114" t="n"/>
      <c r="T10" s="114" t="n"/>
    </row>
    <row r="11" ht="15" customHeight="1">
      <c r="A11" s="113" t="inlineStr">
        <is>
          <t>Effectif autonome cible</t>
        </is>
      </c>
      <c r="B11" s="114" t="n"/>
      <c r="C11" s="114" t="n"/>
      <c r="D11" s="114" t="n"/>
      <c r="E11" s="115">
        <f>IF(INDEX(PARAMETRES!$X$7:$X$26,COLUMN()-4)="","",INDEX(PARAMETRES!$Z$7:$Z$26,COLUMN()-4))</f>
        <v/>
      </c>
      <c r="F11" s="115">
        <f>IF(INDEX(PARAMETRES!$X$7:$X$26,COLUMN()-4)="","",INDEX(PARAMETRES!$Z$7:$Z$26,COLUMN()-4))</f>
        <v/>
      </c>
      <c r="G11" s="115">
        <f>IF(INDEX(PARAMETRES!$X$7:$X$26,COLUMN()-4)="","",INDEX(PARAMETRES!$Z$7:$Z$26,COLUMN()-4))</f>
        <v/>
      </c>
      <c r="H11" s="115">
        <f>IF(INDEX(PARAMETRES!$X$7:$X$26,COLUMN()-4)="","",INDEX(PARAMETRES!$Z$7:$Z$26,COLUMN()-4))</f>
        <v/>
      </c>
      <c r="I11" s="115">
        <f>IF(INDEX(PARAMETRES!$X$7:$X$26,COLUMN()-4)="","",INDEX(PARAMETRES!$Z$7:$Z$26,COLUMN()-4))</f>
        <v/>
      </c>
      <c r="J11" s="115">
        <f>IF(INDEX(PARAMETRES!$X$7:$X$26,COLUMN()-4)="","",INDEX(PARAMETRES!$Z$7:$Z$26,COLUMN()-4))</f>
        <v/>
      </c>
      <c r="K11" s="115">
        <f>IF(INDEX(PARAMETRES!$X$7:$X$26,COLUMN()-4)="","",INDEX(PARAMETRES!$Z$7:$Z$26,COLUMN()-4))</f>
        <v/>
      </c>
      <c r="L11" s="115">
        <f>IF(INDEX(PARAMETRES!$X$7:$X$26,COLUMN()-4)="","",INDEX(PARAMETRES!$Z$7:$Z$26,COLUMN()-4))</f>
        <v/>
      </c>
      <c r="M11" s="115">
        <f>IF(INDEX(PARAMETRES!$X$7:$X$26,COLUMN()-4)="","",INDEX(PARAMETRES!$Z$7:$Z$26,COLUMN()-4))</f>
        <v/>
      </c>
      <c r="N11" s="115">
        <f>IF(INDEX(PARAMETRES!$X$7:$X$26,COLUMN()-4)="","",INDEX(PARAMETRES!$Z$7:$Z$26,COLUMN()-4))</f>
        <v/>
      </c>
      <c r="O11" s="115">
        <f>IF(INDEX(PARAMETRES!$X$7:$X$26,COLUMN()-4)="","",INDEX(PARAMETRES!$Z$7:$Z$26,COLUMN()-4))</f>
        <v/>
      </c>
      <c r="P11" s="115">
        <f>IF(INDEX(PARAMETRES!$X$7:$X$26,COLUMN()-4)="","",INDEX(PARAMETRES!$Z$7:$Z$26,COLUMN()-4))</f>
        <v/>
      </c>
      <c r="Q11" s="114" t="n"/>
      <c r="R11" s="114" t="n"/>
      <c r="S11" s="114" t="n"/>
      <c r="T11" s="114" t="n"/>
    </row>
    <row r="12" ht="15" customHeight="1">
      <c r="A12" s="71" t="inlineStr">
        <is>
          <t>M-1042</t>
        </is>
      </c>
      <c r="B12" s="71" t="inlineStr">
        <is>
          <t>DUPONT Marie</t>
        </is>
      </c>
      <c r="C12" s="71" t="inlineStr">
        <is>
          <t>Équipe A (matin)</t>
        </is>
      </c>
      <c r="D12" s="71" t="inlineStr">
        <is>
          <t>CDI</t>
        </is>
      </c>
      <c r="E12" s="116" t="n">
        <v>4</v>
      </c>
      <c r="F12" s="116" t="n">
        <v>3</v>
      </c>
      <c r="G12" s="116" t="n">
        <v>2</v>
      </c>
      <c r="H12" s="116" t="n">
        <v>4</v>
      </c>
      <c r="I12" s="116" t="n">
        <v>3</v>
      </c>
      <c r="J12" s="116" t="n">
        <v>2</v>
      </c>
      <c r="K12" s="116" t="n">
        <v>3</v>
      </c>
      <c r="L12" s="116" t="n">
        <v>1</v>
      </c>
      <c r="M12" s="116" t="n">
        <v>3</v>
      </c>
      <c r="N12" s="116" t="n">
        <v>3</v>
      </c>
      <c r="O12" s="116" t="n">
        <v>4</v>
      </c>
      <c r="P12" s="116" t="n">
        <v>3</v>
      </c>
      <c r="Q12" s="117">
        <f>IF($B12="","",COUNTIF($E12:$P12,"&gt;=3"))</f>
        <v/>
      </c>
      <c r="R12" s="118">
        <f>IF($B12="","",IFERROR(SUM($E12:$P12)/(4*COUNTIF($E$9:$P$9,"?*")),""))</f>
        <v/>
      </c>
      <c r="S12" s="117">
        <f>IF($B12="","",SUMPRODUCT(($E$10:$P$10=3)*($E12:$P12&gt;=3)))</f>
        <v/>
      </c>
      <c r="T12" s="71" t="n"/>
    </row>
    <row r="13" ht="15" customHeight="1">
      <c r="A13" s="71" t="inlineStr">
        <is>
          <t>M-1078</t>
        </is>
      </c>
      <c r="B13" s="71" t="inlineStr">
        <is>
          <t>NGOM Abdoulaye</t>
        </is>
      </c>
      <c r="C13" s="71" t="inlineStr">
        <is>
          <t>Équipe A (matin)</t>
        </is>
      </c>
      <c r="D13" s="71" t="inlineStr">
        <is>
          <t>CDI</t>
        </is>
      </c>
      <c r="E13" s="116" t="n">
        <v>3</v>
      </c>
      <c r="F13" s="116" t="n">
        <v>4</v>
      </c>
      <c r="G13" s="116" t="n">
        <v>2</v>
      </c>
      <c r="H13" s="116" t="n">
        <v>3</v>
      </c>
      <c r="I13" s="116" t="n">
        <v>2</v>
      </c>
      <c r="J13" s="116" t="n">
        <v>1</v>
      </c>
      <c r="K13" s="116" t="n">
        <v>4</v>
      </c>
      <c r="L13" s="116" t="n">
        <v>2</v>
      </c>
      <c r="M13" s="116" t="n">
        <v>2</v>
      </c>
      <c r="N13" s="116" t="n">
        <v>1</v>
      </c>
      <c r="O13" s="116" t="n">
        <v>2</v>
      </c>
      <c r="P13" s="116" t="n">
        <v>1</v>
      </c>
      <c r="Q13" s="117">
        <f>IF($B13="","",COUNTIF($E13:$P13,"&gt;=3"))</f>
        <v/>
      </c>
      <c r="R13" s="118">
        <f>IF($B13="","",IFERROR(SUM($E13:$P13)/(4*COUNTIF($E$9:$P$9,"?*")),""))</f>
        <v/>
      </c>
      <c r="S13" s="117">
        <f>IF($B13="","",SUMPRODUCT(($E$10:$P$10=3)*($E13:$P13&gt;=3)))</f>
        <v/>
      </c>
      <c r="T13" s="71" t="n"/>
    </row>
    <row r="14" ht="15" customHeight="1">
      <c r="A14" s="71" t="inlineStr">
        <is>
          <t>M-1103</t>
        </is>
      </c>
      <c r="B14" s="71" t="inlineStr">
        <is>
          <t>LEROY Sophie</t>
        </is>
      </c>
      <c r="C14" s="71" t="inlineStr">
        <is>
          <t>Équipe A (matin)</t>
        </is>
      </c>
      <c r="D14" s="71" t="inlineStr">
        <is>
          <t>CDI</t>
        </is>
      </c>
      <c r="E14" s="116" t="n">
        <v>2</v>
      </c>
      <c r="F14" s="116" t="n">
        <v>3</v>
      </c>
      <c r="G14" s="116" t="n">
        <v>3</v>
      </c>
      <c r="H14" s="116" t="n">
        <v>2</v>
      </c>
      <c r="I14" s="116" t="n">
        <v>4</v>
      </c>
      <c r="J14" s="116" t="n">
        <v>3</v>
      </c>
      <c r="K14" s="116" t="n">
        <v>1</v>
      </c>
      <c r="L14" s="116" t="n">
        <v>1</v>
      </c>
      <c r="M14" s="116" t="n">
        <v>3</v>
      </c>
      <c r="N14" s="116" t="n">
        <v>4</v>
      </c>
      <c r="O14" s="116" t="n">
        <v>3</v>
      </c>
      <c r="P14" s="116" t="n">
        <v>2</v>
      </c>
      <c r="Q14" s="117">
        <f>IF($B14="","",COUNTIF($E14:$P14,"&gt;=3"))</f>
        <v/>
      </c>
      <c r="R14" s="118">
        <f>IF($B14="","",IFERROR(SUM($E14:$P14)/(4*COUNTIF($E$9:$P$9,"?*")),""))</f>
        <v/>
      </c>
      <c r="S14" s="117">
        <f>IF($B14="","",SUMPRODUCT(($E$10:$P$10=3)*($E14:$P14&gt;=3)))</f>
        <v/>
      </c>
      <c r="T14" s="71" t="n"/>
    </row>
    <row r="15" ht="15" customHeight="1">
      <c r="A15" s="71" t="inlineStr">
        <is>
          <t>M-1156</t>
        </is>
      </c>
      <c r="B15" s="71" t="inlineStr">
        <is>
          <t>BAKARI Fatou</t>
        </is>
      </c>
      <c r="C15" s="71" t="inlineStr">
        <is>
          <t>Équipe A (matin)</t>
        </is>
      </c>
      <c r="D15" s="71" t="inlineStr">
        <is>
          <t>CDI</t>
        </is>
      </c>
      <c r="E15" s="116" t="n">
        <v>3</v>
      </c>
      <c r="F15" s="116" t="n">
        <v>2</v>
      </c>
      <c r="G15" s="116" t="n">
        <v>1</v>
      </c>
      <c r="H15" s="116" t="n">
        <v>3</v>
      </c>
      <c r="I15" s="116" t="n">
        <v>3</v>
      </c>
      <c r="J15" s="116" t="n">
        <v>4</v>
      </c>
      <c r="K15" s="116" t="n">
        <v>2</v>
      </c>
      <c r="L15" s="116" t="n">
        <v>3</v>
      </c>
      <c r="M15" s="116" t="n">
        <v>2</v>
      </c>
      <c r="N15" s="116" t="n">
        <v>1</v>
      </c>
      <c r="O15" s="116" t="n">
        <v>1</v>
      </c>
      <c r="P15" s="116" t="n">
        <v>0</v>
      </c>
      <c r="Q15" s="117">
        <f>IF($B15="","",COUNTIF($E15:$P15,"&gt;=3"))</f>
        <v/>
      </c>
      <c r="R15" s="118">
        <f>IF($B15="","",IFERROR(SUM($E15:$P15)/(4*COUNTIF($E$9:$P$9,"?*")),""))</f>
        <v/>
      </c>
      <c r="S15" s="117">
        <f>IF($B15="","",SUMPRODUCT(($E$10:$P$10=3)*($E15:$P15&gt;=3)))</f>
        <v/>
      </c>
      <c r="T15" s="71" t="n"/>
    </row>
    <row r="16" ht="15" customHeight="1">
      <c r="A16" s="71" t="inlineStr">
        <is>
          <t>M-1201</t>
        </is>
      </c>
      <c r="B16" s="71" t="inlineStr">
        <is>
          <t>PETIT Camille</t>
        </is>
      </c>
      <c r="C16" s="71" t="inlineStr">
        <is>
          <t>Équipe A (matin)</t>
        </is>
      </c>
      <c r="D16" s="71" t="inlineStr">
        <is>
          <t>Intérim</t>
        </is>
      </c>
      <c r="E16" s="116" t="n">
        <v>1</v>
      </c>
      <c r="F16" s="116" t="n">
        <v>1</v>
      </c>
      <c r="G16" s="116" t="n">
        <v>2</v>
      </c>
      <c r="H16" s="116" t="n">
        <v>0</v>
      </c>
      <c r="I16" s="116" t="n">
        <v>2</v>
      </c>
      <c r="J16" s="116" t="n">
        <v>2</v>
      </c>
      <c r="K16" s="116" t="n">
        <v>0</v>
      </c>
      <c r="L16" s="116" t="n">
        <v>3</v>
      </c>
      <c r="M16" s="116" t="n">
        <v>3</v>
      </c>
      <c r="N16" s="116" t="n">
        <v>0</v>
      </c>
      <c r="O16" s="116" t="n">
        <v>0</v>
      </c>
      <c r="P16" s="116" t="n">
        <v>0</v>
      </c>
      <c r="Q16" s="117">
        <f>IF($B16="","",COUNTIF($E16:$P16,"&gt;=3"))</f>
        <v/>
      </c>
      <c r="R16" s="118">
        <f>IF($B16="","",IFERROR(SUM($E16:$P16)/(4*COUNTIF($E$9:$P$9,"?*")),""))</f>
        <v/>
      </c>
      <c r="S16" s="117">
        <f>IF($B16="","",SUMPRODUCT(($E$10:$P$10=3)*($E16:$P16&gt;=3)))</f>
        <v/>
      </c>
      <c r="T16" s="71" t="n"/>
    </row>
    <row r="17" ht="15" customHeight="1">
      <c r="A17" s="71" t="inlineStr">
        <is>
          <t>M-1233</t>
        </is>
      </c>
      <c r="B17" s="71" t="inlineStr">
        <is>
          <t>MARCHAND Julien</t>
        </is>
      </c>
      <c r="C17" s="71" t="inlineStr">
        <is>
          <t>Équipe B (après-midi)</t>
        </is>
      </c>
      <c r="D17" s="71" t="inlineStr">
        <is>
          <t>CDI</t>
        </is>
      </c>
      <c r="E17" s="116" t="n">
        <v>4</v>
      </c>
      <c r="F17" s="116" t="n">
        <v>3</v>
      </c>
      <c r="G17" s="116" t="n">
        <v>3</v>
      </c>
      <c r="H17" s="116" t="n">
        <v>4</v>
      </c>
      <c r="I17" s="116" t="n">
        <v>2</v>
      </c>
      <c r="J17" s="116" t="n">
        <v>2</v>
      </c>
      <c r="K17" s="116" t="n">
        <v>3</v>
      </c>
      <c r="L17" s="116" t="n">
        <v>2</v>
      </c>
      <c r="M17" s="116" t="n">
        <v>3</v>
      </c>
      <c r="N17" s="116" t="n">
        <v>3</v>
      </c>
      <c r="O17" s="116" t="n">
        <v>3</v>
      </c>
      <c r="P17" s="116" t="n">
        <v>2</v>
      </c>
      <c r="Q17" s="117">
        <f>IF($B17="","",COUNTIF($E17:$P17,"&gt;=3"))</f>
        <v/>
      </c>
      <c r="R17" s="118">
        <f>IF($B17="","",IFERROR(SUM($E17:$P17)/(4*COUNTIF($E$9:$P$9,"?*")),""))</f>
        <v/>
      </c>
      <c r="S17" s="117">
        <f>IF($B17="","",SUMPRODUCT(($E$10:$P$10=3)*($E17:$P17&gt;=3)))</f>
        <v/>
      </c>
      <c r="T17" s="71" t="n"/>
    </row>
    <row r="18" ht="15" customHeight="1">
      <c r="A18" s="71" t="inlineStr">
        <is>
          <t>M-1245</t>
        </is>
      </c>
      <c r="B18" s="71" t="inlineStr">
        <is>
          <t>SOW Ibrahima</t>
        </is>
      </c>
      <c r="C18" s="71" t="inlineStr">
        <is>
          <t>Équipe B (après-midi)</t>
        </is>
      </c>
      <c r="D18" s="71" t="inlineStr">
        <is>
          <t>CDI</t>
        </is>
      </c>
      <c r="E18" s="116" t="n">
        <v>2</v>
      </c>
      <c r="F18" s="116" t="n">
        <v>4</v>
      </c>
      <c r="G18" s="116" t="n">
        <v>2</v>
      </c>
      <c r="H18" s="116" t="n">
        <v>3</v>
      </c>
      <c r="I18" s="116" t="n">
        <v>3</v>
      </c>
      <c r="J18" s="116" t="n">
        <v>1</v>
      </c>
      <c r="K18" s="116" t="n">
        <v>2</v>
      </c>
      <c r="L18" s="116" t="n">
        <v>4</v>
      </c>
      <c r="M18" s="116" t="n">
        <v>2</v>
      </c>
      <c r="N18" s="116" t="n">
        <v>1</v>
      </c>
      <c r="O18" s="116" t="n">
        <v>1</v>
      </c>
      <c r="P18" s="116" t="n">
        <v>1</v>
      </c>
      <c r="Q18" s="117">
        <f>IF($B18="","",COUNTIF($E18:$P18,"&gt;=3"))</f>
        <v/>
      </c>
      <c r="R18" s="118">
        <f>IF($B18="","",IFERROR(SUM($E18:$P18)/(4*COUNTIF($E$9:$P$9,"?*")),""))</f>
        <v/>
      </c>
      <c r="S18" s="117">
        <f>IF($B18="","",SUMPRODUCT(($E$10:$P$10=3)*($E18:$P18&gt;=3)))</f>
        <v/>
      </c>
      <c r="T18" s="71" t="n"/>
    </row>
    <row r="19" ht="15" customHeight="1">
      <c r="A19" s="71" t="inlineStr">
        <is>
          <t>M-1290</t>
        </is>
      </c>
      <c r="B19" s="71" t="inlineStr">
        <is>
          <t>GARNIER Louis</t>
        </is>
      </c>
      <c r="C19" s="71" t="inlineStr">
        <is>
          <t>Équipe B (après-midi)</t>
        </is>
      </c>
      <c r="D19" s="71" t="inlineStr">
        <is>
          <t>CDI</t>
        </is>
      </c>
      <c r="E19" s="116" t="n">
        <v>3</v>
      </c>
      <c r="F19" s="116" t="n">
        <v>2</v>
      </c>
      <c r="G19" s="116" t="n">
        <v>3</v>
      </c>
      <c r="H19" s="116" t="n">
        <v>2</v>
      </c>
      <c r="I19" s="116" t="n">
        <v>3</v>
      </c>
      <c r="J19" s="116" t="n">
        <v>3</v>
      </c>
      <c r="K19" s="116" t="n">
        <v>1</v>
      </c>
      <c r="L19" s="116" t="n">
        <v>2</v>
      </c>
      <c r="M19" s="116" t="n">
        <v>4</v>
      </c>
      <c r="N19" s="116" t="n">
        <v>2</v>
      </c>
      <c r="O19" s="116" t="n">
        <v>2</v>
      </c>
      <c r="P19" s="116" t="n">
        <v>1</v>
      </c>
      <c r="Q19" s="117">
        <f>IF($B19="","",COUNTIF($E19:$P19,"&gt;=3"))</f>
        <v/>
      </c>
      <c r="R19" s="118">
        <f>IF($B19="","",IFERROR(SUM($E19:$P19)/(4*COUNTIF($E$9:$P$9,"?*")),""))</f>
        <v/>
      </c>
      <c r="S19" s="117">
        <f>IF($B19="","",SUMPRODUCT(($E$10:$P$10=3)*($E19:$P19&gt;=3)))</f>
        <v/>
      </c>
      <c r="T19" s="71" t="n"/>
    </row>
    <row r="20" ht="15" customHeight="1">
      <c r="A20" s="71" t="inlineStr">
        <is>
          <t>M-1312</t>
        </is>
      </c>
      <c r="B20" s="71" t="inlineStr">
        <is>
          <t>ROUX Émilie</t>
        </is>
      </c>
      <c r="C20" s="71" t="inlineStr">
        <is>
          <t>Équipe B (après-midi)</t>
        </is>
      </c>
      <c r="D20" s="71" t="inlineStr">
        <is>
          <t>CDD</t>
        </is>
      </c>
      <c r="E20" s="116" t="n">
        <v>1</v>
      </c>
      <c r="F20" s="116" t="n">
        <v>2</v>
      </c>
      <c r="G20" s="116" t="n">
        <v>1</v>
      </c>
      <c r="H20" s="116" t="n">
        <v>1</v>
      </c>
      <c r="I20" s="116" t="n">
        <v>2</v>
      </c>
      <c r="J20" s="116" t="n">
        <v>3</v>
      </c>
      <c r="K20" s="116" t="n">
        <v>0</v>
      </c>
      <c r="L20" s="116" t="n">
        <v>1</v>
      </c>
      <c r="M20" s="116" t="n">
        <v>3</v>
      </c>
      <c r="N20" s="116" t="n">
        <v>0</v>
      </c>
      <c r="O20" s="116" t="n">
        <v>0</v>
      </c>
      <c r="P20" s="116" t="n">
        <v>0</v>
      </c>
      <c r="Q20" s="117">
        <f>IF($B20="","",COUNTIF($E20:$P20,"&gt;=3"))</f>
        <v/>
      </c>
      <c r="R20" s="118">
        <f>IF($B20="","",IFERROR(SUM($E20:$P20)/(4*COUNTIF($E$9:$P$9,"?*")),""))</f>
        <v/>
      </c>
      <c r="S20" s="117">
        <f>IF($B20="","",SUMPRODUCT(($E$10:$P$10=3)*($E20:$P20&gt;=3)))</f>
        <v/>
      </c>
      <c r="T20" s="71" t="n"/>
    </row>
    <row r="21" ht="15" customHeight="1">
      <c r="A21" s="71" t="inlineStr">
        <is>
          <t>M-1355</t>
        </is>
      </c>
      <c r="B21" s="71" t="inlineStr">
        <is>
          <t>FAYE Moussa</t>
        </is>
      </c>
      <c r="C21" s="71" t="inlineStr">
        <is>
          <t>Équipe B (après-midi)</t>
        </is>
      </c>
      <c r="D21" s="71" t="inlineStr">
        <is>
          <t>CDI</t>
        </is>
      </c>
      <c r="E21" s="116" t="n">
        <v>3</v>
      </c>
      <c r="F21" s="116" t="n">
        <v>3</v>
      </c>
      <c r="G21" s="116" t="n">
        <v>2</v>
      </c>
      <c r="H21" s="116" t="n">
        <v>3</v>
      </c>
      <c r="I21" s="116" t="n">
        <v>1</v>
      </c>
      <c r="J21" s="116" t="n">
        <v>2</v>
      </c>
      <c r="K21" s="116" t="n">
        <v>3</v>
      </c>
      <c r="L21" s="116" t="n">
        <v>3</v>
      </c>
      <c r="M21" s="116" t="n">
        <v>2</v>
      </c>
      <c r="N21" s="116" t="n">
        <v>2</v>
      </c>
      <c r="O21" s="116" t="n">
        <v>2</v>
      </c>
      <c r="P21" s="116" t="n">
        <v>1</v>
      </c>
      <c r="Q21" s="117">
        <f>IF($B21="","",COUNTIF($E21:$P21,"&gt;=3"))</f>
        <v/>
      </c>
      <c r="R21" s="118">
        <f>IF($B21="","",IFERROR(SUM($E21:$P21)/(4*COUNTIF($E$9:$P$9,"?*")),""))</f>
        <v/>
      </c>
      <c r="S21" s="117">
        <f>IF($B21="","",SUMPRODUCT(($E$10:$P$10=3)*($E21:$P21&gt;=3)))</f>
        <v/>
      </c>
      <c r="T21" s="71" t="n"/>
    </row>
    <row r="22" ht="15" customHeight="1">
      <c r="A22" s="71" t="inlineStr">
        <is>
          <t>M-1401</t>
        </is>
      </c>
      <c r="B22" s="71" t="inlineStr">
        <is>
          <t>BERNARD Alice</t>
        </is>
      </c>
      <c r="C22" s="71" t="inlineStr">
        <is>
          <t>Équipe C (nuit)</t>
        </is>
      </c>
      <c r="D22" s="71" t="inlineStr">
        <is>
          <t>CDI</t>
        </is>
      </c>
      <c r="E22" s="116" t="n">
        <v>2</v>
      </c>
      <c r="F22" s="116" t="n">
        <v>2</v>
      </c>
      <c r="G22" s="116" t="n">
        <v>4</v>
      </c>
      <c r="H22" s="116" t="n">
        <v>2</v>
      </c>
      <c r="I22" s="116" t="n">
        <v>3</v>
      </c>
      <c r="J22" s="116" t="n">
        <v>2</v>
      </c>
      <c r="K22" s="116" t="n">
        <v>2</v>
      </c>
      <c r="L22" s="116" t="n">
        <v>2</v>
      </c>
      <c r="M22" s="116" t="n">
        <v>3</v>
      </c>
      <c r="N22" s="116" t="n">
        <v>3</v>
      </c>
      <c r="O22" s="116" t="n">
        <v>1</v>
      </c>
      <c r="P22" s="116" t="n">
        <v>1</v>
      </c>
      <c r="Q22" s="117">
        <f>IF($B22="","",COUNTIF($E22:$P22,"&gt;=3"))</f>
        <v/>
      </c>
      <c r="R22" s="118">
        <f>IF($B22="","",IFERROR(SUM($E22:$P22)/(4*COUNTIF($E$9:$P$9,"?*")),""))</f>
        <v/>
      </c>
      <c r="S22" s="117">
        <f>IF($B22="","",SUMPRODUCT(($E$10:$P$10=3)*($E22:$P22&gt;=3)))</f>
        <v/>
      </c>
      <c r="T22" s="71" t="n"/>
    </row>
    <row r="23" ht="15" customHeight="1">
      <c r="A23" s="71" t="inlineStr">
        <is>
          <t>M-1433</t>
        </is>
      </c>
      <c r="B23" s="71" t="inlineStr">
        <is>
          <t>DIALLO Aminata</t>
        </is>
      </c>
      <c r="C23" s="71" t="inlineStr">
        <is>
          <t>Équipe C (nuit)</t>
        </is>
      </c>
      <c r="D23" s="71" t="inlineStr">
        <is>
          <t>CDI</t>
        </is>
      </c>
      <c r="E23" s="116" t="n">
        <v>1</v>
      </c>
      <c r="F23" s="116" t="n">
        <v>1</v>
      </c>
      <c r="G23" s="116" t="n">
        <v>3</v>
      </c>
      <c r="H23" s="116" t="n">
        <v>1</v>
      </c>
      <c r="I23" s="116" t="n">
        <v>2</v>
      </c>
      <c r="J23" s="116" t="n">
        <v>3</v>
      </c>
      <c r="K23" s="116" t="n">
        <v>1</v>
      </c>
      <c r="L23" s="116" t="n">
        <v>2</v>
      </c>
      <c r="M23" s="116" t="n">
        <v>2</v>
      </c>
      <c r="N23" s="116" t="n">
        <v>1</v>
      </c>
      <c r="O23" s="116" t="n">
        <v>0</v>
      </c>
      <c r="P23" s="116" t="n">
        <v>0</v>
      </c>
      <c r="Q23" s="117">
        <f>IF($B23="","",COUNTIF($E23:$P23,"&gt;=3"))</f>
        <v/>
      </c>
      <c r="R23" s="118">
        <f>IF($B23="","",IFERROR(SUM($E23:$P23)/(4*COUNTIF($E$9:$P$9,"?*")),""))</f>
        <v/>
      </c>
      <c r="S23" s="117">
        <f>IF($B23="","",SUMPRODUCT(($E$10:$P$10=3)*($E23:$P23&gt;=3)))</f>
        <v/>
      </c>
      <c r="T23" s="71" t="n"/>
    </row>
    <row r="24" ht="15" customHeight="1">
      <c r="A24" s="71" t="n"/>
      <c r="B24" s="71" t="n"/>
      <c r="C24" s="71" t="n"/>
      <c r="D24" s="71" t="n"/>
      <c r="E24" s="116" t="n"/>
      <c r="F24" s="116" t="n"/>
      <c r="G24" s="116" t="n"/>
      <c r="H24" s="116" t="n"/>
      <c r="I24" s="116" t="n"/>
      <c r="J24" s="116" t="n"/>
      <c r="K24" s="116" t="n"/>
      <c r="L24" s="116" t="n"/>
      <c r="M24" s="116" t="n"/>
      <c r="N24" s="116" t="n"/>
      <c r="O24" s="116" t="n"/>
      <c r="P24" s="116" t="n"/>
      <c r="Q24" s="117">
        <f>IF($B24="","",COUNTIF($E24:$P24,"&gt;=3"))</f>
        <v/>
      </c>
      <c r="R24" s="118">
        <f>IF($B24="","",IFERROR(SUM($E24:$P24)/(4*COUNTIF($E$9:$P$9,"?*")),""))</f>
        <v/>
      </c>
      <c r="S24" s="117">
        <f>IF($B24="","",SUMPRODUCT(($E$10:$P$10=3)*($E24:$P24&gt;=3)))</f>
        <v/>
      </c>
      <c r="T24" s="71" t="n"/>
    </row>
    <row r="25" ht="15" customHeight="1">
      <c r="A25" s="71" t="n"/>
      <c r="B25" s="71" t="n"/>
      <c r="C25" s="71" t="n"/>
      <c r="D25" s="71" t="n"/>
      <c r="E25" s="116" t="n"/>
      <c r="F25" s="116" t="n"/>
      <c r="G25" s="116" t="n"/>
      <c r="H25" s="116" t="n"/>
      <c r="I25" s="116" t="n"/>
      <c r="J25" s="116" t="n"/>
      <c r="K25" s="116" t="n"/>
      <c r="L25" s="116" t="n"/>
      <c r="M25" s="116" t="n"/>
      <c r="N25" s="116" t="n"/>
      <c r="O25" s="116" t="n"/>
      <c r="P25" s="116" t="n"/>
      <c r="Q25" s="117">
        <f>IF($B25="","",COUNTIF($E25:$P25,"&gt;=3"))</f>
        <v/>
      </c>
      <c r="R25" s="118">
        <f>IF($B25="","",IFERROR(SUM($E25:$P25)/(4*COUNTIF($E$9:$P$9,"?*")),""))</f>
        <v/>
      </c>
      <c r="S25" s="117">
        <f>IF($B25="","",SUMPRODUCT(($E$10:$P$10=3)*($E25:$P25&gt;=3)))</f>
        <v/>
      </c>
      <c r="T25" s="71" t="n"/>
    </row>
    <row r="26" ht="15" customHeight="1">
      <c r="A26" s="71" t="n"/>
      <c r="B26" s="71" t="n"/>
      <c r="C26" s="71" t="n"/>
      <c r="D26" s="71" t="n"/>
      <c r="E26" s="116" t="n"/>
      <c r="F26" s="116" t="n"/>
      <c r="G26" s="116" t="n"/>
      <c r="H26" s="116" t="n"/>
      <c r="I26" s="116" t="n"/>
      <c r="J26" s="116" t="n"/>
      <c r="K26" s="116" t="n"/>
      <c r="L26" s="116" t="n"/>
      <c r="M26" s="116" t="n"/>
      <c r="N26" s="116" t="n"/>
      <c r="O26" s="116" t="n"/>
      <c r="P26" s="116" t="n"/>
      <c r="Q26" s="117">
        <f>IF($B26="","",COUNTIF($E26:$P26,"&gt;=3"))</f>
        <v/>
      </c>
      <c r="R26" s="118">
        <f>IF($B26="","",IFERROR(SUM($E26:$P26)/(4*COUNTIF($E$9:$P$9,"?*")),""))</f>
        <v/>
      </c>
      <c r="S26" s="117">
        <f>IF($B26="","",SUMPRODUCT(($E$10:$P$10=3)*($E26:$P26&gt;=3)))</f>
        <v/>
      </c>
      <c r="T26" s="71" t="n"/>
    </row>
    <row r="27" ht="15" customHeight="1">
      <c r="A27" s="71" t="n"/>
      <c r="B27" s="71" t="n"/>
      <c r="C27" s="71" t="n"/>
      <c r="D27" s="71" t="n"/>
      <c r="E27" s="116" t="n"/>
      <c r="F27" s="116" t="n"/>
      <c r="G27" s="116" t="n"/>
      <c r="H27" s="116" t="n"/>
      <c r="I27" s="116" t="n"/>
      <c r="J27" s="116" t="n"/>
      <c r="K27" s="116" t="n"/>
      <c r="L27" s="116" t="n"/>
      <c r="M27" s="116" t="n"/>
      <c r="N27" s="116" t="n"/>
      <c r="O27" s="116" t="n"/>
      <c r="P27" s="116" t="n"/>
      <c r="Q27" s="117">
        <f>IF($B27="","",COUNTIF($E27:$P27,"&gt;=3"))</f>
        <v/>
      </c>
      <c r="R27" s="118">
        <f>IF($B27="","",IFERROR(SUM($E27:$P27)/(4*COUNTIF($E$9:$P$9,"?*")),""))</f>
        <v/>
      </c>
      <c r="S27" s="117">
        <f>IF($B27="","",SUMPRODUCT(($E$10:$P$10=3)*($E27:$P27&gt;=3)))</f>
        <v/>
      </c>
      <c r="T27" s="71" t="n"/>
    </row>
    <row r="28" ht="15" customHeight="1">
      <c r="A28" s="71" t="n"/>
      <c r="B28" s="71" t="n"/>
      <c r="C28" s="71" t="n"/>
      <c r="D28" s="71" t="n"/>
      <c r="E28" s="116" t="n"/>
      <c r="F28" s="116" t="n"/>
      <c r="G28" s="116" t="n"/>
      <c r="H28" s="116" t="n"/>
      <c r="I28" s="116" t="n"/>
      <c r="J28" s="116" t="n"/>
      <c r="K28" s="116" t="n"/>
      <c r="L28" s="116" t="n"/>
      <c r="M28" s="116" t="n"/>
      <c r="N28" s="116" t="n"/>
      <c r="O28" s="116" t="n"/>
      <c r="P28" s="116" t="n"/>
      <c r="Q28" s="117">
        <f>IF($B28="","",COUNTIF($E28:$P28,"&gt;=3"))</f>
        <v/>
      </c>
      <c r="R28" s="118">
        <f>IF($B28="","",IFERROR(SUM($E28:$P28)/(4*COUNTIF($E$9:$P$9,"?*")),""))</f>
        <v/>
      </c>
      <c r="S28" s="117">
        <f>IF($B28="","",SUMPRODUCT(($E$10:$P$10=3)*($E28:$P28&gt;=3)))</f>
        <v/>
      </c>
      <c r="T28" s="71" t="n"/>
    </row>
    <row r="29" ht="15" customHeight="1">
      <c r="A29" s="71" t="n"/>
      <c r="B29" s="71" t="n"/>
      <c r="C29" s="71" t="n"/>
      <c r="D29" s="71" t="n"/>
      <c r="E29" s="116" t="n"/>
      <c r="F29" s="116" t="n"/>
      <c r="G29" s="116" t="n"/>
      <c r="H29" s="116" t="n"/>
      <c r="I29" s="116" t="n"/>
      <c r="J29" s="116" t="n"/>
      <c r="K29" s="116" t="n"/>
      <c r="L29" s="116" t="n"/>
      <c r="M29" s="116" t="n"/>
      <c r="N29" s="116" t="n"/>
      <c r="O29" s="116" t="n"/>
      <c r="P29" s="116" t="n"/>
      <c r="Q29" s="117">
        <f>IF($B29="","",COUNTIF($E29:$P29,"&gt;=3"))</f>
        <v/>
      </c>
      <c r="R29" s="118">
        <f>IF($B29="","",IFERROR(SUM($E29:$P29)/(4*COUNTIF($E$9:$P$9,"?*")),""))</f>
        <v/>
      </c>
      <c r="S29" s="117">
        <f>IF($B29="","",SUMPRODUCT(($E$10:$P$10=3)*($E29:$P29&gt;=3)))</f>
        <v/>
      </c>
      <c r="T29" s="71" t="n"/>
    </row>
    <row r="30" ht="15" customHeight="1">
      <c r="A30" s="71" t="n"/>
      <c r="B30" s="71" t="n"/>
      <c r="C30" s="71" t="n"/>
      <c r="D30" s="71" t="n"/>
      <c r="E30" s="116" t="n"/>
      <c r="F30" s="116" t="n"/>
      <c r="G30" s="116" t="n"/>
      <c r="H30" s="116" t="n"/>
      <c r="I30" s="116" t="n"/>
      <c r="J30" s="116" t="n"/>
      <c r="K30" s="116" t="n"/>
      <c r="L30" s="116" t="n"/>
      <c r="M30" s="116" t="n"/>
      <c r="N30" s="116" t="n"/>
      <c r="O30" s="116" t="n"/>
      <c r="P30" s="116" t="n"/>
      <c r="Q30" s="117">
        <f>IF($B30="","",COUNTIF($E30:$P30,"&gt;=3"))</f>
        <v/>
      </c>
      <c r="R30" s="118">
        <f>IF($B30="","",IFERROR(SUM($E30:$P30)/(4*COUNTIF($E$9:$P$9,"?*")),""))</f>
        <v/>
      </c>
      <c r="S30" s="117">
        <f>IF($B30="","",SUMPRODUCT(($E$10:$P$10=3)*($E30:$P30&gt;=3)))</f>
        <v/>
      </c>
      <c r="T30" s="71" t="n"/>
    </row>
    <row r="31" ht="15" customHeight="1">
      <c r="A31" s="71" t="n"/>
      <c r="B31" s="71" t="n"/>
      <c r="C31" s="71" t="n"/>
      <c r="D31" s="71" t="n"/>
      <c r="E31" s="116" t="n"/>
      <c r="F31" s="116" t="n"/>
      <c r="G31" s="116" t="n"/>
      <c r="H31" s="116" t="n"/>
      <c r="I31" s="116" t="n"/>
      <c r="J31" s="116" t="n"/>
      <c r="K31" s="116" t="n"/>
      <c r="L31" s="116" t="n"/>
      <c r="M31" s="116" t="n"/>
      <c r="N31" s="116" t="n"/>
      <c r="O31" s="116" t="n"/>
      <c r="P31" s="116" t="n"/>
      <c r="Q31" s="117">
        <f>IF($B31="","",COUNTIF($E31:$P31,"&gt;=3"))</f>
        <v/>
      </c>
      <c r="R31" s="118">
        <f>IF($B31="","",IFERROR(SUM($E31:$P31)/(4*COUNTIF($E$9:$P$9,"?*")),""))</f>
        <v/>
      </c>
      <c r="S31" s="117">
        <f>IF($B31="","",SUMPRODUCT(($E$10:$P$10=3)*($E31:$P31&gt;=3)))</f>
        <v/>
      </c>
      <c r="T31" s="71" t="n"/>
    </row>
    <row r="32" ht="15" customHeight="1">
      <c r="A32" s="71" t="n"/>
      <c r="B32" s="71" t="n"/>
      <c r="C32" s="71" t="n"/>
      <c r="D32" s="71" t="n"/>
      <c r="E32" s="116" t="n"/>
      <c r="F32" s="116" t="n"/>
      <c r="G32" s="116" t="n"/>
      <c r="H32" s="116" t="n"/>
      <c r="I32" s="116" t="n"/>
      <c r="J32" s="116" t="n"/>
      <c r="K32" s="116" t="n"/>
      <c r="L32" s="116" t="n"/>
      <c r="M32" s="116" t="n"/>
      <c r="N32" s="116" t="n"/>
      <c r="O32" s="116" t="n"/>
      <c r="P32" s="116" t="n"/>
      <c r="Q32" s="117">
        <f>IF($B32="","",COUNTIF($E32:$P32,"&gt;=3"))</f>
        <v/>
      </c>
      <c r="R32" s="118">
        <f>IF($B32="","",IFERROR(SUM($E32:$P32)/(4*COUNTIF($E$9:$P$9,"?*")),""))</f>
        <v/>
      </c>
      <c r="S32" s="117">
        <f>IF($B32="","",SUMPRODUCT(($E$10:$P$10=3)*($E32:$P32&gt;=3)))</f>
        <v/>
      </c>
      <c r="T32" s="71" t="n"/>
    </row>
    <row r="33" ht="15" customHeight="1">
      <c r="A33" s="71" t="n"/>
      <c r="B33" s="71" t="n"/>
      <c r="C33" s="71" t="n"/>
      <c r="D33" s="71" t="n"/>
      <c r="E33" s="116" t="n"/>
      <c r="F33" s="116" t="n"/>
      <c r="G33" s="116" t="n"/>
      <c r="H33" s="116" t="n"/>
      <c r="I33" s="116" t="n"/>
      <c r="J33" s="116" t="n"/>
      <c r="K33" s="116" t="n"/>
      <c r="L33" s="116" t="n"/>
      <c r="M33" s="116" t="n"/>
      <c r="N33" s="116" t="n"/>
      <c r="O33" s="116" t="n"/>
      <c r="P33" s="116" t="n"/>
      <c r="Q33" s="117">
        <f>IF($B33="","",COUNTIF($E33:$P33,"&gt;=3"))</f>
        <v/>
      </c>
      <c r="R33" s="118">
        <f>IF($B33="","",IFERROR(SUM($E33:$P33)/(4*COUNTIF($E$9:$P$9,"?*")),""))</f>
        <v/>
      </c>
      <c r="S33" s="117">
        <f>IF($B33="","",SUMPRODUCT(($E$10:$P$10=3)*($E33:$P33&gt;=3)))</f>
        <v/>
      </c>
      <c r="T33" s="71" t="n"/>
    </row>
    <row r="34" ht="15" customHeight="1">
      <c r="A34" s="71" t="n"/>
      <c r="B34" s="71" t="n"/>
      <c r="C34" s="71" t="n"/>
      <c r="D34" s="71" t="n"/>
      <c r="E34" s="116" t="n"/>
      <c r="F34" s="116" t="n"/>
      <c r="G34" s="116" t="n"/>
      <c r="H34" s="116" t="n"/>
      <c r="I34" s="116" t="n"/>
      <c r="J34" s="116" t="n"/>
      <c r="K34" s="116" t="n"/>
      <c r="L34" s="116" t="n"/>
      <c r="M34" s="116" t="n"/>
      <c r="N34" s="116" t="n"/>
      <c r="O34" s="116" t="n"/>
      <c r="P34" s="116" t="n"/>
      <c r="Q34" s="117">
        <f>IF($B34="","",COUNTIF($E34:$P34,"&gt;=3"))</f>
        <v/>
      </c>
      <c r="R34" s="118">
        <f>IF($B34="","",IFERROR(SUM($E34:$P34)/(4*COUNTIF($E$9:$P$9,"?*")),""))</f>
        <v/>
      </c>
      <c r="S34" s="117">
        <f>IF($B34="","",SUMPRODUCT(($E$10:$P$10=3)*($E34:$P34&gt;=3)))</f>
        <v/>
      </c>
      <c r="T34" s="71" t="n"/>
    </row>
    <row r="35" ht="15" customHeight="1">
      <c r="A35" s="71" t="n"/>
      <c r="B35" s="71" t="n"/>
      <c r="C35" s="71" t="n"/>
      <c r="D35" s="71" t="n"/>
      <c r="E35" s="116" t="n"/>
      <c r="F35" s="116" t="n"/>
      <c r="G35" s="116" t="n"/>
      <c r="H35" s="116" t="n"/>
      <c r="I35" s="116" t="n"/>
      <c r="J35" s="116" t="n"/>
      <c r="K35" s="116" t="n"/>
      <c r="L35" s="116" t="n"/>
      <c r="M35" s="116" t="n"/>
      <c r="N35" s="116" t="n"/>
      <c r="O35" s="116" t="n"/>
      <c r="P35" s="116" t="n"/>
      <c r="Q35" s="117">
        <f>IF($B35="","",COUNTIF($E35:$P35,"&gt;=3"))</f>
        <v/>
      </c>
      <c r="R35" s="118">
        <f>IF($B35="","",IFERROR(SUM($E35:$P35)/(4*COUNTIF($E$9:$P$9,"?*")),""))</f>
        <v/>
      </c>
      <c r="S35" s="117">
        <f>IF($B35="","",SUMPRODUCT(($E$10:$P$10=3)*($E35:$P35&gt;=3)))</f>
        <v/>
      </c>
      <c r="T35" s="71" t="n"/>
    </row>
    <row r="36" ht="15" customHeight="1">
      <c r="A36" s="71" t="n"/>
      <c r="B36" s="71" t="n"/>
      <c r="C36" s="71" t="n"/>
      <c r="D36" s="71" t="n"/>
      <c r="E36" s="116" t="n"/>
      <c r="F36" s="116" t="n"/>
      <c r="G36" s="116" t="n"/>
      <c r="H36" s="116" t="n"/>
      <c r="I36" s="116" t="n"/>
      <c r="J36" s="116" t="n"/>
      <c r="K36" s="116" t="n"/>
      <c r="L36" s="116" t="n"/>
      <c r="M36" s="116" t="n"/>
      <c r="N36" s="116" t="n"/>
      <c r="O36" s="116" t="n"/>
      <c r="P36" s="116" t="n"/>
      <c r="Q36" s="117">
        <f>IF($B36="","",COUNTIF($E36:$P36,"&gt;=3"))</f>
        <v/>
      </c>
      <c r="R36" s="118">
        <f>IF($B36="","",IFERROR(SUM($E36:$P36)/(4*COUNTIF($E$9:$P$9,"?*")),""))</f>
        <v/>
      </c>
      <c r="S36" s="117">
        <f>IF($B36="","",SUMPRODUCT(($E$10:$P$10=3)*($E36:$P36&gt;=3)))</f>
        <v/>
      </c>
      <c r="T36" s="71" t="n"/>
    </row>
    <row r="37" ht="15" customHeight="1">
      <c r="A37" s="71" t="n"/>
      <c r="B37" s="71" t="n"/>
      <c r="C37" s="71" t="n"/>
      <c r="D37" s="71" t="n"/>
      <c r="E37" s="116" t="n"/>
      <c r="F37" s="116" t="n"/>
      <c r="G37" s="116" t="n"/>
      <c r="H37" s="116" t="n"/>
      <c r="I37" s="116" t="n"/>
      <c r="J37" s="116" t="n"/>
      <c r="K37" s="116" t="n"/>
      <c r="L37" s="116" t="n"/>
      <c r="M37" s="116" t="n"/>
      <c r="N37" s="116" t="n"/>
      <c r="O37" s="116" t="n"/>
      <c r="P37" s="116" t="n"/>
      <c r="Q37" s="117">
        <f>IF($B37="","",COUNTIF($E37:$P37,"&gt;=3"))</f>
        <v/>
      </c>
      <c r="R37" s="118">
        <f>IF($B37="","",IFERROR(SUM($E37:$P37)/(4*COUNTIF($E$9:$P$9,"?*")),""))</f>
        <v/>
      </c>
      <c r="S37" s="117">
        <f>IF($B37="","",SUMPRODUCT(($E$10:$P$10=3)*($E37:$P37&gt;=3)))</f>
        <v/>
      </c>
      <c r="T37" s="71" t="n"/>
    </row>
    <row r="38" ht="15" customHeight="1">
      <c r="A38" s="71" t="n"/>
      <c r="B38" s="71" t="n"/>
      <c r="C38" s="71" t="n"/>
      <c r="D38" s="71" t="n"/>
      <c r="E38" s="116" t="n"/>
      <c r="F38" s="116" t="n"/>
      <c r="G38" s="116" t="n"/>
      <c r="H38" s="116" t="n"/>
      <c r="I38" s="116" t="n"/>
      <c r="J38" s="116" t="n"/>
      <c r="K38" s="116" t="n"/>
      <c r="L38" s="116" t="n"/>
      <c r="M38" s="116" t="n"/>
      <c r="N38" s="116" t="n"/>
      <c r="O38" s="116" t="n"/>
      <c r="P38" s="116" t="n"/>
      <c r="Q38" s="117">
        <f>IF($B38="","",COUNTIF($E38:$P38,"&gt;=3"))</f>
        <v/>
      </c>
      <c r="R38" s="118">
        <f>IF($B38="","",IFERROR(SUM($E38:$P38)/(4*COUNTIF($E$9:$P$9,"?*")),""))</f>
        <v/>
      </c>
      <c r="S38" s="117">
        <f>IF($B38="","",SUMPRODUCT(($E$10:$P$10=3)*($E38:$P38&gt;=3)))</f>
        <v/>
      </c>
      <c r="T38" s="71" t="n"/>
    </row>
    <row r="39" ht="15" customHeight="1">
      <c r="A39" s="71" t="n"/>
      <c r="B39" s="71" t="n"/>
      <c r="C39" s="71" t="n"/>
      <c r="D39" s="71" t="n"/>
      <c r="E39" s="116" t="n"/>
      <c r="F39" s="116" t="n"/>
      <c r="G39" s="116" t="n"/>
      <c r="H39" s="116" t="n"/>
      <c r="I39" s="116" t="n"/>
      <c r="J39" s="116" t="n"/>
      <c r="K39" s="116" t="n"/>
      <c r="L39" s="116" t="n"/>
      <c r="M39" s="116" t="n"/>
      <c r="N39" s="116" t="n"/>
      <c r="O39" s="116" t="n"/>
      <c r="P39" s="116" t="n"/>
      <c r="Q39" s="117">
        <f>IF($B39="","",COUNTIF($E39:$P39,"&gt;=3"))</f>
        <v/>
      </c>
      <c r="R39" s="118">
        <f>IF($B39="","",IFERROR(SUM($E39:$P39)/(4*COUNTIF($E$9:$P$9,"?*")),""))</f>
        <v/>
      </c>
      <c r="S39" s="117">
        <f>IF($B39="","",SUMPRODUCT(($E$10:$P$10=3)*($E39:$P39&gt;=3)))</f>
        <v/>
      </c>
      <c r="T39" s="71" t="n"/>
    </row>
    <row r="40" ht="15" customHeight="1">
      <c r="A40" s="71" t="n"/>
      <c r="B40" s="71" t="n"/>
      <c r="C40" s="71" t="n"/>
      <c r="D40" s="71" t="n"/>
      <c r="E40" s="116" t="n"/>
      <c r="F40" s="116" t="n"/>
      <c r="G40" s="116" t="n"/>
      <c r="H40" s="116" t="n"/>
      <c r="I40" s="116" t="n"/>
      <c r="J40" s="116" t="n"/>
      <c r="K40" s="116" t="n"/>
      <c r="L40" s="116" t="n"/>
      <c r="M40" s="116" t="n"/>
      <c r="N40" s="116" t="n"/>
      <c r="O40" s="116" t="n"/>
      <c r="P40" s="116" t="n"/>
      <c r="Q40" s="117">
        <f>IF($B40="","",COUNTIF($E40:$P40,"&gt;=3"))</f>
        <v/>
      </c>
      <c r="R40" s="118">
        <f>IF($B40="","",IFERROR(SUM($E40:$P40)/(4*COUNTIF($E$9:$P$9,"?*")),""))</f>
        <v/>
      </c>
      <c r="S40" s="117">
        <f>IF($B40="","",SUMPRODUCT(($E$10:$P$10=3)*($E40:$P40&gt;=3)))</f>
        <v/>
      </c>
      <c r="T40" s="71" t="n"/>
    </row>
    <row r="41" ht="15" customHeight="1">
      <c r="A41" s="71" t="n"/>
      <c r="B41" s="71" t="n"/>
      <c r="C41" s="71" t="n"/>
      <c r="D41" s="71" t="n"/>
      <c r="E41" s="116" t="n"/>
      <c r="F41" s="116" t="n"/>
      <c r="G41" s="116" t="n"/>
      <c r="H41" s="116" t="n"/>
      <c r="I41" s="116" t="n"/>
      <c r="J41" s="116" t="n"/>
      <c r="K41" s="116" t="n"/>
      <c r="L41" s="116" t="n"/>
      <c r="M41" s="116" t="n"/>
      <c r="N41" s="116" t="n"/>
      <c r="O41" s="116" t="n"/>
      <c r="P41" s="116" t="n"/>
      <c r="Q41" s="117">
        <f>IF($B41="","",COUNTIF($E41:$P41,"&gt;=3"))</f>
        <v/>
      </c>
      <c r="R41" s="118">
        <f>IF($B41="","",IFERROR(SUM($E41:$P41)/(4*COUNTIF($E$9:$P$9,"?*")),""))</f>
        <v/>
      </c>
      <c r="S41" s="117">
        <f>IF($B41="","",SUMPRODUCT(($E$10:$P$10=3)*($E41:$P41&gt;=3)))</f>
        <v/>
      </c>
      <c r="T41" s="71" t="n"/>
    </row>
    <row r="42" ht="15" customHeight="1">
      <c r="A42" s="71" t="n"/>
      <c r="B42" s="71" t="n"/>
      <c r="C42" s="71" t="n"/>
      <c r="D42" s="71" t="n"/>
      <c r="E42" s="116" t="n"/>
      <c r="F42" s="116" t="n"/>
      <c r="G42" s="116" t="n"/>
      <c r="H42" s="116" t="n"/>
      <c r="I42" s="116" t="n"/>
      <c r="J42" s="116" t="n"/>
      <c r="K42" s="116" t="n"/>
      <c r="L42" s="116" t="n"/>
      <c r="M42" s="116" t="n"/>
      <c r="N42" s="116" t="n"/>
      <c r="O42" s="116" t="n"/>
      <c r="P42" s="116" t="n"/>
      <c r="Q42" s="117">
        <f>IF($B42="","",COUNTIF($E42:$P42,"&gt;=3"))</f>
        <v/>
      </c>
      <c r="R42" s="118">
        <f>IF($B42="","",IFERROR(SUM($E42:$P42)/(4*COUNTIF($E$9:$P$9,"?*")),""))</f>
        <v/>
      </c>
      <c r="S42" s="117">
        <f>IF($B42="","",SUMPRODUCT(($E$10:$P$10=3)*($E42:$P42&gt;=3)))</f>
        <v/>
      </c>
      <c r="T42" s="71" t="n"/>
    </row>
    <row r="43" ht="15" customHeight="1">
      <c r="A43" s="71" t="n"/>
      <c r="B43" s="71" t="n"/>
      <c r="C43" s="71" t="n"/>
      <c r="D43" s="71" t="n"/>
      <c r="E43" s="116" t="n"/>
      <c r="F43" s="116" t="n"/>
      <c r="G43" s="116" t="n"/>
      <c r="H43" s="116" t="n"/>
      <c r="I43" s="116" t="n"/>
      <c r="J43" s="116" t="n"/>
      <c r="K43" s="116" t="n"/>
      <c r="L43" s="116" t="n"/>
      <c r="M43" s="116" t="n"/>
      <c r="N43" s="116" t="n"/>
      <c r="O43" s="116" t="n"/>
      <c r="P43" s="116" t="n"/>
      <c r="Q43" s="117">
        <f>IF($B43="","",COUNTIF($E43:$P43,"&gt;=3"))</f>
        <v/>
      </c>
      <c r="R43" s="118">
        <f>IF($B43="","",IFERROR(SUM($E43:$P43)/(4*COUNTIF($E$9:$P$9,"?*")),""))</f>
        <v/>
      </c>
      <c r="S43" s="117">
        <f>IF($B43="","",SUMPRODUCT(($E$10:$P$10=3)*($E43:$P43&gt;=3)))</f>
        <v/>
      </c>
      <c r="T43" s="71" t="n"/>
    </row>
    <row r="44" ht="15" customHeight="1">
      <c r="A44" s="71" t="n"/>
      <c r="B44" s="71" t="n"/>
      <c r="C44" s="71" t="n"/>
      <c r="D44" s="71" t="n"/>
      <c r="E44" s="116" t="n"/>
      <c r="F44" s="116" t="n"/>
      <c r="G44" s="116" t="n"/>
      <c r="H44" s="116" t="n"/>
      <c r="I44" s="116" t="n"/>
      <c r="J44" s="116" t="n"/>
      <c r="K44" s="116" t="n"/>
      <c r="L44" s="116" t="n"/>
      <c r="M44" s="116" t="n"/>
      <c r="N44" s="116" t="n"/>
      <c r="O44" s="116" t="n"/>
      <c r="P44" s="116" t="n"/>
      <c r="Q44" s="117">
        <f>IF($B44="","",COUNTIF($E44:$P44,"&gt;=3"))</f>
        <v/>
      </c>
      <c r="R44" s="118">
        <f>IF($B44="","",IFERROR(SUM($E44:$P44)/(4*COUNTIF($E$9:$P$9,"?*")),""))</f>
        <v/>
      </c>
      <c r="S44" s="117">
        <f>IF($B44="","",SUMPRODUCT(($E$10:$P$10=3)*($E44:$P44&gt;=3)))</f>
        <v/>
      </c>
      <c r="T44" s="71" t="n"/>
    </row>
    <row r="45" ht="15" customHeight="1">
      <c r="A45" s="71" t="n"/>
      <c r="B45" s="71" t="n"/>
      <c r="C45" s="71" t="n"/>
      <c r="D45" s="71" t="n"/>
      <c r="E45" s="116" t="n"/>
      <c r="F45" s="116" t="n"/>
      <c r="G45" s="116" t="n"/>
      <c r="H45" s="116" t="n"/>
      <c r="I45" s="116" t="n"/>
      <c r="J45" s="116" t="n"/>
      <c r="K45" s="116" t="n"/>
      <c r="L45" s="116" t="n"/>
      <c r="M45" s="116" t="n"/>
      <c r="N45" s="116" t="n"/>
      <c r="O45" s="116" t="n"/>
      <c r="P45" s="116" t="n"/>
      <c r="Q45" s="117">
        <f>IF($B45="","",COUNTIF($E45:$P45,"&gt;=3"))</f>
        <v/>
      </c>
      <c r="R45" s="118">
        <f>IF($B45="","",IFERROR(SUM($E45:$P45)/(4*COUNTIF($E$9:$P$9,"?*")),""))</f>
        <v/>
      </c>
      <c r="S45" s="117">
        <f>IF($B45="","",SUMPRODUCT(($E$10:$P$10=3)*($E45:$P45&gt;=3)))</f>
        <v/>
      </c>
      <c r="T45" s="71" t="n"/>
    </row>
    <row r="46" ht="15" customHeight="1">
      <c r="A46" s="71" t="n"/>
      <c r="B46" s="71" t="n"/>
      <c r="C46" s="71" t="n"/>
      <c r="D46" s="71" t="n"/>
      <c r="E46" s="116" t="n"/>
      <c r="F46" s="116" t="n"/>
      <c r="G46" s="116" t="n"/>
      <c r="H46" s="116" t="n"/>
      <c r="I46" s="116" t="n"/>
      <c r="J46" s="116" t="n"/>
      <c r="K46" s="116" t="n"/>
      <c r="L46" s="116" t="n"/>
      <c r="M46" s="116" t="n"/>
      <c r="N46" s="116" t="n"/>
      <c r="O46" s="116" t="n"/>
      <c r="P46" s="116" t="n"/>
      <c r="Q46" s="117">
        <f>IF($B46="","",COUNTIF($E46:$P46,"&gt;=3"))</f>
        <v/>
      </c>
      <c r="R46" s="118">
        <f>IF($B46="","",IFERROR(SUM($E46:$P46)/(4*COUNTIF($E$9:$P$9,"?*")),""))</f>
        <v/>
      </c>
      <c r="S46" s="117">
        <f>IF($B46="","",SUMPRODUCT(($E$10:$P$10=3)*($E46:$P46&gt;=3)))</f>
        <v/>
      </c>
      <c r="T46" s="71" t="n"/>
    </row>
    <row r="47" ht="15" customHeight="1">
      <c r="A47" s="71" t="n"/>
      <c r="B47" s="71" t="n"/>
      <c r="C47" s="71" t="n"/>
      <c r="D47" s="71" t="n"/>
      <c r="E47" s="116" t="n"/>
      <c r="F47" s="116" t="n"/>
      <c r="G47" s="116" t="n"/>
      <c r="H47" s="116" t="n"/>
      <c r="I47" s="116" t="n"/>
      <c r="J47" s="116" t="n"/>
      <c r="K47" s="116" t="n"/>
      <c r="L47" s="116" t="n"/>
      <c r="M47" s="116" t="n"/>
      <c r="N47" s="116" t="n"/>
      <c r="O47" s="116" t="n"/>
      <c r="P47" s="116" t="n"/>
      <c r="Q47" s="117">
        <f>IF($B47="","",COUNTIF($E47:$P47,"&gt;=3"))</f>
        <v/>
      </c>
      <c r="R47" s="118">
        <f>IF($B47="","",IFERROR(SUM($E47:$P47)/(4*COUNTIF($E$9:$P$9,"?*")),""))</f>
        <v/>
      </c>
      <c r="S47" s="117">
        <f>IF($B47="","",SUMPRODUCT(($E$10:$P$10=3)*($E47:$P47&gt;=3)))</f>
        <v/>
      </c>
      <c r="T47" s="71" t="n"/>
    </row>
    <row r="48" ht="15" customHeight="1">
      <c r="A48" s="71" t="n"/>
      <c r="B48" s="71" t="n"/>
      <c r="C48" s="71" t="n"/>
      <c r="D48" s="71" t="n"/>
      <c r="E48" s="116" t="n"/>
      <c r="F48" s="116" t="n"/>
      <c r="G48" s="116" t="n"/>
      <c r="H48" s="116" t="n"/>
      <c r="I48" s="116" t="n"/>
      <c r="J48" s="116" t="n"/>
      <c r="K48" s="116" t="n"/>
      <c r="L48" s="116" t="n"/>
      <c r="M48" s="116" t="n"/>
      <c r="N48" s="116" t="n"/>
      <c r="O48" s="116" t="n"/>
      <c r="P48" s="116" t="n"/>
      <c r="Q48" s="117">
        <f>IF($B48="","",COUNTIF($E48:$P48,"&gt;=3"))</f>
        <v/>
      </c>
      <c r="R48" s="118">
        <f>IF($B48="","",IFERROR(SUM($E48:$P48)/(4*COUNTIF($E$9:$P$9,"?*")),""))</f>
        <v/>
      </c>
      <c r="S48" s="117">
        <f>IF($B48="","",SUMPRODUCT(($E$10:$P$10=3)*($E48:$P48&gt;=3)))</f>
        <v/>
      </c>
      <c r="T48" s="71" t="n"/>
    </row>
    <row r="49" ht="15" customHeight="1">
      <c r="A49" s="71" t="n"/>
      <c r="B49" s="71" t="n"/>
      <c r="C49" s="71" t="n"/>
      <c r="D49" s="71" t="n"/>
      <c r="E49" s="116" t="n"/>
      <c r="F49" s="116" t="n"/>
      <c r="G49" s="116" t="n"/>
      <c r="H49" s="116" t="n"/>
      <c r="I49" s="116" t="n"/>
      <c r="J49" s="116" t="n"/>
      <c r="K49" s="116" t="n"/>
      <c r="L49" s="116" t="n"/>
      <c r="M49" s="116" t="n"/>
      <c r="N49" s="116" t="n"/>
      <c r="O49" s="116" t="n"/>
      <c r="P49" s="116" t="n"/>
      <c r="Q49" s="117">
        <f>IF($B49="","",COUNTIF($E49:$P49,"&gt;=3"))</f>
        <v/>
      </c>
      <c r="R49" s="118">
        <f>IF($B49="","",IFERROR(SUM($E49:$P49)/(4*COUNTIF($E$9:$P$9,"?*")),""))</f>
        <v/>
      </c>
      <c r="S49" s="117">
        <f>IF($B49="","",SUMPRODUCT(($E$10:$P$10=3)*($E49:$P49&gt;=3)))</f>
        <v/>
      </c>
      <c r="T49" s="71" t="n"/>
    </row>
    <row r="50" ht="15" customHeight="1">
      <c r="A50" s="71" t="n"/>
      <c r="B50" s="71" t="n"/>
      <c r="C50" s="71" t="n"/>
      <c r="D50" s="71" t="n"/>
      <c r="E50" s="116" t="n"/>
      <c r="F50" s="116" t="n"/>
      <c r="G50" s="116" t="n"/>
      <c r="H50" s="116" t="n"/>
      <c r="I50" s="116" t="n"/>
      <c r="J50" s="116" t="n"/>
      <c r="K50" s="116" t="n"/>
      <c r="L50" s="116" t="n"/>
      <c r="M50" s="116" t="n"/>
      <c r="N50" s="116" t="n"/>
      <c r="O50" s="116" t="n"/>
      <c r="P50" s="116" t="n"/>
      <c r="Q50" s="117">
        <f>IF($B50="","",COUNTIF($E50:$P50,"&gt;=3"))</f>
        <v/>
      </c>
      <c r="R50" s="118">
        <f>IF($B50="","",IFERROR(SUM($E50:$P50)/(4*COUNTIF($E$9:$P$9,"?*")),""))</f>
        <v/>
      </c>
      <c r="S50" s="117">
        <f>IF($B50="","",SUMPRODUCT(($E$10:$P$10=3)*($E50:$P50&gt;=3)))</f>
        <v/>
      </c>
      <c r="T50" s="71" t="n"/>
    </row>
    <row r="51" ht="15" customHeight="1">
      <c r="A51" s="71" t="n"/>
      <c r="B51" s="71" t="n"/>
      <c r="C51" s="71" t="n"/>
      <c r="D51" s="71" t="n"/>
      <c r="E51" s="116" t="n"/>
      <c r="F51" s="116" t="n"/>
      <c r="G51" s="116" t="n"/>
      <c r="H51" s="116" t="n"/>
      <c r="I51" s="116" t="n"/>
      <c r="J51" s="116" t="n"/>
      <c r="K51" s="116" t="n"/>
      <c r="L51" s="116" t="n"/>
      <c r="M51" s="116" t="n"/>
      <c r="N51" s="116" t="n"/>
      <c r="O51" s="116" t="n"/>
      <c r="P51" s="116" t="n"/>
      <c r="Q51" s="117">
        <f>IF($B51="","",COUNTIF($E51:$P51,"&gt;=3"))</f>
        <v/>
      </c>
      <c r="R51" s="118">
        <f>IF($B51="","",IFERROR(SUM($E51:$P51)/(4*COUNTIF($E$9:$P$9,"?*")),""))</f>
        <v/>
      </c>
      <c r="S51" s="117">
        <f>IF($B51="","",SUMPRODUCT(($E$10:$P$10=3)*($E51:$P51&gt;=3)))</f>
        <v/>
      </c>
      <c r="T51" s="71" t="n"/>
    </row>
    <row r="52" ht="20" customHeight="1">
      <c r="A52" s="4" t="inlineStr">
        <is>
          <t>COUVERTURE DES POSTES  —  lecture du risque de compétence</t>
        </is>
      </c>
      <c r="B52" s="5" t="n"/>
      <c r="C52" s="5" t="n"/>
      <c r="D52" s="5" t="n"/>
      <c r="E52" s="5" t="n"/>
      <c r="F52" s="5" t="n"/>
      <c r="G52" s="5" t="n"/>
      <c r="H52" s="5" t="n"/>
      <c r="I52" s="5" t="n"/>
      <c r="J52" s="5" t="n"/>
      <c r="K52" s="5" t="n"/>
      <c r="L52" s="5" t="n"/>
      <c r="M52" s="5" t="n"/>
      <c r="N52" s="5" t="n"/>
      <c r="O52" s="5" t="n"/>
      <c r="P52" s="5" t="n"/>
      <c r="Q52" s="5" t="n"/>
      <c r="R52" s="5" t="n"/>
      <c r="S52" s="5" t="n"/>
      <c r="T52" s="5" t="n"/>
    </row>
    <row r="53" ht="16" customHeight="1">
      <c r="A53" s="113" t="inlineStr">
        <is>
          <t>Effectif autonome (niveau ≥ 3)</t>
        </is>
      </c>
      <c r="B53" s="114" t="n"/>
      <c r="C53" s="114" t="n"/>
      <c r="D53" s="114" t="n"/>
      <c r="E53" s="119">
        <f>COUNTIF($E$12:$E$51,"&gt;=3")</f>
        <v/>
      </c>
      <c r="F53" s="119">
        <f>COUNTIF($F$12:$F$51,"&gt;=3")</f>
        <v/>
      </c>
      <c r="G53" s="119">
        <f>COUNTIF($G$12:$G$51,"&gt;=3")</f>
        <v/>
      </c>
      <c r="H53" s="119">
        <f>COUNTIF($H$12:$H$51,"&gt;=3")</f>
        <v/>
      </c>
      <c r="I53" s="119">
        <f>COUNTIF($I$12:$I$51,"&gt;=3")</f>
        <v/>
      </c>
      <c r="J53" s="119">
        <f>COUNTIF($J$12:$J$51,"&gt;=3")</f>
        <v/>
      </c>
      <c r="K53" s="119">
        <f>COUNTIF($K$12:$K$51,"&gt;=3")</f>
        <v/>
      </c>
      <c r="L53" s="119">
        <f>COUNTIF($L$12:$L$51,"&gt;=3")</f>
        <v/>
      </c>
      <c r="M53" s="119">
        <f>COUNTIF($M$12:$M$51,"&gt;=3")</f>
        <v/>
      </c>
      <c r="N53" s="119">
        <f>COUNTIF($N$12:$N$51,"&gt;=3")</f>
        <v/>
      </c>
      <c r="O53" s="119">
        <f>COUNTIF($O$12:$O$51,"&gt;=3")</f>
        <v/>
      </c>
      <c r="P53" s="119">
        <f>COUNTIF($P$12:$P$51,"&gt;=3")</f>
        <v/>
      </c>
    </row>
    <row r="54" ht="16" customHeight="1">
      <c r="A54" s="113" t="inlineStr">
        <is>
          <t>Effectif en formation (niveaux 1 et 2)</t>
        </is>
      </c>
      <c r="B54" s="114" t="n"/>
      <c r="C54" s="114" t="n"/>
      <c r="D54" s="114" t="n"/>
      <c r="E54" s="119">
        <f>COUNTIFS($E$12:$E$51,"&gt;=1",$E$12:$E$51,"&lt;3")</f>
        <v/>
      </c>
      <c r="F54" s="119">
        <f>COUNTIFS($F$12:$F$51,"&gt;=1",$F$12:$F$51,"&lt;3")</f>
        <v/>
      </c>
      <c r="G54" s="119">
        <f>COUNTIFS($G$12:$G$51,"&gt;=1",$G$12:$G$51,"&lt;3")</f>
        <v/>
      </c>
      <c r="H54" s="119">
        <f>COUNTIFS($H$12:$H$51,"&gt;=1",$H$12:$H$51,"&lt;3")</f>
        <v/>
      </c>
      <c r="I54" s="119">
        <f>COUNTIFS($I$12:$I$51,"&gt;=1",$I$12:$I$51,"&lt;3")</f>
        <v/>
      </c>
      <c r="J54" s="119">
        <f>COUNTIFS($J$12:$J$51,"&gt;=1",$J$12:$J$51,"&lt;3")</f>
        <v/>
      </c>
      <c r="K54" s="119">
        <f>COUNTIFS($K$12:$K$51,"&gt;=1",$K$12:$K$51,"&lt;3")</f>
        <v/>
      </c>
      <c r="L54" s="119">
        <f>COUNTIFS($L$12:$L$51,"&gt;=1",$L$12:$L$51,"&lt;3")</f>
        <v/>
      </c>
      <c r="M54" s="119">
        <f>COUNTIFS($M$12:$M$51,"&gt;=1",$M$12:$M$51,"&lt;3")</f>
        <v/>
      </c>
      <c r="N54" s="119">
        <f>COUNTIFS($N$12:$N$51,"&gt;=1",$N$12:$N$51,"&lt;3")</f>
        <v/>
      </c>
      <c r="O54" s="119">
        <f>COUNTIFS($O$12:$O$51,"&gt;=1",$O$12:$O$51,"&lt;3")</f>
        <v/>
      </c>
      <c r="P54" s="119">
        <f>COUNTIFS($P$12:$P$51,"&gt;=1",$P$12:$P$51,"&lt;3")</f>
        <v/>
      </c>
    </row>
    <row r="55" ht="16" customHeight="1">
      <c r="A55" s="113" t="inlineStr">
        <is>
          <t>Effectif autonome cible</t>
        </is>
      </c>
      <c r="B55" s="114" t="n"/>
      <c r="C55" s="114" t="n"/>
      <c r="D55" s="114" t="n"/>
      <c r="E55" s="119">
        <f>$E$11</f>
        <v/>
      </c>
      <c r="F55" s="119">
        <f>$F$11</f>
        <v/>
      </c>
      <c r="G55" s="119">
        <f>$G$11</f>
        <v/>
      </c>
      <c r="H55" s="119">
        <f>$H$11</f>
        <v/>
      </c>
      <c r="I55" s="119">
        <f>$I$11</f>
        <v/>
      </c>
      <c r="J55" s="119">
        <f>$J$11</f>
        <v/>
      </c>
      <c r="K55" s="119">
        <f>$K$11</f>
        <v/>
      </c>
      <c r="L55" s="119">
        <f>$L$11</f>
        <v/>
      </c>
      <c r="M55" s="119">
        <f>$M$11</f>
        <v/>
      </c>
      <c r="N55" s="119">
        <f>$N$11</f>
        <v/>
      </c>
      <c r="O55" s="119">
        <f>$O$11</f>
        <v/>
      </c>
      <c r="P55" s="119">
        <f>$P$11</f>
        <v/>
      </c>
    </row>
    <row r="56" ht="16" customHeight="1">
      <c r="A56" s="113" t="inlineStr">
        <is>
          <t>Écart à la cible</t>
        </is>
      </c>
      <c r="B56" s="114" t="n"/>
      <c r="C56" s="114" t="n"/>
      <c r="D56" s="114" t="n"/>
      <c r="E56" s="119">
        <f>IF($E$11="","",$E$53-$E$11)</f>
        <v/>
      </c>
      <c r="F56" s="119">
        <f>IF($F$11="","",$F$53-$F$11)</f>
        <v/>
      </c>
      <c r="G56" s="119">
        <f>IF($G$11="","",$G$53-$G$11)</f>
        <v/>
      </c>
      <c r="H56" s="119">
        <f>IF($H$11="","",$H$53-$H$11)</f>
        <v/>
      </c>
      <c r="I56" s="119">
        <f>IF($I$11="","",$I$53-$I$11)</f>
        <v/>
      </c>
      <c r="J56" s="119">
        <f>IF($J$11="","",$J$53-$J$11)</f>
        <v/>
      </c>
      <c r="K56" s="119">
        <f>IF($K$11="","",$K$53-$K$11)</f>
        <v/>
      </c>
      <c r="L56" s="119">
        <f>IF($L$11="","",$L$53-$L$11)</f>
        <v/>
      </c>
      <c r="M56" s="119">
        <f>IF($M$11="","",$M$53-$M$11)</f>
        <v/>
      </c>
      <c r="N56" s="119">
        <f>IF($N$11="","",$N$53-$N$11)</f>
        <v/>
      </c>
      <c r="O56" s="119">
        <f>IF($O$11="","",$O$53-$O$11)</f>
        <v/>
      </c>
      <c r="P56" s="119">
        <f>IF($P$11="","",$P$53-$P$11)</f>
        <v/>
      </c>
    </row>
    <row r="57" ht="16" customHeight="1">
      <c r="A57" s="113" t="inlineStr">
        <is>
          <t>Taux de couverture</t>
        </is>
      </c>
      <c r="B57" s="114" t="n"/>
      <c r="C57" s="114" t="n"/>
      <c r="D57" s="114" t="n"/>
      <c r="E57" s="120">
        <f>IFERROR($E$53/$E$11,"")</f>
        <v/>
      </c>
      <c r="F57" s="120">
        <f>IFERROR($F$53/$F$11,"")</f>
        <v/>
      </c>
      <c r="G57" s="120">
        <f>IFERROR($G$53/$G$11,"")</f>
        <v/>
      </c>
      <c r="H57" s="120">
        <f>IFERROR($H$53/$H$11,"")</f>
        <v/>
      </c>
      <c r="I57" s="120">
        <f>IFERROR($I$53/$I$11,"")</f>
        <v/>
      </c>
      <c r="J57" s="120">
        <f>IFERROR($J$53/$J$11,"")</f>
        <v/>
      </c>
      <c r="K57" s="120">
        <f>IFERROR($K$53/$K$11,"")</f>
        <v/>
      </c>
      <c r="L57" s="120">
        <f>IFERROR($L$53/$L$11,"")</f>
        <v/>
      </c>
      <c r="M57" s="120">
        <f>IFERROR($M$53/$M$11,"")</f>
        <v/>
      </c>
      <c r="N57" s="120">
        <f>IFERROR($N$53/$N$11,"")</f>
        <v/>
      </c>
      <c r="O57" s="120">
        <f>IFERROR($O$53/$O$11,"")</f>
        <v/>
      </c>
      <c r="P57" s="120">
        <f>IFERROR($P$53/$P$11,"")</f>
        <v/>
      </c>
    </row>
    <row r="58" ht="16" customHeight="1">
      <c r="A58" s="113" t="inlineStr">
        <is>
          <t>Risque de mono-compétence</t>
        </is>
      </c>
      <c r="B58" s="114" t="n"/>
      <c r="C58" s="114" t="n"/>
      <c r="D58" s="114" t="n"/>
      <c r="E58" s="121">
        <f>IF($E$9="","",IF($E$53&lt;=1,"OUI","non"))</f>
        <v/>
      </c>
      <c r="F58" s="121">
        <f>IF($F$9="","",IF($F$53&lt;=1,"OUI","non"))</f>
        <v/>
      </c>
      <c r="G58" s="121">
        <f>IF($G$9="","",IF($G$53&lt;=1,"OUI","non"))</f>
        <v/>
      </c>
      <c r="H58" s="121">
        <f>IF($H$9="","",IF($H$53&lt;=1,"OUI","non"))</f>
        <v/>
      </c>
      <c r="I58" s="121">
        <f>IF($I$9="","",IF($I$53&lt;=1,"OUI","non"))</f>
        <v/>
      </c>
      <c r="J58" s="121">
        <f>IF($J$9="","",IF($J$53&lt;=1,"OUI","non"))</f>
        <v/>
      </c>
      <c r="K58" s="121">
        <f>IF($K$9="","",IF($K$53&lt;=1,"OUI","non"))</f>
        <v/>
      </c>
      <c r="L58" s="121">
        <f>IF($L$9="","",IF($L$53&lt;=1,"OUI","non"))</f>
        <v/>
      </c>
      <c r="M58" s="121">
        <f>IF($M$9="","",IF($M$53&lt;=1,"OUI","non"))</f>
        <v/>
      </c>
      <c r="N58" s="121">
        <f>IF($N$9="","",IF($N$53&lt;=1,"OUI","non"))</f>
        <v/>
      </c>
      <c r="O58" s="121">
        <f>IF($O$9="","",IF($O$53&lt;=1,"OUI","non"))</f>
        <v/>
      </c>
      <c r="P58" s="121">
        <f>IF($P$9="","",IF($P$53&lt;=1,"OUI","non"))</f>
        <v/>
      </c>
    </row>
    <row r="59" ht="16" customHeight="1">
      <c r="A59" s="113" t="inlineStr">
        <is>
          <t>Statut du poste</t>
        </is>
      </c>
      <c r="B59" s="114" t="n"/>
      <c r="C59" s="114" t="n"/>
      <c r="D59" s="114" t="n"/>
      <c r="E59" s="121">
        <f>IF($E$9="","",IF($E$53&gt;=$E$11,"Couvert",IF($E$53&gt;=$E$11-1,"Vigilance","Critique")))</f>
        <v/>
      </c>
      <c r="F59" s="121">
        <f>IF($F$9="","",IF($F$53&gt;=$F$11,"Couvert",IF($F$53&gt;=$F$11-1,"Vigilance","Critique")))</f>
        <v/>
      </c>
      <c r="G59" s="121">
        <f>IF($G$9="","",IF($G$53&gt;=$G$11,"Couvert",IF($G$53&gt;=$G$11-1,"Vigilance","Critique")))</f>
        <v/>
      </c>
      <c r="H59" s="121">
        <f>IF($H$9="","",IF($H$53&gt;=$H$11,"Couvert",IF($H$53&gt;=$H$11-1,"Vigilance","Critique")))</f>
        <v/>
      </c>
      <c r="I59" s="121">
        <f>IF($I$9="","",IF($I$53&gt;=$I$11,"Couvert",IF($I$53&gt;=$I$11-1,"Vigilance","Critique")))</f>
        <v/>
      </c>
      <c r="J59" s="121">
        <f>IF($J$9="","",IF($J$53&gt;=$J$11,"Couvert",IF($J$53&gt;=$J$11-1,"Vigilance","Critique")))</f>
        <v/>
      </c>
      <c r="K59" s="121">
        <f>IF($K$9="","",IF($K$53&gt;=$K$11,"Couvert",IF($K$53&gt;=$K$11-1,"Vigilance","Critique")))</f>
        <v/>
      </c>
      <c r="L59" s="121">
        <f>IF($L$9="","",IF($L$53&gt;=$L$11,"Couvert",IF($L$53&gt;=$L$11-1,"Vigilance","Critique")))</f>
        <v/>
      </c>
      <c r="M59" s="121">
        <f>IF($M$9="","",IF($M$53&gt;=$M$11,"Couvert",IF($M$53&gt;=$M$11-1,"Vigilance","Critique")))</f>
        <v/>
      </c>
      <c r="N59" s="121">
        <f>IF($N$9="","",IF($N$53&gt;=$N$11,"Couvert",IF($N$53&gt;=$N$11-1,"Vigilance","Critique")))</f>
        <v/>
      </c>
      <c r="O59" s="121">
        <f>IF($O$9="","",IF($O$53&gt;=$O$11,"Couvert",IF($O$53&gt;=$O$11-1,"Vigilance","Critique")))</f>
        <v/>
      </c>
      <c r="P59" s="121">
        <f>IF($P$9="","",IF($P$53&gt;=$P$11,"Couvert",IF($P$53&gt;=$P$11-1,"Vigilance","Critique")))</f>
        <v/>
      </c>
    </row>
  </sheetData>
  <mergeCells count="26">
    <mergeCell ref="J6:L6"/>
    <mergeCell ref="G6:I6"/>
    <mergeCell ref="A53:D53"/>
    <mergeCell ref="A10:D10"/>
    <mergeCell ref="A1:T1"/>
    <mergeCell ref="A58:D58"/>
    <mergeCell ref="A5:C5"/>
    <mergeCell ref="G5:I5"/>
    <mergeCell ref="A59:D59"/>
    <mergeCell ref="A11:D11"/>
    <mergeCell ref="M5:P5"/>
    <mergeCell ref="D5:F5"/>
    <mergeCell ref="A54:D54"/>
    <mergeCell ref="A2:T2"/>
    <mergeCell ref="Q5:T5"/>
    <mergeCell ref="J5:L5"/>
    <mergeCell ref="A56:D56"/>
    <mergeCell ref="A8:T8"/>
    <mergeCell ref="A4:T4"/>
    <mergeCell ref="A6:C6"/>
    <mergeCell ref="A55:D55"/>
    <mergeCell ref="M6:P6"/>
    <mergeCell ref="A57:D57"/>
    <mergeCell ref="A52:T52"/>
    <mergeCell ref="Q6:T6"/>
    <mergeCell ref="D6:F6"/>
  </mergeCells>
  <conditionalFormatting sqref="E12:P51">
    <cfRule type="expression" priority="1" dxfId="11">
      <formula>E12=0</formula>
    </cfRule>
    <cfRule type="expression" priority="2" dxfId="12">
      <formula>E12=1</formula>
    </cfRule>
    <cfRule type="expression" priority="3" dxfId="13">
      <formula>E12=2</formula>
    </cfRule>
    <cfRule type="expression" priority="4" dxfId="14">
      <formula>E12=3</formula>
    </cfRule>
    <cfRule type="expression" priority="5" dxfId="15">
      <formula>E12=4</formula>
    </cfRule>
  </conditionalFormatting>
  <conditionalFormatting sqref="E59:P59">
    <cfRule type="expression" priority="6" dxfId="4">
      <formula>E59="Critique"</formula>
    </cfRule>
    <cfRule type="expression" priority="7" dxfId="16">
      <formula>E59="Vigilance"</formula>
    </cfRule>
    <cfRule type="expression" priority="8" dxfId="9">
      <formula>E59="Couvert"</formula>
    </cfRule>
  </conditionalFormatting>
  <conditionalFormatting sqref="E58:P58">
    <cfRule type="expression" priority="9" dxfId="4">
      <formula>E58="OUI"</formula>
    </cfRule>
  </conditionalFormatting>
  <dataValidations count="2">
    <dataValidation sqref="E12:P51" showDropDown="0" showInputMessage="0" showErrorMessage="1" allowBlank="1" errorTitle="Niveau ILUO" error="Saisir un niveau de 0 à 4." type="list">
      <formula1>"0,1,2,3,4"</formula1>
    </dataValidation>
    <dataValidation sqref="C12:C51" showDropDown="0" showInputMessage="0" showErrorMessage="0" allowBlank="1" type="list">
      <formula1>LST_EQUIPES</formula1>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6B8E23"/>
    <outlinePr summaryBelow="1" summaryRight="1"/>
    <pageSetUpPr fitToPage="1"/>
  </sheetPr>
  <dimension ref="A1:L56"/>
  <sheetViews>
    <sheetView showGridLines="0" workbookViewId="0">
      <pane ySplit="7" topLeftCell="A8" activePane="bottomLeft" state="frozen"/>
      <selection pane="bottomLeft" activeCell="A1" sqref="A1"/>
    </sheetView>
  </sheetViews>
  <sheetFormatPr baseColWidth="8" defaultRowHeight="15"/>
  <cols>
    <col width="16" customWidth="1" min="1" max="1"/>
    <col width="5" customWidth="1" min="2" max="2"/>
    <col width="52" customWidth="1" min="3" max="3"/>
    <col width="11" customWidth="1" min="4" max="4"/>
    <col width="8" customWidth="1" min="5" max="5"/>
    <col width="9" customWidth="1" min="6" max="6"/>
    <col width="9" customWidth="1" min="7" max="7"/>
    <col width="8" customWidth="1" min="8" max="8"/>
    <col width="34" customWidth="1" min="9" max="9"/>
    <col width="38" customWidth="1" min="10" max="10"/>
    <col width="14" customWidth="1" min="11" max="11"/>
    <col width="12" customWidth="1" min="12" max="12"/>
  </cols>
  <sheetData>
    <row r="1" ht="30" customHeight="1">
      <c r="A1" s="1" t="inlineStr">
        <is>
          <t>AUDIT 5S  —  grille terrain pondérée</t>
        </is>
      </c>
      <c r="B1" s="2" t="n"/>
      <c r="C1" s="2" t="n"/>
      <c r="D1" s="2" t="n"/>
      <c r="E1" s="2" t="n"/>
      <c r="F1" s="2" t="n"/>
      <c r="G1" s="2" t="n"/>
      <c r="H1" s="2" t="n"/>
      <c r="I1" s="2" t="n"/>
      <c r="J1" s="2" t="n"/>
      <c r="K1" s="2" t="n"/>
      <c r="L1" s="2" t="n"/>
    </row>
    <row r="2" ht="18" customHeight="1">
      <c r="A2" s="3" t="inlineStr">
        <is>
          <t>Notation de chaque critère de 0 à 4 :  0 non fait  •  1 amorcé  •  2 partiel  •  3 conforme  •  4 exemplaire et tenu dans la durée. La pondération traduit l'importance du critère pour la zone auditée (1 = utile, 2 = important, 3 = majeur).</t>
        </is>
      </c>
    </row>
    <row r="4" ht="20" customHeight="1">
      <c r="A4" s="4" t="inlineStr">
        <is>
          <t>IDENTIFICATION DE L'AUDIT</t>
        </is>
      </c>
      <c r="B4" s="5" t="n"/>
      <c r="C4" s="5" t="n"/>
      <c r="D4" s="5" t="n"/>
      <c r="E4" s="5" t="n"/>
      <c r="F4" s="5" t="n"/>
      <c r="G4" s="5" t="n"/>
      <c r="H4" s="5" t="n"/>
      <c r="I4" s="5" t="n"/>
      <c r="J4" s="5" t="n"/>
      <c r="K4" s="5" t="n"/>
      <c r="L4" s="5" t="n"/>
    </row>
    <row r="5">
      <c r="A5" s="122" t="inlineStr">
        <is>
          <t>Zone auditée :</t>
        </is>
      </c>
      <c r="C5" s="123" t="inlineStr">
        <is>
          <t>Ligne 1 - Assemblage</t>
        </is>
      </c>
      <c r="D5" s="15" t="n"/>
      <c r="E5" s="122" t="inlineStr">
        <is>
          <t>Date de l'audit :</t>
        </is>
      </c>
      <c r="F5" s="124" t="n">
        <v>46052</v>
      </c>
      <c r="G5" s="15" t="n"/>
      <c r="H5" s="122" t="inlineStr">
        <is>
          <t>Auditeur :</t>
        </is>
      </c>
      <c r="I5" s="123" t="inlineStr">
        <is>
          <t>LEROY S.</t>
        </is>
      </c>
      <c r="J5" s="15" t="n"/>
      <c r="K5" s="15" t="n"/>
      <c r="L5" s="15" t="n"/>
    </row>
    <row r="6">
      <c r="A6" s="122" t="inlineStr">
        <is>
          <t>Zone de référence :</t>
        </is>
      </c>
      <c r="C6" s="123" t="inlineStr">
        <is>
          <t>UAP Assemblage-Usinage</t>
        </is>
      </c>
      <c r="D6" s="15" t="n"/>
      <c r="E6" s="122" t="inlineStr">
        <is>
          <t>Audit précédent :</t>
        </is>
      </c>
      <c r="F6" s="124" t="n">
        <v>46010</v>
      </c>
      <c r="G6" s="15" t="n"/>
      <c r="H6" s="122" t="inlineStr">
        <is>
          <t>Accompagné de :</t>
        </is>
      </c>
      <c r="I6" s="123" t="inlineStr">
        <is>
          <t>Équipe A (matin)</t>
        </is>
      </c>
      <c r="J6" s="15" t="n"/>
      <c r="K6" s="15" t="n"/>
      <c r="L6" s="15" t="n"/>
    </row>
    <row r="7" ht="40" customHeight="1">
      <c r="A7" s="6" t="inlineStr">
        <is>
          <t>Domaine</t>
        </is>
      </c>
      <c r="B7" s="6" t="inlineStr">
        <is>
          <t>N°</t>
        </is>
      </c>
      <c r="C7" s="6" t="inlineStr">
        <is>
          <t>Critère observé sur le terrain</t>
        </is>
      </c>
      <c r="D7" s="6" t="inlineStr">
        <is>
          <t>Pondération</t>
        </is>
      </c>
      <c r="E7" s="6" t="inlineStr">
        <is>
          <t>Note
(0 à 4)</t>
        </is>
      </c>
      <c r="F7" s="6" t="inlineStr">
        <is>
          <t>Note
pondérée</t>
        </is>
      </c>
      <c r="G7" s="6" t="inlineStr">
        <is>
          <t>Note
audit N-1</t>
        </is>
      </c>
      <c r="H7" s="6" t="inlineStr">
        <is>
          <t>Écart</t>
        </is>
      </c>
      <c r="I7" s="6" t="inlineStr">
        <is>
          <t>Constat terrain</t>
        </is>
      </c>
      <c r="J7" s="6" t="inlineStr">
        <is>
          <t>Action corrective décidée</t>
        </is>
      </c>
      <c r="K7" s="6" t="inlineStr">
        <is>
          <t>Pilote</t>
        </is>
      </c>
      <c r="L7" s="6" t="inlineStr">
        <is>
          <t>Délai</t>
        </is>
      </c>
    </row>
    <row r="8" ht="22" customHeight="1">
      <c r="A8" s="28" t="inlineStr">
        <is>
          <t>1S Débarrasser</t>
        </is>
      </c>
      <c r="B8" s="125" t="n">
        <v>1</v>
      </c>
      <c r="C8" s="29" t="inlineStr">
        <is>
          <t>Aucun objet, pièce ou en-cours inutile dans la zone</t>
        </is>
      </c>
      <c r="D8" s="126" t="n">
        <v>2</v>
      </c>
      <c r="E8" s="126" t="n">
        <v>3</v>
      </c>
      <c r="F8" s="127">
        <f>IF($E8="","",$D8*$E8)</f>
        <v/>
      </c>
      <c r="G8" s="126" t="n">
        <v>2</v>
      </c>
      <c r="H8" s="128">
        <f>IF(OR($E8="",$G8=""),"",$E8-$G8)</f>
        <v/>
      </c>
      <c r="I8" s="129" t="n"/>
      <c r="J8" s="129" t="n"/>
      <c r="K8" s="129" t="n"/>
      <c r="L8" s="130" t="n"/>
    </row>
    <row r="9" ht="22" customHeight="1">
      <c r="A9" s="28" t="inlineStr">
        <is>
          <t>1S Débarrasser</t>
        </is>
      </c>
      <c r="B9" s="125" t="n">
        <v>2</v>
      </c>
      <c r="C9" s="29" t="inlineStr">
        <is>
          <t>Les en-cours ne dépassent pas la limite définie et affichée</t>
        </is>
      </c>
      <c r="D9" s="126" t="n">
        <v>3</v>
      </c>
      <c r="E9" s="126" t="n">
        <v>2</v>
      </c>
      <c r="F9" s="127">
        <f>IF($E9="","",$D9*$E9)</f>
        <v/>
      </c>
      <c r="G9" s="126" t="n">
        <v>2</v>
      </c>
      <c r="H9" s="128">
        <f>IF(OR($E9="",$G9=""),"",$E9-$G9)</f>
        <v/>
      </c>
      <c r="I9" s="129" t="n"/>
      <c r="J9" s="129" t="n"/>
      <c r="K9" s="129" t="n"/>
      <c r="L9" s="130" t="n"/>
    </row>
    <row r="10" ht="22" customHeight="1">
      <c r="A10" s="28" t="inlineStr">
        <is>
          <t>1S Débarrasser</t>
        </is>
      </c>
      <c r="B10" s="125" t="n">
        <v>3</v>
      </c>
      <c r="C10" s="29" t="inlineStr">
        <is>
          <t>Aucun document obsolète affiché (version et date visibles)</t>
        </is>
      </c>
      <c r="D10" s="126" t="n">
        <v>1</v>
      </c>
      <c r="E10" s="126" t="n">
        <v>3</v>
      </c>
      <c r="F10" s="127">
        <f>IF($E10="","",$D10*$E10)</f>
        <v/>
      </c>
      <c r="G10" s="126" t="n">
        <v>3</v>
      </c>
      <c r="H10" s="128">
        <f>IF(OR($E10="",$G10=""),"",$E10-$G10)</f>
        <v/>
      </c>
      <c r="I10" s="129" t="n"/>
      <c r="J10" s="129" t="n"/>
      <c r="K10" s="129" t="n"/>
      <c r="L10" s="130" t="n"/>
    </row>
    <row r="11" ht="22" customHeight="1">
      <c r="A11" s="28" t="inlineStr">
        <is>
          <t>1S Débarrasser</t>
        </is>
      </c>
      <c r="B11" s="125" t="n">
        <v>4</v>
      </c>
      <c r="C11" s="29" t="inlineStr">
        <is>
          <t>Les objets sans propriétaire sont identifiés et traités (zone rouge)</t>
        </is>
      </c>
      <c r="D11" s="126" t="n">
        <v>1</v>
      </c>
      <c r="E11" s="126" t="n">
        <v>2</v>
      </c>
      <c r="F11" s="127">
        <f>IF($E11="","",$D11*$E11)</f>
        <v/>
      </c>
      <c r="G11" s="126" t="n">
        <v>1</v>
      </c>
      <c r="H11" s="128">
        <f>IF(OR($E11="",$G11=""),"",$E11-$G11)</f>
        <v/>
      </c>
      <c r="I11" s="129" t="n"/>
      <c r="J11" s="129" t="n"/>
      <c r="K11" s="129" t="n"/>
      <c r="L11" s="130" t="n"/>
    </row>
    <row r="12" ht="22" customHeight="1">
      <c r="A12" s="28" t="inlineStr">
        <is>
          <t>1S Débarrasser</t>
        </is>
      </c>
      <c r="B12" s="125" t="n">
        <v>5</v>
      </c>
      <c r="C12" s="29" t="inlineStr">
        <is>
          <t>Allées, accès machines et issues de secours totalement dégagés</t>
        </is>
      </c>
      <c r="D12" s="126" t="n">
        <v>3</v>
      </c>
      <c r="E12" s="126" t="n">
        <v>3</v>
      </c>
      <c r="F12" s="127">
        <f>IF($E12="","",$D12*$E12)</f>
        <v/>
      </c>
      <c r="G12" s="126" t="n">
        <v>3</v>
      </c>
      <c r="H12" s="128">
        <f>IF(OR($E12="",$G12=""),"",$E12-$G12)</f>
        <v/>
      </c>
      <c r="I12" s="129" t="n"/>
      <c r="J12" s="129" t="n"/>
      <c r="K12" s="129" t="n"/>
      <c r="L12" s="130" t="n"/>
    </row>
    <row r="13" ht="22" customHeight="1">
      <c r="A13" s="28" t="inlineStr">
        <is>
          <t>2S Ranger</t>
        </is>
      </c>
      <c r="B13" s="125" t="n">
        <v>1</v>
      </c>
      <c r="C13" s="29" t="inlineStr">
        <is>
          <t>Chaque outil dispose d'un emplacement unique et identifié</t>
        </is>
      </c>
      <c r="D13" s="126" t="n">
        <v>3</v>
      </c>
      <c r="E13" s="126" t="n">
        <v>2</v>
      </c>
      <c r="F13" s="127">
        <f>IF($E13="","",$D13*$E13)</f>
        <v/>
      </c>
      <c r="G13" s="126" t="n">
        <v>2</v>
      </c>
      <c r="H13" s="128">
        <f>IF(OR($E13="",$G13=""),"",$E13-$G13)</f>
        <v/>
      </c>
      <c r="I13" s="129" t="n"/>
      <c r="J13" s="129" t="n"/>
      <c r="K13" s="129" t="n"/>
      <c r="L13" s="130" t="n"/>
    </row>
    <row r="14" ht="22" customHeight="1">
      <c r="A14" s="28" t="inlineStr">
        <is>
          <t>2S Ranger</t>
        </is>
      </c>
      <c r="B14" s="125" t="n">
        <v>2</v>
      </c>
      <c r="C14" s="29" t="inlineStr">
        <is>
          <t>Marquage au sol présent, lisible et respecté</t>
        </is>
      </c>
      <c r="D14" s="126" t="n">
        <v>2</v>
      </c>
      <c r="E14" s="126" t="n">
        <v>3</v>
      </c>
      <c r="F14" s="127">
        <f>IF($E14="","",$D14*$E14)</f>
        <v/>
      </c>
      <c r="G14" s="126" t="n">
        <v>2</v>
      </c>
      <c r="H14" s="128">
        <f>IF(OR($E14="",$G14=""),"",$E14-$G14)</f>
        <v/>
      </c>
      <c r="I14" s="129" t="n"/>
      <c r="J14" s="129" t="n"/>
      <c r="K14" s="129" t="n"/>
      <c r="L14" s="130" t="n"/>
    </row>
    <row r="15" ht="22" customHeight="1">
      <c r="A15" s="28" t="inlineStr">
        <is>
          <t>2S Ranger</t>
        </is>
      </c>
      <c r="B15" s="125" t="n">
        <v>3</v>
      </c>
      <c r="C15" s="29" t="inlineStr">
        <is>
          <t>EPI rangés, disponibles et à portée immédiate</t>
        </is>
      </c>
      <c r="D15" s="126" t="n">
        <v>3</v>
      </c>
      <c r="E15" s="126" t="n">
        <v>4</v>
      </c>
      <c r="F15" s="127">
        <f>IF($E15="","",$D15*$E15)</f>
        <v/>
      </c>
      <c r="G15" s="126" t="n">
        <v>3</v>
      </c>
      <c r="H15" s="128">
        <f>IF(OR($E15="",$G15=""),"",$E15-$G15)</f>
        <v/>
      </c>
      <c r="I15" s="129" t="n"/>
      <c r="J15" s="129" t="n"/>
      <c r="K15" s="129" t="n"/>
      <c r="L15" s="130" t="n"/>
    </row>
    <row r="16" ht="22" customHeight="1">
      <c r="A16" s="28" t="inlineStr">
        <is>
          <t>2S Ranger</t>
        </is>
      </c>
      <c r="B16" s="125" t="n">
        <v>4</v>
      </c>
      <c r="C16" s="29" t="inlineStr">
        <is>
          <t>Stock au poste borné visuellement (mini / maxi)</t>
        </is>
      </c>
      <c r="D16" s="126" t="n">
        <v>2</v>
      </c>
      <c r="E16" s="126" t="n">
        <v>2</v>
      </c>
      <c r="F16" s="127">
        <f>IF($E16="","",$D16*$E16)</f>
        <v/>
      </c>
      <c r="G16" s="126" t="n">
        <v>1</v>
      </c>
      <c r="H16" s="128">
        <f>IF(OR($E16="",$G16=""),"",$E16-$G16)</f>
        <v/>
      </c>
      <c r="I16" s="129" t="n"/>
      <c r="J16" s="129" t="n"/>
      <c r="K16" s="129" t="n"/>
      <c r="L16" s="130" t="n"/>
    </row>
    <row r="17" ht="22" customHeight="1">
      <c r="A17" s="28" t="inlineStr">
        <is>
          <t>2S Ranger</t>
        </is>
      </c>
      <c r="B17" s="125" t="n">
        <v>5</v>
      </c>
      <c r="C17" s="29" t="inlineStr">
        <is>
          <t>Un nouvel arrivant trouve un outil en moins de 30 secondes</t>
        </is>
      </c>
      <c r="D17" s="126" t="n">
        <v>2</v>
      </c>
      <c r="E17" s="126" t="n">
        <v>2</v>
      </c>
      <c r="F17" s="127">
        <f>IF($E17="","",$D17*$E17)</f>
        <v/>
      </c>
      <c r="G17" s="126" t="n">
        <v>2</v>
      </c>
      <c r="H17" s="128">
        <f>IF(OR($E17="",$G17=""),"",$E17-$G17)</f>
        <v/>
      </c>
      <c r="I17" s="129" t="n"/>
      <c r="J17" s="129" t="n"/>
      <c r="K17" s="129" t="n"/>
      <c r="L17" s="130" t="n"/>
    </row>
    <row r="18" ht="22" customHeight="1">
      <c r="A18" s="28" t="inlineStr">
        <is>
          <t>3S Nettoyer</t>
        </is>
      </c>
      <c r="B18" s="125" t="n">
        <v>1</v>
      </c>
      <c r="C18" s="29" t="inlineStr">
        <is>
          <t>Sols, machines et postes propres en fin de poste</t>
        </is>
      </c>
      <c r="D18" s="126" t="n">
        <v>2</v>
      </c>
      <c r="E18" s="126" t="n">
        <v>3</v>
      </c>
      <c r="F18" s="127">
        <f>IF($E18="","",$D18*$E18)</f>
        <v/>
      </c>
      <c r="G18" s="126" t="n">
        <v>3</v>
      </c>
      <c r="H18" s="128">
        <f>IF(OR($E18="",$G18=""),"",$E18-$G18)</f>
        <v/>
      </c>
      <c r="I18" s="129" t="n"/>
      <c r="J18" s="129" t="n"/>
      <c r="K18" s="129" t="n"/>
      <c r="L18" s="130" t="n"/>
    </row>
    <row r="19" ht="22" customHeight="1">
      <c r="A19" s="28" t="inlineStr">
        <is>
          <t>3S Nettoyer</t>
        </is>
      </c>
      <c r="B19" s="125" t="n">
        <v>2</v>
      </c>
      <c r="C19" s="29" t="inlineStr">
        <is>
          <t>Aucune fuite (huile, air, fluide) non traitée ou non signalée</t>
        </is>
      </c>
      <c r="D19" s="126" t="n">
        <v>3</v>
      </c>
      <c r="E19" s="126" t="n">
        <v>3</v>
      </c>
      <c r="F19" s="127">
        <f>IF($E19="","",$D19*$E19)</f>
        <v/>
      </c>
      <c r="G19" s="126" t="n">
        <v>2</v>
      </c>
      <c r="H19" s="128">
        <f>IF(OR($E19="",$G19=""),"",$E19-$G19)</f>
        <v/>
      </c>
      <c r="I19" s="129" t="n"/>
      <c r="J19" s="129" t="n"/>
      <c r="K19" s="129" t="n"/>
      <c r="L19" s="130" t="n"/>
    </row>
    <row r="20" ht="22" customHeight="1">
      <c r="A20" s="28" t="inlineStr">
        <is>
          <t>3S Nettoyer</t>
        </is>
      </c>
      <c r="B20" s="125" t="n">
        <v>3</v>
      </c>
      <c r="C20" s="29" t="inlineStr">
        <is>
          <t>Matériel de nettoyage disponible, complet et en bon état</t>
        </is>
      </c>
      <c r="D20" s="126" t="n">
        <v>1</v>
      </c>
      <c r="E20" s="126" t="n">
        <v>4</v>
      </c>
      <c r="F20" s="127">
        <f>IF($E20="","",$D20*$E20)</f>
        <v/>
      </c>
      <c r="G20" s="126" t="n">
        <v>3</v>
      </c>
      <c r="H20" s="128">
        <f>IF(OR($E20="",$G20=""),"",$E20-$G20)</f>
        <v/>
      </c>
      <c r="I20" s="129" t="n"/>
      <c r="J20" s="129" t="n"/>
      <c r="K20" s="129" t="n"/>
      <c r="L20" s="130" t="n"/>
    </row>
    <row r="21" ht="22" customHeight="1">
      <c r="A21" s="28" t="inlineStr">
        <is>
          <t>3S Nettoyer</t>
        </is>
      </c>
      <c r="B21" s="125" t="n">
        <v>4</v>
      </c>
      <c r="C21" s="29" t="inlineStr">
        <is>
          <t>Le nettoyage sert d'inspection : les anomalies sont remontées</t>
        </is>
      </c>
      <c r="D21" s="126" t="n">
        <v>3</v>
      </c>
      <c r="E21" s="126" t="n">
        <v>2</v>
      </c>
      <c r="F21" s="127">
        <f>IF($E21="","",$D21*$E21)</f>
        <v/>
      </c>
      <c r="G21" s="126" t="n">
        <v>1</v>
      </c>
      <c r="H21" s="128">
        <f>IF(OR($E21="",$G21=""),"",$E21-$G21)</f>
        <v/>
      </c>
      <c r="I21" s="129" t="n"/>
      <c r="J21" s="129" t="n"/>
      <c r="K21" s="129" t="n"/>
      <c r="L21" s="130" t="n"/>
    </row>
    <row r="22" ht="22" customHeight="1">
      <c r="A22" s="28" t="inlineStr">
        <is>
          <t>3S Nettoyer</t>
        </is>
      </c>
      <c r="B22" s="125" t="n">
        <v>5</v>
      </c>
      <c r="C22" s="29" t="inlineStr">
        <is>
          <t>Les sources de salissure sont traitées à la source</t>
        </is>
      </c>
      <c r="D22" s="126" t="n">
        <v>3</v>
      </c>
      <c r="E22" s="126" t="n">
        <v>1</v>
      </c>
      <c r="F22" s="127">
        <f>IF($E22="","",$D22*$E22)</f>
        <v/>
      </c>
      <c r="G22" s="126" t="n">
        <v>1</v>
      </c>
      <c r="H22" s="128">
        <f>IF(OR($E22="",$G22=""),"",$E22-$G22)</f>
        <v/>
      </c>
      <c r="I22" s="129" t="n"/>
      <c r="J22" s="129" t="n"/>
      <c r="K22" s="129" t="n"/>
      <c r="L22" s="130" t="n"/>
    </row>
    <row r="23" ht="22" customHeight="1">
      <c r="A23" s="28" t="inlineStr">
        <is>
          <t>4S Standardiser</t>
        </is>
      </c>
      <c r="B23" s="125" t="n">
        <v>1</v>
      </c>
      <c r="C23" s="29" t="inlineStr">
        <is>
          <t>Standard 5S écrit, illustré et affiché dans la zone</t>
        </is>
      </c>
      <c r="D23" s="126" t="n">
        <v>2</v>
      </c>
      <c r="E23" s="126" t="n">
        <v>3</v>
      </c>
      <c r="F23" s="127">
        <f>IF($E23="","",$D23*$E23)</f>
        <v/>
      </c>
      <c r="G23" s="126" t="n">
        <v>2</v>
      </c>
      <c r="H23" s="128">
        <f>IF(OR($E23="",$G23=""),"",$E23-$G23)</f>
        <v/>
      </c>
      <c r="I23" s="129" t="n"/>
      <c r="J23" s="129" t="n"/>
      <c r="K23" s="129" t="n"/>
      <c r="L23" s="130" t="n"/>
    </row>
    <row r="24" ht="22" customHeight="1">
      <c r="A24" s="28" t="inlineStr">
        <is>
          <t>4S Standardiser</t>
        </is>
      </c>
      <c r="B24" s="125" t="n">
        <v>2</v>
      </c>
      <c r="C24" s="29" t="inlineStr">
        <is>
          <t>Responsabilités de nettoyage nommées et planifiées</t>
        </is>
      </c>
      <c r="D24" s="126" t="n">
        <v>2</v>
      </c>
      <c r="E24" s="126" t="n">
        <v>2</v>
      </c>
      <c r="F24" s="127">
        <f>IF($E24="","",$D24*$E24)</f>
        <v/>
      </c>
      <c r="G24" s="126" t="n">
        <v>2</v>
      </c>
      <c r="H24" s="128">
        <f>IF(OR($E24="",$G24=""),"",$E24-$G24)</f>
        <v/>
      </c>
      <c r="I24" s="129" t="n"/>
      <c r="J24" s="129" t="n"/>
      <c r="K24" s="129" t="n"/>
      <c r="L24" s="130" t="n"/>
    </row>
    <row r="25" ht="22" customHeight="1">
      <c r="A25" s="28" t="inlineStr">
        <is>
          <t>4S Standardiser</t>
        </is>
      </c>
      <c r="B25" s="125" t="n">
        <v>3</v>
      </c>
      <c r="C25" s="29" t="inlineStr">
        <is>
          <t>Management visuel à jour (moins de 24 h)</t>
        </is>
      </c>
      <c r="D25" s="126" t="n">
        <v>3</v>
      </c>
      <c r="E25" s="126" t="n">
        <v>2</v>
      </c>
      <c r="F25" s="127">
        <f>IF($E25="","",$D25*$E25)</f>
        <v/>
      </c>
      <c r="G25" s="126" t="n">
        <v>1</v>
      </c>
      <c r="H25" s="128">
        <f>IF(OR($E25="",$G25=""),"",$E25-$G25)</f>
        <v/>
      </c>
      <c r="I25" s="129" t="n"/>
      <c r="J25" s="129" t="n"/>
      <c r="K25" s="129" t="n"/>
      <c r="L25" s="130" t="n"/>
    </row>
    <row r="26" ht="22" customHeight="1">
      <c r="A26" s="28" t="inlineStr">
        <is>
          <t>4S Standardiser</t>
        </is>
      </c>
      <c r="B26" s="125" t="n">
        <v>4</v>
      </c>
      <c r="C26" s="29" t="inlineStr">
        <is>
          <t>Standards de travail accessibles et lisibles au poste</t>
        </is>
      </c>
      <c r="D26" s="126" t="n">
        <v>3</v>
      </c>
      <c r="E26" s="126" t="n">
        <v>3</v>
      </c>
      <c r="F26" s="127">
        <f>IF($E26="","",$D26*$E26)</f>
        <v/>
      </c>
      <c r="G26" s="126" t="n">
        <v>3</v>
      </c>
      <c r="H26" s="128">
        <f>IF(OR($E26="",$G26=""),"",$E26-$G26)</f>
        <v/>
      </c>
      <c r="I26" s="129" t="n"/>
      <c r="J26" s="129" t="n"/>
      <c r="K26" s="129" t="n"/>
      <c r="L26" s="130" t="n"/>
    </row>
    <row r="27" ht="22" customHeight="1">
      <c r="A27" s="28" t="inlineStr">
        <is>
          <t>4S Standardiser</t>
        </is>
      </c>
      <c r="B27" s="125" t="n">
        <v>5</v>
      </c>
      <c r="C27" s="29" t="inlineStr">
        <is>
          <t>Les écarts au standard sont visibles de tous</t>
        </is>
      </c>
      <c r="D27" s="126" t="n">
        <v>2</v>
      </c>
      <c r="E27" s="126" t="n">
        <v>2</v>
      </c>
      <c r="F27" s="127">
        <f>IF($E27="","",$D27*$E27)</f>
        <v/>
      </c>
      <c r="G27" s="126" t="n">
        <v>2</v>
      </c>
      <c r="H27" s="128">
        <f>IF(OR($E27="",$G27=""),"",$E27-$G27)</f>
        <v/>
      </c>
      <c r="I27" s="129" t="n"/>
      <c r="J27" s="129" t="n"/>
      <c r="K27" s="129" t="n"/>
      <c r="L27" s="130" t="n"/>
    </row>
    <row r="28" ht="22" customHeight="1">
      <c r="A28" s="28" t="inlineStr">
        <is>
          <t>5S Progresser</t>
        </is>
      </c>
      <c r="B28" s="125" t="n">
        <v>1</v>
      </c>
      <c r="C28" s="29" t="inlineStr">
        <is>
          <t>Audit réalisé au rythme prévu, sans exception</t>
        </is>
      </c>
      <c r="D28" s="126" t="n">
        <v>2</v>
      </c>
      <c r="E28" s="126" t="n">
        <v>3</v>
      </c>
      <c r="F28" s="127">
        <f>IF($E28="","",$D28*$E28)</f>
        <v/>
      </c>
      <c r="G28" s="126" t="n">
        <v>3</v>
      </c>
      <c r="H28" s="128">
        <f>IF(OR($E28="",$G28=""),"",$E28-$G28)</f>
        <v/>
      </c>
      <c r="I28" s="129" t="n"/>
      <c r="J28" s="129" t="n"/>
      <c r="K28" s="129" t="n"/>
      <c r="L28" s="130" t="n"/>
    </row>
    <row r="29" ht="22" customHeight="1">
      <c r="A29" s="28" t="inlineStr">
        <is>
          <t>5S Progresser</t>
        </is>
      </c>
      <c r="B29" s="125" t="n">
        <v>2</v>
      </c>
      <c r="C29" s="29" t="inlineStr">
        <is>
          <t>Actions des audits précédents soldées dans les délais</t>
        </is>
      </c>
      <c r="D29" s="126" t="n">
        <v>3</v>
      </c>
      <c r="E29" s="126" t="n">
        <v>2</v>
      </c>
      <c r="F29" s="127">
        <f>IF($E29="","",$D29*$E29)</f>
        <v/>
      </c>
      <c r="G29" s="126" t="n">
        <v>1</v>
      </c>
      <c r="H29" s="128">
        <f>IF(OR($E29="",$G29=""),"",$E29-$G29)</f>
        <v/>
      </c>
      <c r="I29" s="129" t="n"/>
      <c r="J29" s="129" t="n"/>
      <c r="K29" s="129" t="n"/>
      <c r="L29" s="130" t="n"/>
    </row>
    <row r="30" ht="22" customHeight="1">
      <c r="A30" s="28" t="inlineStr">
        <is>
          <t>5S Progresser</t>
        </is>
      </c>
      <c r="B30" s="125" t="n">
        <v>3</v>
      </c>
      <c r="C30" s="29" t="inlineStr">
        <is>
          <t>Les opérateurs proposent et mettent en œuvre des améliorations</t>
        </is>
      </c>
      <c r="D30" s="126" t="n">
        <v>3</v>
      </c>
      <c r="E30" s="126" t="n">
        <v>2</v>
      </c>
      <c r="F30" s="127">
        <f>IF($E30="","",$D30*$E30)</f>
        <v/>
      </c>
      <c r="G30" s="126" t="n">
        <v>2</v>
      </c>
      <c r="H30" s="128">
        <f>IF(OR($E30="",$G30=""),"",$E30-$G30)</f>
        <v/>
      </c>
      <c r="I30" s="129" t="n"/>
      <c r="J30" s="129" t="n"/>
      <c r="K30" s="129" t="n"/>
      <c r="L30" s="130" t="n"/>
    </row>
    <row r="31" ht="22" customHeight="1">
      <c r="A31" s="28" t="inlineStr">
        <is>
          <t>5S Progresser</t>
        </is>
      </c>
      <c r="B31" s="125" t="n">
        <v>4</v>
      </c>
      <c r="C31" s="29" t="inlineStr">
        <is>
          <t>Le score progresse ou se maintient sur 3 audits</t>
        </is>
      </c>
      <c r="D31" s="126" t="n">
        <v>2</v>
      </c>
      <c r="E31" s="126" t="n">
        <v>2</v>
      </c>
      <c r="F31" s="127">
        <f>IF($E31="","",$D31*$E31)</f>
        <v/>
      </c>
      <c r="G31" s="126" t="n">
        <v>2</v>
      </c>
      <c r="H31" s="128">
        <f>IF(OR($E31="",$G31=""),"",$E31-$G31)</f>
        <v/>
      </c>
      <c r="I31" s="129" t="n"/>
      <c r="J31" s="129" t="n"/>
      <c r="K31" s="129" t="n"/>
      <c r="L31" s="130" t="n"/>
    </row>
    <row r="32" ht="22" customHeight="1">
      <c r="A32" s="28" t="inlineStr">
        <is>
          <t>5S Progresser</t>
        </is>
      </c>
      <c r="B32" s="125" t="n">
        <v>5</v>
      </c>
      <c r="C32" s="29" t="inlineStr">
        <is>
          <t>Le management reconnaît les progrès sur le terrain</t>
        </is>
      </c>
      <c r="D32" s="126" t="n">
        <v>1</v>
      </c>
      <c r="E32" s="126" t="n">
        <v>3</v>
      </c>
      <c r="F32" s="127">
        <f>IF($E32="","",$D32*$E32)</f>
        <v/>
      </c>
      <c r="G32" s="126" t="n">
        <v>3</v>
      </c>
      <c r="H32" s="128">
        <f>IF(OR($E32="",$G32=""),"",$E32-$G32)</f>
        <v/>
      </c>
      <c r="I32" s="129" t="n"/>
      <c r="J32" s="129" t="n"/>
      <c r="K32" s="129" t="n"/>
      <c r="L32" s="130" t="n"/>
    </row>
    <row r="33" ht="20" customHeight="1">
      <c r="A33" s="4" t="inlineStr">
        <is>
          <t>RÉSULTAT DE L'AUDIT  —  score pondéré par domaine</t>
        </is>
      </c>
      <c r="B33" s="5" t="n"/>
      <c r="C33" s="5" t="n"/>
      <c r="D33" s="5" t="n"/>
      <c r="E33" s="5" t="n"/>
      <c r="F33" s="5" t="n"/>
      <c r="G33" s="5" t="n"/>
      <c r="H33" s="5" t="n"/>
      <c r="I33" s="5" t="n"/>
      <c r="J33" s="5" t="n"/>
      <c r="K33" s="5" t="n"/>
      <c r="L33" s="5" t="n"/>
    </row>
    <row r="34" ht="34" customHeight="1">
      <c r="A34" s="6" t="inlineStr">
        <is>
          <t>Domaine 5S</t>
        </is>
      </c>
      <c r="B34" s="6" t="inlineStr">
        <is>
          <t>Note pondérée
obtenue</t>
        </is>
      </c>
      <c r="C34" s="6" t="inlineStr">
        <is>
          <t>Note pondérée
maximale</t>
        </is>
      </c>
      <c r="D34" s="6" t="inlineStr">
        <is>
          <t>Score</t>
        </is>
      </c>
      <c r="E34" s="6" t="inlineStr">
        <is>
          <t>Cible</t>
        </is>
      </c>
      <c r="F34" s="6" t="inlineStr">
        <is>
          <t>Écart</t>
        </is>
      </c>
      <c r="G34" s="6" t="inlineStr">
        <is>
          <t>Statut</t>
        </is>
      </c>
      <c r="H34" s="6" t="inlineStr">
        <is>
          <t>Score audit N-1</t>
        </is>
      </c>
      <c r="I34" s="6" t="inlineStr">
        <is>
          <t>Tendance</t>
        </is>
      </c>
      <c r="J34" s="6" t="inlineStr"/>
      <c r="K34" s="6" t="inlineStr"/>
      <c r="L34" s="6" t="inlineStr"/>
    </row>
    <row r="35" ht="18" customHeight="1">
      <c r="A35" s="131" t="inlineStr">
        <is>
          <t>1S Débarrasser</t>
        </is>
      </c>
      <c r="B35" s="127">
        <f>SUMIF($A$8:$A$32,$A35,$F$8:$F$32)</f>
        <v/>
      </c>
      <c r="C35" s="127">
        <f>SUMIF($A$8:$A$32,$A35,$D$8:$D$32)*4</f>
        <v/>
      </c>
      <c r="D35" s="118">
        <f>IFERROR($B35/$C35,"")</f>
        <v/>
      </c>
      <c r="E35" s="118">
        <f>INDEX(PARAMETRES!$D$16:$D$29,MATCH("AUDIT5S",PARAMETRES!$A$16:$A$29,0))</f>
        <v/>
      </c>
      <c r="F35" s="132">
        <f>IF($D35="","",$D35-$E35)</f>
        <v/>
      </c>
      <c r="G35" s="133">
        <f>IF($D35="","",IF($D35&gt;=$E35,"Conforme",IF($D35&gt;=$E35-0.1,"À consolider","Non conforme")))</f>
        <v/>
      </c>
      <c r="H35" s="118">
        <f>IFERROR(SUMPRODUCT(($A$8:$A$32=$A35)*$D$8:$D$32*$G$8:$G$32)/$C35,"")</f>
        <v/>
      </c>
      <c r="I35" s="133">
        <f>IF(OR($D35="",$H35=""),"",IF($D35&gt;$H35+0.02,"En progrès",IF($D35&lt;$H35-0.02,"En recul","Stable")))</f>
        <v/>
      </c>
    </row>
    <row r="36" ht="18" customHeight="1">
      <c r="A36" s="131" t="inlineStr">
        <is>
          <t>2S Ranger</t>
        </is>
      </c>
      <c r="B36" s="127">
        <f>SUMIF($A$8:$A$32,$A36,$F$8:$F$32)</f>
        <v/>
      </c>
      <c r="C36" s="127">
        <f>SUMIF($A$8:$A$32,$A36,$D$8:$D$32)*4</f>
        <v/>
      </c>
      <c r="D36" s="118">
        <f>IFERROR($B36/$C36,"")</f>
        <v/>
      </c>
      <c r="E36" s="118">
        <f>INDEX(PARAMETRES!$D$16:$D$29,MATCH("AUDIT5S",PARAMETRES!$A$16:$A$29,0))</f>
        <v/>
      </c>
      <c r="F36" s="132">
        <f>IF($D36="","",$D36-$E36)</f>
        <v/>
      </c>
      <c r="G36" s="133">
        <f>IF($D36="","",IF($D36&gt;=$E36,"Conforme",IF($D36&gt;=$E36-0.1,"À consolider","Non conforme")))</f>
        <v/>
      </c>
      <c r="H36" s="118">
        <f>IFERROR(SUMPRODUCT(($A$8:$A$32=$A36)*$D$8:$D$32*$G$8:$G$32)/$C36,"")</f>
        <v/>
      </c>
      <c r="I36" s="133">
        <f>IF(OR($D36="",$H36=""),"",IF($D36&gt;$H36+0.02,"En progrès",IF($D36&lt;$H36-0.02,"En recul","Stable")))</f>
        <v/>
      </c>
    </row>
    <row r="37" ht="18" customHeight="1">
      <c r="A37" s="131" t="inlineStr">
        <is>
          <t>3S Nettoyer</t>
        </is>
      </c>
      <c r="B37" s="127">
        <f>SUMIF($A$8:$A$32,$A37,$F$8:$F$32)</f>
        <v/>
      </c>
      <c r="C37" s="127">
        <f>SUMIF($A$8:$A$32,$A37,$D$8:$D$32)*4</f>
        <v/>
      </c>
      <c r="D37" s="118">
        <f>IFERROR($B37/$C37,"")</f>
        <v/>
      </c>
      <c r="E37" s="118">
        <f>INDEX(PARAMETRES!$D$16:$D$29,MATCH("AUDIT5S",PARAMETRES!$A$16:$A$29,0))</f>
        <v/>
      </c>
      <c r="F37" s="132">
        <f>IF($D37="","",$D37-$E37)</f>
        <v/>
      </c>
      <c r="G37" s="133">
        <f>IF($D37="","",IF($D37&gt;=$E37,"Conforme",IF($D37&gt;=$E37-0.1,"À consolider","Non conforme")))</f>
        <v/>
      </c>
      <c r="H37" s="118">
        <f>IFERROR(SUMPRODUCT(($A$8:$A$32=$A37)*$D$8:$D$32*$G$8:$G$32)/$C37,"")</f>
        <v/>
      </c>
      <c r="I37" s="133">
        <f>IF(OR($D37="",$H37=""),"",IF($D37&gt;$H37+0.02,"En progrès",IF($D37&lt;$H37-0.02,"En recul","Stable")))</f>
        <v/>
      </c>
    </row>
    <row r="38" ht="18" customHeight="1">
      <c r="A38" s="131" t="inlineStr">
        <is>
          <t>4S Standardiser</t>
        </is>
      </c>
      <c r="B38" s="127">
        <f>SUMIF($A$8:$A$32,$A38,$F$8:$F$32)</f>
        <v/>
      </c>
      <c r="C38" s="127">
        <f>SUMIF($A$8:$A$32,$A38,$D$8:$D$32)*4</f>
        <v/>
      </c>
      <c r="D38" s="118">
        <f>IFERROR($B38/$C38,"")</f>
        <v/>
      </c>
      <c r="E38" s="118">
        <f>INDEX(PARAMETRES!$D$16:$D$29,MATCH("AUDIT5S",PARAMETRES!$A$16:$A$29,0))</f>
        <v/>
      </c>
      <c r="F38" s="132">
        <f>IF($D38="","",$D38-$E38)</f>
        <v/>
      </c>
      <c r="G38" s="133">
        <f>IF($D38="","",IF($D38&gt;=$E38,"Conforme",IF($D38&gt;=$E38-0.1,"À consolider","Non conforme")))</f>
        <v/>
      </c>
      <c r="H38" s="118">
        <f>IFERROR(SUMPRODUCT(($A$8:$A$32=$A38)*$D$8:$D$32*$G$8:$G$32)/$C38,"")</f>
        <v/>
      </c>
      <c r="I38" s="133">
        <f>IF(OR($D38="",$H38=""),"",IF($D38&gt;$H38+0.02,"En progrès",IF($D38&lt;$H38-0.02,"En recul","Stable")))</f>
        <v/>
      </c>
    </row>
    <row r="39" ht="18" customHeight="1">
      <c r="A39" s="131" t="inlineStr">
        <is>
          <t>5S Progresser</t>
        </is>
      </c>
      <c r="B39" s="127">
        <f>SUMIF($A$8:$A$32,$A39,$F$8:$F$32)</f>
        <v/>
      </c>
      <c r="C39" s="127">
        <f>SUMIF($A$8:$A$32,$A39,$D$8:$D$32)*4</f>
        <v/>
      </c>
      <c r="D39" s="118">
        <f>IFERROR($B39/$C39,"")</f>
        <v/>
      </c>
      <c r="E39" s="118">
        <f>INDEX(PARAMETRES!$D$16:$D$29,MATCH("AUDIT5S",PARAMETRES!$A$16:$A$29,0))</f>
        <v/>
      </c>
      <c r="F39" s="132">
        <f>IF($D39="","",$D39-$E39)</f>
        <v/>
      </c>
      <c r="G39" s="133">
        <f>IF($D39="","",IF($D39&gt;=$E39,"Conforme",IF($D39&gt;=$E39-0.1,"À consolider","Non conforme")))</f>
        <v/>
      </c>
      <c r="H39" s="118">
        <f>IFERROR(SUMPRODUCT(($A$8:$A$32=$A39)*$D$8:$D$32*$G$8:$G$32)/$C39,"")</f>
        <v/>
      </c>
      <c r="I39" s="133">
        <f>IF(OR($D39="",$H39=""),"",IF($D39&gt;$H39+0.02,"En progrès",IF($D39&lt;$H39-0.02,"En recul","Stable")))</f>
        <v/>
      </c>
    </row>
    <row r="40" ht="18" customHeight="1">
      <c r="A40" s="134" t="inlineStr">
        <is>
          <t>SCORE GLOBAL</t>
        </is>
      </c>
      <c r="B40" s="135">
        <f>SUM($B$35:$B$39)</f>
        <v/>
      </c>
      <c r="C40" s="135">
        <f>SUM($C$35:$C$39)</f>
        <v/>
      </c>
      <c r="D40" s="136">
        <f>IFERROR($B40/$C40,"")</f>
        <v/>
      </c>
      <c r="E40" s="136">
        <f>INDEX(PARAMETRES!$D$16:$D$29,MATCH("AUDIT5S",PARAMETRES!$A$16:$A$29,0))</f>
        <v/>
      </c>
      <c r="F40" s="137">
        <f>IF($D40="","",$D40-$E40)</f>
        <v/>
      </c>
      <c r="G40" s="138">
        <f>IF($D40="","",IF($D40&gt;=$E40,"Conforme",IF($D40&gt;=$E40-0.1,"À consolider","Non conforme")))</f>
        <v/>
      </c>
      <c r="H40" s="136">
        <f>IFERROR(SUMPRODUCT($D$8:$D$32,$G$8:$G$32)/($C40),"")</f>
        <v/>
      </c>
      <c r="I40" s="138">
        <f>IF(OR($D40="",$H40=""),"",IF($D40&gt;$H40+0.02,"En progrès",IF($D40&lt;$H40-0.02,"En recul","Stable")))</f>
        <v/>
      </c>
    </row>
    <row r="43" ht="20" customHeight="1">
      <c r="A43" s="4" t="inlineStr">
        <is>
          <t>HISTORIQUE DES AUDITS DE LA ZONE  —  à compléter à chaque passage</t>
        </is>
      </c>
      <c r="B43" s="5" t="n"/>
      <c r="C43" s="5" t="n"/>
      <c r="D43" s="5" t="n"/>
      <c r="E43" s="5" t="n"/>
      <c r="F43" s="5" t="n"/>
      <c r="G43" s="5" t="n"/>
      <c r="H43" s="5" t="n"/>
      <c r="I43" s="5" t="n"/>
      <c r="J43" s="5" t="n"/>
      <c r="K43" s="5" t="n"/>
      <c r="L43" s="5" t="n"/>
    </row>
    <row r="44" ht="26" customHeight="1">
      <c r="A44" s="6" t="inlineStr">
        <is>
          <t>Date de l'audit</t>
        </is>
      </c>
      <c r="B44" s="6" t="inlineStr">
        <is>
          <t>Zone</t>
        </is>
      </c>
      <c r="C44" s="6" t="inlineStr">
        <is>
          <t>Score global</t>
        </is>
      </c>
      <c r="D44" s="6" t="inlineStr">
        <is>
          <t>Actions ouvertes</t>
        </is>
      </c>
      <c r="E44" s="6" t="inlineStr">
        <is>
          <t>Actions soldées</t>
        </is>
      </c>
      <c r="F44" s="6" t="inlineStr">
        <is>
          <t>Auditeur</t>
        </is>
      </c>
      <c r="G44" s="6" t="inlineStr"/>
      <c r="H44" s="6" t="inlineStr"/>
      <c r="I44" s="6" t="inlineStr"/>
      <c r="J44" s="6" t="inlineStr"/>
      <c r="K44" s="6" t="inlineStr"/>
      <c r="L44" s="6" t="inlineStr"/>
    </row>
    <row r="45" ht="15" customHeight="1">
      <c r="A45" s="139" t="n">
        <v>45926</v>
      </c>
      <c r="B45" s="71" t="inlineStr">
        <is>
          <t>Ligne 1 - Assemblage</t>
        </is>
      </c>
      <c r="C45" s="140" t="n">
        <v>0.52</v>
      </c>
      <c r="D45" s="141" t="n">
        <v>8</v>
      </c>
      <c r="E45" s="141" t="n">
        <v>5</v>
      </c>
      <c r="F45" s="141" t="inlineStr">
        <is>
          <t>LEROY S.</t>
        </is>
      </c>
    </row>
    <row r="46" ht="15" customHeight="1">
      <c r="A46" s="139" t="n">
        <v>45954</v>
      </c>
      <c r="B46" s="71" t="inlineStr">
        <is>
          <t>Ligne 1 - Assemblage</t>
        </is>
      </c>
      <c r="C46" s="140" t="n">
        <v>0.58</v>
      </c>
      <c r="D46" s="141" t="n">
        <v>7</v>
      </c>
      <c r="E46" s="141" t="n">
        <v>6</v>
      </c>
      <c r="F46" s="141" t="inlineStr">
        <is>
          <t>LEROY S.</t>
        </is>
      </c>
    </row>
    <row r="47" ht="15" customHeight="1">
      <c r="A47" s="139" t="n">
        <v>45982</v>
      </c>
      <c r="B47" s="71" t="inlineStr">
        <is>
          <t>Ligne 1 - Assemblage</t>
        </is>
      </c>
      <c r="C47" s="140" t="n">
        <v>0.61</v>
      </c>
      <c r="D47" s="141" t="n">
        <v>6</v>
      </c>
      <c r="E47" s="141" t="n">
        <v>5</v>
      </c>
      <c r="F47" s="141" t="inlineStr">
        <is>
          <t>DURAND M.</t>
        </is>
      </c>
    </row>
    <row r="48" ht="15" customHeight="1">
      <c r="A48" s="139" t="n">
        <v>46010</v>
      </c>
      <c r="B48" s="71" t="inlineStr">
        <is>
          <t>Ligne 1 - Assemblage</t>
        </is>
      </c>
      <c r="C48" s="140" t="n">
        <v>0.63</v>
      </c>
      <c r="D48" s="141" t="n">
        <v>6</v>
      </c>
      <c r="E48" s="141" t="n">
        <v>4</v>
      </c>
      <c r="F48" s="141" t="inlineStr">
        <is>
          <t>LEROY S.</t>
        </is>
      </c>
    </row>
    <row r="49" ht="15" customHeight="1">
      <c r="A49" s="142">
        <f>$F$5</f>
        <v/>
      </c>
      <c r="B49" s="143">
        <f>$C$5</f>
        <v/>
      </c>
      <c r="C49" s="144">
        <f>$D$40</f>
        <v/>
      </c>
      <c r="D49" s="141" t="n"/>
      <c r="E49" s="141" t="n"/>
      <c r="F49" s="141" t="n"/>
    </row>
    <row r="50" ht="15" customHeight="1">
      <c r="A50" s="139" t="n"/>
      <c r="B50" s="71" t="n"/>
      <c r="C50" s="140" t="n"/>
      <c r="D50" s="141" t="n"/>
      <c r="E50" s="141" t="n"/>
      <c r="F50" s="141" t="n"/>
    </row>
    <row r="51" ht="15" customHeight="1">
      <c r="A51" s="139" t="n"/>
      <c r="B51" s="71" t="n"/>
      <c r="C51" s="140" t="n"/>
      <c r="D51" s="141" t="n"/>
      <c r="E51" s="141" t="n"/>
      <c r="F51" s="141" t="n"/>
    </row>
    <row r="52" ht="15" customHeight="1">
      <c r="A52" s="139" t="n"/>
      <c r="B52" s="71" t="n"/>
      <c r="C52" s="140" t="n"/>
      <c r="D52" s="141" t="n"/>
      <c r="E52" s="141" t="n"/>
      <c r="F52" s="141" t="n"/>
    </row>
    <row r="53" ht="15" customHeight="1">
      <c r="A53" s="139" t="n"/>
      <c r="B53" s="71" t="n"/>
      <c r="C53" s="140" t="n"/>
      <c r="D53" s="141" t="n"/>
      <c r="E53" s="141" t="n"/>
      <c r="F53" s="141" t="n"/>
    </row>
    <row r="54" ht="15" customHeight="1">
      <c r="A54" s="139" t="n"/>
      <c r="B54" s="71" t="n"/>
      <c r="C54" s="140" t="n"/>
      <c r="D54" s="141" t="n"/>
      <c r="E54" s="141" t="n"/>
      <c r="F54" s="141" t="n"/>
    </row>
    <row r="55" ht="15" customHeight="1">
      <c r="A55" s="139" t="n"/>
      <c r="B55" s="71" t="n"/>
      <c r="C55" s="140" t="n"/>
      <c r="D55" s="141" t="n"/>
      <c r="E55" s="141" t="n"/>
      <c r="F55" s="141" t="n"/>
    </row>
    <row r="56" ht="15" customHeight="1">
      <c r="A56" s="139" t="n"/>
      <c r="B56" s="71" t="n"/>
      <c r="C56" s="140" t="n"/>
      <c r="D56" s="141" t="n"/>
      <c r="E56" s="141" t="n"/>
      <c r="F56" s="141" t="n"/>
    </row>
  </sheetData>
  <mergeCells count="11">
    <mergeCell ref="A2:L2"/>
    <mergeCell ref="C6:D6"/>
    <mergeCell ref="I5:L5"/>
    <mergeCell ref="A43:L43"/>
    <mergeCell ref="A33:L33"/>
    <mergeCell ref="A1:L1"/>
    <mergeCell ref="C5:D5"/>
    <mergeCell ref="F5:G5"/>
    <mergeCell ref="I6:L6"/>
    <mergeCell ref="F6:G6"/>
    <mergeCell ref="A4:L4"/>
  </mergeCells>
  <conditionalFormatting sqref="G35:G40">
    <cfRule type="expression" priority="1" dxfId="9">
      <formula>$G35="Conforme"</formula>
    </cfRule>
    <cfRule type="expression" priority="2" dxfId="4">
      <formula>$G35="Non conforme"</formula>
    </cfRule>
    <cfRule type="expression" priority="3" dxfId="16">
      <formula>$G35="À consolider"</formula>
    </cfRule>
  </conditionalFormatting>
  <conditionalFormatting sqref="E8:E32">
    <cfRule type="colorScale" priority="4">
      <colorScale>
        <cfvo type="num" val="0"/>
        <cfvo type="num" val="2"/>
        <cfvo type="num" val="4"/>
        <color rgb="00F5A6A6"/>
        <color rgb="00FDE9A9"/>
        <color rgb="00B7E4C0"/>
      </colorScale>
    </cfRule>
  </conditionalFormatting>
  <conditionalFormatting sqref="H8:H32">
    <cfRule type="expression" priority="5" dxfId="17">
      <formula>AND($H8&lt;&gt;"",$H8&lt;0)</formula>
    </cfRule>
  </conditionalFormatting>
  <dataValidations count="3">
    <dataValidation sqref="E8:E32 G8:G32" showDropDown="0" showInputMessage="0" showErrorMessage="1" allowBlank="1" errorTitle="Notation 5S" error="Noter de 0 à 4." type="list">
      <formula1>"0,1,2,3,4"</formula1>
    </dataValidation>
    <dataValidation sqref="D8:D32" showDropDown="0" showInputMessage="0" showErrorMessage="1" allowBlank="1" errorTitle="Pondération" error="Pondérer de 1 à 3." type="whole" operator="between">
      <formula1>1</formula1>
      <formula2>3</formula2>
    </dataValidation>
    <dataValidation sqref="K8:K32" showDropDown="0" showInputMessage="0" showErrorMessage="0" allowBlank="1" type="list">
      <formula1>LST_PILOTES</formula1>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5B4B7A"/>
    <outlinePr summaryBelow="1" summaryRight="1"/>
    <pageSetUpPr fitToPage="1"/>
  </sheetPr>
  <dimension ref="A1:J56"/>
  <sheetViews>
    <sheetView showGridLines="0" workbookViewId="0">
      <pane ySplit="7" topLeftCell="A8" activePane="bottomLeft" state="frozen"/>
      <selection pane="bottomLeft" activeCell="A1" sqref="A1"/>
    </sheetView>
  </sheetViews>
  <sheetFormatPr baseColWidth="8" defaultRowHeight="15"/>
  <cols>
    <col width="24" customWidth="1" min="1" max="1"/>
    <col width="14" customWidth="1" min="2" max="2"/>
    <col width="11" customWidth="1" min="3" max="3"/>
    <col width="58" customWidth="1" min="4" max="4"/>
    <col width="9" customWidth="1" min="5" max="5"/>
    <col width="9" customWidth="1" min="6" max="6"/>
    <col width="30" customWidth="1" min="7" max="7"/>
    <col width="30" customWidth="1" min="8" max="8"/>
    <col width="14" customWidth="1" min="9" max="9"/>
    <col width="12" customWidth="1" min="10" max="10"/>
  </cols>
  <sheetData>
    <row r="1" ht="30" customHeight="1">
      <c r="A1" s="1" t="inlineStr">
        <is>
          <t>STANDARD DE PRISE DE POSTE ET DE PASSATION</t>
        </is>
      </c>
      <c r="B1" s="2" t="n"/>
      <c r="C1" s="2" t="n"/>
      <c r="D1" s="2" t="n"/>
      <c r="E1" s="2" t="n"/>
      <c r="F1" s="2" t="n"/>
      <c r="G1" s="2" t="n"/>
      <c r="H1" s="2" t="n"/>
      <c r="I1" s="2" t="n"/>
      <c r="J1" s="2" t="n"/>
    </row>
    <row r="2" ht="18" customHeight="1">
      <c r="A2" s="3" t="inlineStr">
        <is>
          <t>Document à imprimer et à tenir à chaque changement d'équipe. Les points bloquants doivent être soldés avant le lancement de la série. Structure SQCDP : Sécurité, Qualité, Coût, Délai, Personnel.</t>
        </is>
      </c>
    </row>
    <row r="4" ht="20" customHeight="1">
      <c r="A4" s="4" t="inlineStr">
        <is>
          <t>IDENTIFICATION DU POSTE</t>
        </is>
      </c>
      <c r="B4" s="5" t="n"/>
      <c r="C4" s="5" t="n"/>
      <c r="D4" s="5" t="n"/>
      <c r="E4" s="5" t="n"/>
      <c r="F4" s="5" t="n"/>
      <c r="G4" s="5" t="n"/>
      <c r="H4" s="5" t="n"/>
      <c r="I4" s="5" t="n"/>
      <c r="J4" s="5" t="n"/>
    </row>
    <row r="5">
      <c r="A5" s="122" t="inlineStr">
        <is>
          <t>Date :</t>
        </is>
      </c>
      <c r="B5" s="124" t="n">
        <v>46052</v>
      </c>
      <c r="C5" s="122" t="inlineStr">
        <is>
          <t>Ligne / zone :</t>
        </is>
      </c>
      <c r="D5" s="123" t="inlineStr">
        <is>
          <t>Ligne 1 - Assemblage</t>
        </is>
      </c>
      <c r="E5" s="15" t="n"/>
      <c r="F5" s="122" t="inlineStr">
        <is>
          <t>Équipe sortante :</t>
        </is>
      </c>
      <c r="G5" s="123" t="inlineStr">
        <is>
          <t>Équipe A (matin)</t>
        </is>
      </c>
      <c r="H5" s="15" t="n"/>
      <c r="I5" s="122" t="inlineStr">
        <is>
          <t>Superviseur sortant :</t>
        </is>
      </c>
      <c r="J5" s="123" t="inlineStr">
        <is>
          <t>DURAND M.</t>
        </is>
      </c>
    </row>
    <row r="6">
      <c r="A6" s="122" t="inlineStr">
        <is>
          <t>Heure :</t>
        </is>
      </c>
      <c r="B6" s="145" t="n">
        <v>0.5625</v>
      </c>
      <c r="C6" s="122" t="inlineStr">
        <is>
          <t>Effectif présent / prévu :</t>
        </is>
      </c>
      <c r="D6" s="123" t="inlineStr">
        <is>
          <t>11 / 12</t>
        </is>
      </c>
      <c r="E6" s="15" t="n"/>
      <c r="F6" s="122" t="inlineStr">
        <is>
          <t>Équipe entrante :</t>
        </is>
      </c>
      <c r="G6" s="123" t="inlineStr">
        <is>
          <t>Équipe B (après-midi)</t>
        </is>
      </c>
      <c r="H6" s="15" t="n"/>
      <c r="I6" s="122" t="inlineStr">
        <is>
          <t>Superviseur entrant :</t>
        </is>
      </c>
      <c r="J6" s="123" t="inlineStr">
        <is>
          <t>MARCHAND J.</t>
        </is>
      </c>
    </row>
    <row r="7" ht="34" customHeight="1">
      <c r="A7" s="6" t="inlineStr">
        <is>
          <t>Séquence</t>
        </is>
      </c>
      <c r="B7" s="6" t="inlineStr">
        <is>
          <t>Jalon</t>
        </is>
      </c>
      <c r="C7" s="6" t="inlineStr">
        <is>
          <t>Axe
SQCDP</t>
        </is>
      </c>
      <c r="D7" s="6" t="inlineStr">
        <is>
          <t>Point de contrôle</t>
        </is>
      </c>
      <c r="E7" s="6" t="inlineStr">
        <is>
          <t>Bloquant</t>
        </is>
      </c>
      <c r="F7" s="6" t="inlineStr">
        <is>
          <t>Statut</t>
        </is>
      </c>
      <c r="G7" s="6" t="inlineStr">
        <is>
          <t>Constat / observation</t>
        </is>
      </c>
      <c r="H7" s="6" t="inlineStr">
        <is>
          <t>Action immédiate</t>
        </is>
      </c>
      <c r="I7" s="6" t="inlineStr">
        <is>
          <t>Pilote</t>
        </is>
      </c>
      <c r="J7" s="6" t="inlineStr">
        <is>
          <t>Délai</t>
        </is>
      </c>
    </row>
    <row r="8" ht="20" customHeight="1">
      <c r="A8" s="146" t="inlineStr">
        <is>
          <t>1. Avant la prise de poste</t>
        </is>
      </c>
      <c r="B8" s="147" t="inlineStr">
        <is>
          <t>T-20 min</t>
        </is>
      </c>
      <c r="C8" s="147" t="inlineStr">
        <is>
          <t>Délai</t>
        </is>
      </c>
      <c r="D8" s="29" t="inlineStr">
        <is>
          <t>Lire la passation écrite du poste précédent et le carnet de consignes</t>
        </is>
      </c>
      <c r="E8" s="147" t="inlineStr">
        <is>
          <t>Oui</t>
        </is>
      </c>
      <c r="F8" s="141" t="n"/>
      <c r="G8" s="129" t="n"/>
      <c r="H8" s="129" t="n"/>
      <c r="I8" s="129" t="n"/>
      <c r="J8" s="130" t="n"/>
    </row>
    <row r="9" ht="20" customHeight="1">
      <c r="A9" s="146" t="inlineStr">
        <is>
          <t>1. Avant la prise de poste</t>
        </is>
      </c>
      <c r="B9" s="147" t="inlineStr">
        <is>
          <t>T-20 min</t>
        </is>
      </c>
      <c r="C9" s="147" t="inlineStr">
        <is>
          <t>Délai</t>
        </is>
      </c>
      <c r="D9" s="29" t="inlineStr">
        <is>
          <t>Vérifier le programme du jour, les priorités clients et les urgences</t>
        </is>
      </c>
      <c r="E9" s="147" t="inlineStr">
        <is>
          <t>Oui</t>
        </is>
      </c>
      <c r="F9" s="141" t="n"/>
      <c r="G9" s="129" t="n"/>
      <c r="H9" s="129" t="n"/>
      <c r="I9" s="129" t="n"/>
      <c r="J9" s="130" t="n"/>
    </row>
    <row r="10" ht="20" customHeight="1">
      <c r="A10" s="146" t="inlineStr">
        <is>
          <t>1. Avant la prise de poste</t>
        </is>
      </c>
      <c r="B10" s="147" t="inlineStr">
        <is>
          <t>T-15 min</t>
        </is>
      </c>
      <c r="C10" s="147" t="inlineStr">
        <is>
          <t>Personnel</t>
        </is>
      </c>
      <c r="D10" s="29" t="inlineStr">
        <is>
          <t>Contrôler l'effectif présent et couvrir les absences (matrice de polyvalence)</t>
        </is>
      </c>
      <c r="E10" s="147" t="inlineStr">
        <is>
          <t>Oui</t>
        </is>
      </c>
      <c r="F10" s="141" t="n"/>
      <c r="G10" s="129" t="n"/>
      <c r="H10" s="129" t="n"/>
      <c r="I10" s="129" t="n"/>
      <c r="J10" s="130" t="n"/>
    </row>
    <row r="11" ht="20" customHeight="1">
      <c r="A11" s="146" t="inlineStr">
        <is>
          <t>1. Avant la prise de poste</t>
        </is>
      </c>
      <c r="B11" s="147" t="inlineStr">
        <is>
          <t>T-15 min</t>
        </is>
      </c>
      <c r="C11" s="147" t="inlineStr">
        <is>
          <t>Qualité</t>
        </is>
      </c>
      <c r="D11" s="29" t="inlineStr">
        <is>
          <t>Vérifier la disponibilité matière, outillage et moyens de contrôle</t>
        </is>
      </c>
      <c r="E11" s="147" t="inlineStr">
        <is>
          <t>Oui</t>
        </is>
      </c>
      <c r="F11" s="141" t="n"/>
      <c r="G11" s="129" t="n"/>
      <c r="H11" s="129" t="n"/>
      <c r="I11" s="129" t="n"/>
      <c r="J11" s="130" t="n"/>
    </row>
    <row r="12" ht="20" customHeight="1">
      <c r="A12" s="146" t="inlineStr">
        <is>
          <t>1. Avant la prise de poste</t>
        </is>
      </c>
      <c r="B12" s="147" t="inlineStr">
        <is>
          <t>T-10 min</t>
        </is>
      </c>
      <c r="C12" s="147" t="inlineStr">
        <is>
          <t>Délai</t>
        </is>
      </c>
      <c r="D12" s="29" t="inlineStr">
        <is>
          <t>Vérifier les interventions de maintenance planifiées sur le poste</t>
        </is>
      </c>
      <c r="E12" s="147" t="inlineStr">
        <is>
          <t>Non</t>
        </is>
      </c>
      <c r="F12" s="141" t="n"/>
      <c r="G12" s="129" t="n"/>
      <c r="H12" s="129" t="n"/>
      <c r="I12" s="129" t="n"/>
      <c r="J12" s="130" t="n"/>
    </row>
    <row r="13" ht="20" customHeight="1">
      <c r="A13" s="146" t="inlineStr">
        <is>
          <t>2. Passation croisée</t>
        </is>
      </c>
      <c r="B13" s="147" t="inlineStr">
        <is>
          <t>T-10 min</t>
        </is>
      </c>
      <c r="C13" s="147" t="inlineStr">
        <is>
          <t>Sécurité</t>
        </is>
      </c>
      <c r="D13" s="29" t="inlineStr">
        <is>
          <t>Passation orale avec le superviseur sortant (5 min, sur le terrain)</t>
        </is>
      </c>
      <c r="E13" s="147" t="inlineStr">
        <is>
          <t>Oui</t>
        </is>
      </c>
      <c r="F13" s="141" t="n"/>
      <c r="G13" s="129" t="n"/>
      <c r="H13" s="129" t="n"/>
      <c r="I13" s="129" t="n"/>
      <c r="J13" s="130" t="n"/>
    </row>
    <row r="14" ht="20" customHeight="1">
      <c r="A14" s="146" t="inlineStr">
        <is>
          <t>2. Passation croisée</t>
        </is>
      </c>
      <c r="B14" s="147" t="inlineStr">
        <is>
          <t>T-5 min</t>
        </is>
      </c>
      <c r="C14" s="147" t="inlineStr">
        <is>
          <t>Qualité</t>
        </is>
      </c>
      <c r="D14" s="29" t="inlineStr">
        <is>
          <t>Faire le point sur les aléas non résolus et les dérogations en cours</t>
        </is>
      </c>
      <c r="E14" s="147" t="inlineStr">
        <is>
          <t>Oui</t>
        </is>
      </c>
      <c r="F14" s="141" t="n"/>
      <c r="G14" s="129" t="n"/>
      <c r="H14" s="129" t="n"/>
      <c r="I14" s="129" t="n"/>
      <c r="J14" s="130" t="n"/>
    </row>
    <row r="15" ht="20" customHeight="1">
      <c r="A15" s="146" t="inlineStr">
        <is>
          <t>3. Animation 5 minutes</t>
        </is>
      </c>
      <c r="B15" s="147" t="inlineStr">
        <is>
          <t>T0</t>
        </is>
      </c>
      <c r="C15" s="147" t="inlineStr">
        <is>
          <t>Sécurité</t>
        </is>
      </c>
      <c r="D15" s="29" t="inlineStr">
        <is>
          <t>Point sécurité : accident, presqu'accident, situation dangereuse de la veille</t>
        </is>
      </c>
      <c r="E15" s="147" t="inlineStr">
        <is>
          <t>Oui</t>
        </is>
      </c>
      <c r="F15" s="141" t="n"/>
      <c r="G15" s="129" t="n"/>
      <c r="H15" s="129" t="n"/>
      <c r="I15" s="129" t="n"/>
      <c r="J15" s="130" t="n"/>
    </row>
    <row r="16" ht="20" customHeight="1">
      <c r="A16" s="146" t="inlineStr">
        <is>
          <t>3. Animation 5 minutes</t>
        </is>
      </c>
      <c r="B16" s="147" t="inlineStr">
        <is>
          <t>T0</t>
        </is>
      </c>
      <c r="C16" s="147" t="inlineStr">
        <is>
          <t>Qualité</t>
        </is>
      </c>
      <c r="D16" s="29" t="inlineStr">
        <is>
          <t>Résultat de la veille : TRS, qualité, service — écart et cause principale</t>
        </is>
      </c>
      <c r="E16" s="147" t="inlineStr">
        <is>
          <t>Oui</t>
        </is>
      </c>
      <c r="F16" s="141" t="n"/>
      <c r="G16" s="129" t="n"/>
      <c r="H16" s="129" t="n"/>
      <c r="I16" s="129" t="n"/>
      <c r="J16" s="130" t="n"/>
    </row>
    <row r="17" ht="20" customHeight="1">
      <c r="A17" s="146" t="inlineStr">
        <is>
          <t>3. Animation 5 minutes</t>
        </is>
      </c>
      <c r="B17" s="147" t="inlineStr">
        <is>
          <t>T0</t>
        </is>
      </c>
      <c r="C17" s="147" t="inlineStr">
        <is>
          <t>Délai</t>
        </is>
      </c>
      <c r="D17" s="29" t="inlineStr">
        <is>
          <t>Objectif du jour chiffré et affectation nominative aux postes</t>
        </is>
      </c>
      <c r="E17" s="147" t="inlineStr">
        <is>
          <t>Oui</t>
        </is>
      </c>
      <c r="F17" s="141" t="n"/>
      <c r="G17" s="129" t="n"/>
      <c r="H17" s="129" t="n"/>
      <c r="I17" s="129" t="n"/>
      <c r="J17" s="130" t="n"/>
    </row>
    <row r="18" ht="20" customHeight="1">
      <c r="A18" s="146" t="inlineStr">
        <is>
          <t>3. Animation 5 minutes</t>
        </is>
      </c>
      <c r="B18" s="147" t="inlineStr">
        <is>
          <t>T0</t>
        </is>
      </c>
      <c r="C18" s="147" t="inlineStr">
        <is>
          <t>Personnel</t>
        </is>
      </c>
      <c r="D18" s="29" t="inlineStr">
        <is>
          <t>Annoncer les aléas connus et les besoins d'entraide</t>
        </is>
      </c>
      <c r="E18" s="147" t="inlineStr">
        <is>
          <t>Non</t>
        </is>
      </c>
      <c r="F18" s="141" t="n"/>
      <c r="G18" s="129" t="n"/>
      <c r="H18" s="129" t="n"/>
      <c r="I18" s="129" t="n"/>
      <c r="J18" s="130" t="n"/>
    </row>
    <row r="19" ht="20" customHeight="1">
      <c r="A19" s="146" t="inlineStr">
        <is>
          <t>4. Démarrage</t>
        </is>
      </c>
      <c r="B19" s="147" t="inlineStr">
        <is>
          <t>T+10 min</t>
        </is>
      </c>
      <c r="C19" s="147" t="inlineStr">
        <is>
          <t>Sécurité</t>
        </is>
      </c>
      <c r="D19" s="29" t="inlineStr">
        <is>
          <t>Contrôler le port des EPI et l'état des protections machines</t>
        </is>
      </c>
      <c r="E19" s="147" t="inlineStr">
        <is>
          <t>Oui</t>
        </is>
      </c>
      <c r="F19" s="141" t="n"/>
      <c r="G19" s="129" t="n"/>
      <c r="H19" s="129" t="n"/>
      <c r="I19" s="129" t="n"/>
      <c r="J19" s="130" t="n"/>
    </row>
    <row r="20" ht="20" customHeight="1">
      <c r="A20" s="146" t="inlineStr">
        <is>
          <t>4. Démarrage</t>
        </is>
      </c>
      <c r="B20" s="147" t="inlineStr">
        <is>
          <t>T+10 min</t>
        </is>
      </c>
      <c r="C20" s="147" t="inlineStr">
        <is>
          <t>Sécurité</t>
        </is>
      </c>
      <c r="D20" s="29" t="inlineStr">
        <is>
          <t>Vérifier les consignations (LOTO) levées et tracées</t>
        </is>
      </c>
      <c r="E20" s="147" t="inlineStr">
        <is>
          <t>Oui</t>
        </is>
      </c>
      <c r="F20" s="141" t="n"/>
      <c r="G20" s="129" t="n"/>
      <c r="H20" s="129" t="n"/>
      <c r="I20" s="129" t="n"/>
      <c r="J20" s="130" t="n"/>
    </row>
    <row r="21" ht="20" customHeight="1">
      <c r="A21" s="146" t="inlineStr">
        <is>
          <t>4. Démarrage</t>
        </is>
      </c>
      <c r="B21" s="147" t="inlineStr">
        <is>
          <t>T+15 min</t>
        </is>
      </c>
      <c r="C21" s="147" t="inlineStr">
        <is>
          <t>Qualité</t>
        </is>
      </c>
      <c r="D21" s="29" t="inlineStr">
        <is>
          <t>Valider la première pièce conforme avant lancement de série</t>
        </is>
      </c>
      <c r="E21" s="147" t="inlineStr">
        <is>
          <t>Oui</t>
        </is>
      </c>
      <c r="F21" s="141" t="n"/>
      <c r="G21" s="129" t="n"/>
      <c r="H21" s="129" t="n"/>
      <c r="I21" s="129" t="n"/>
      <c r="J21" s="130" t="n"/>
    </row>
    <row r="22" ht="20" customHeight="1">
      <c r="A22" s="146" t="inlineStr">
        <is>
          <t>4. Démarrage</t>
        </is>
      </c>
      <c r="B22" s="147" t="inlineStr">
        <is>
          <t>T+20 min</t>
        </is>
      </c>
      <c r="C22" s="147" t="inlineStr">
        <is>
          <t>Coût</t>
        </is>
      </c>
      <c r="D22" s="29" t="inlineStr">
        <is>
          <t>Confirmer les réglages et la cadence nominale du produit lancé</t>
        </is>
      </c>
      <c r="E22" s="147" t="inlineStr">
        <is>
          <t>Non</t>
        </is>
      </c>
      <c r="F22" s="141" t="n"/>
      <c r="G22" s="129" t="n"/>
      <c r="H22" s="129" t="n"/>
      <c r="I22" s="129" t="n"/>
      <c r="J22" s="130" t="n"/>
    </row>
    <row r="23" ht="20" customHeight="1">
      <c r="A23" s="146" t="inlineStr">
        <is>
          <t>5. Pendant le poste</t>
        </is>
      </c>
      <c r="B23" s="147" t="inlineStr">
        <is>
          <t>Toutes les 2 h</t>
        </is>
      </c>
      <c r="C23" s="147" t="inlineStr">
        <is>
          <t>Qualité</t>
        </is>
      </c>
      <c r="D23" s="29" t="inlineStr">
        <is>
          <t>Tour de terrain : 1 poste observé, 3 questions ouvertes aux opérateurs</t>
        </is>
      </c>
      <c r="E23" s="147" t="inlineStr">
        <is>
          <t>Non</t>
        </is>
      </c>
      <c r="F23" s="141" t="n"/>
      <c r="G23" s="129" t="n"/>
      <c r="H23" s="129" t="n"/>
      <c r="I23" s="129" t="n"/>
      <c r="J23" s="130" t="n"/>
    </row>
    <row r="24" ht="20" customHeight="1">
      <c r="A24" s="146" t="inlineStr">
        <is>
          <t>5. Pendant le poste</t>
        </is>
      </c>
      <c r="B24" s="147" t="inlineStr">
        <is>
          <t>Continu</t>
        </is>
      </c>
      <c r="C24" s="147" t="inlineStr">
        <is>
          <t>Délai</t>
        </is>
      </c>
      <c r="D24" s="29" t="inlineStr">
        <is>
          <t>Être présent sur tout arrêt de plus de 15 min et déclencher l'escalade</t>
        </is>
      </c>
      <c r="E24" s="147" t="inlineStr">
        <is>
          <t>Oui</t>
        </is>
      </c>
      <c r="F24" s="141" t="n"/>
      <c r="G24" s="129" t="n"/>
      <c r="H24" s="129" t="n"/>
      <c r="I24" s="129" t="n"/>
      <c r="J24" s="130" t="n"/>
    </row>
    <row r="25" ht="20" customHeight="1">
      <c r="A25" s="146" t="inlineStr">
        <is>
          <t>5. Pendant le poste</t>
        </is>
      </c>
      <c r="B25" s="147" t="inlineStr">
        <is>
          <t>Toutes les heures</t>
        </is>
      </c>
      <c r="C25" s="147" t="inlineStr">
        <is>
          <t>Délai</t>
        </is>
      </c>
      <c r="D25" s="29" t="inlineStr">
        <is>
          <t>Mettre à jour le suivi heure par heure (réalisé / objectif / écart)</t>
        </is>
      </c>
      <c r="E25" s="147" t="inlineStr">
        <is>
          <t>Oui</t>
        </is>
      </c>
      <c r="F25" s="141" t="n"/>
      <c r="G25" s="129" t="n"/>
      <c r="H25" s="129" t="n"/>
      <c r="I25" s="129" t="n"/>
      <c r="J25" s="130" t="n"/>
    </row>
    <row r="26" ht="20" customHeight="1">
      <c r="A26" s="146" t="inlineStr">
        <is>
          <t>5. Pendant le poste</t>
        </is>
      </c>
      <c r="B26" s="147" t="inlineStr">
        <is>
          <t>Continu</t>
        </is>
      </c>
      <c r="C26" s="147" t="inlineStr">
        <is>
          <t>Sécurité</t>
        </is>
      </c>
      <c r="D26" s="29" t="inlineStr">
        <is>
          <t>Escalader immédiatement tout écart sécurité ou qualité client</t>
        </is>
      </c>
      <c r="E26" s="147" t="inlineStr">
        <is>
          <t>Oui</t>
        </is>
      </c>
      <c r="F26" s="141" t="n"/>
      <c r="G26" s="129" t="n"/>
      <c r="H26" s="129" t="n"/>
      <c r="I26" s="129" t="n"/>
      <c r="J26" s="130" t="n"/>
    </row>
    <row r="27" ht="20" customHeight="1">
      <c r="A27" s="146" t="inlineStr">
        <is>
          <t>5. Pendant le poste</t>
        </is>
      </c>
      <c r="B27" s="147" t="inlineStr">
        <is>
          <t>Continu</t>
        </is>
      </c>
      <c r="C27" s="147" t="inlineStr">
        <is>
          <t>Coût</t>
        </is>
      </c>
      <c r="D27" s="29" t="inlineStr">
        <is>
          <t>Enregistrer chaque arrêt dans l'onglet ARRÊTS (heure, durée, code cause)</t>
        </is>
      </c>
      <c r="E27" s="147" t="inlineStr">
        <is>
          <t>Oui</t>
        </is>
      </c>
      <c r="F27" s="141" t="n"/>
      <c r="G27" s="129" t="n"/>
      <c r="H27" s="129" t="n"/>
      <c r="I27" s="129" t="n"/>
      <c r="J27" s="130" t="n"/>
    </row>
    <row r="28" ht="20" customHeight="1">
      <c r="A28" s="146" t="inlineStr">
        <is>
          <t>6. Fin de poste</t>
        </is>
      </c>
      <c r="B28" s="147" t="inlineStr">
        <is>
          <t>T-30 min</t>
        </is>
      </c>
      <c r="C28" s="147" t="inlineStr">
        <is>
          <t>Coût</t>
        </is>
      </c>
      <c r="D28" s="29" t="inlineStr">
        <is>
          <t>Saisir la ligne du jour dans l'onglet SAISIE_PROD et contrôler la cohérence</t>
        </is>
      </c>
      <c r="E28" s="147" t="inlineStr">
        <is>
          <t>Oui</t>
        </is>
      </c>
      <c r="F28" s="141" t="n"/>
      <c r="G28" s="129" t="n"/>
      <c r="H28" s="129" t="n"/>
      <c r="I28" s="129" t="n"/>
      <c r="J28" s="130" t="n"/>
    </row>
    <row r="29" ht="20" customHeight="1">
      <c r="A29" s="146" t="inlineStr">
        <is>
          <t>6. Fin de poste</t>
        </is>
      </c>
      <c r="B29" s="147" t="inlineStr">
        <is>
          <t>T-25 min</t>
        </is>
      </c>
      <c r="C29" s="147" t="inlineStr">
        <is>
          <t>Qualité</t>
        </is>
      </c>
      <c r="D29" s="29" t="inlineStr">
        <is>
          <t>Déclarer le problème principal dans le PLAN_ACTIONS (cause racine amorcée)</t>
        </is>
      </c>
      <c r="E29" s="147" t="inlineStr">
        <is>
          <t>Oui</t>
        </is>
      </c>
      <c r="F29" s="141" t="n"/>
      <c r="G29" s="129" t="n"/>
      <c r="H29" s="129" t="n"/>
      <c r="I29" s="129" t="n"/>
      <c r="J29" s="130" t="n"/>
    </row>
    <row r="30" ht="20" customHeight="1">
      <c r="A30" s="146" t="inlineStr">
        <is>
          <t>6. Fin de poste</t>
        </is>
      </c>
      <c r="B30" s="147" t="inlineStr">
        <is>
          <t>T-20 min</t>
        </is>
      </c>
      <c r="C30" s="147" t="inlineStr">
        <is>
          <t>Sécurité</t>
        </is>
      </c>
      <c r="D30" s="29" t="inlineStr">
        <is>
          <t>Contrôler le rangement, le 5S et l'état de propreté des postes</t>
        </is>
      </c>
      <c r="E30" s="147" t="inlineStr">
        <is>
          <t>Oui</t>
        </is>
      </c>
      <c r="F30" s="141" t="n"/>
      <c r="G30" s="129" t="n"/>
      <c r="H30" s="129" t="n"/>
      <c r="I30" s="129" t="n"/>
      <c r="J30" s="130" t="n"/>
    </row>
    <row r="31" ht="20" customHeight="1">
      <c r="A31" s="146" t="inlineStr">
        <is>
          <t>6. Fin de poste</t>
        </is>
      </c>
      <c r="B31" s="147" t="inlineStr">
        <is>
          <t>T-15 min</t>
        </is>
      </c>
      <c r="C31" s="147" t="inlineStr">
        <is>
          <t>Personnel</t>
        </is>
      </c>
      <c r="D31" s="29" t="inlineStr">
        <is>
          <t>Valider les heures, les absences et les besoins de remplacement</t>
        </is>
      </c>
      <c r="E31" s="147" t="inlineStr">
        <is>
          <t>Non</t>
        </is>
      </c>
      <c r="F31" s="141" t="n"/>
      <c r="G31" s="129" t="n"/>
      <c r="H31" s="129" t="n"/>
      <c r="I31" s="129" t="n"/>
      <c r="J31" s="130" t="n"/>
    </row>
    <row r="32" ht="20" customHeight="1">
      <c r="A32" s="146" t="inlineStr">
        <is>
          <t>6. Fin de poste</t>
        </is>
      </c>
      <c r="B32" s="147" t="inlineStr">
        <is>
          <t>T-10 min</t>
        </is>
      </c>
      <c r="C32" s="147" t="inlineStr">
        <is>
          <t>Délai</t>
        </is>
      </c>
      <c r="D32" s="29" t="inlineStr">
        <is>
          <t>Rédiger la passation écrite ci-dessous et la faire viser</t>
        </is>
      </c>
      <c r="E32" s="147" t="inlineStr">
        <is>
          <t>Oui</t>
        </is>
      </c>
      <c r="F32" s="141" t="n"/>
      <c r="G32" s="129" t="n"/>
      <c r="H32" s="129" t="n"/>
      <c r="I32" s="129" t="n"/>
      <c r="J32" s="130" t="n"/>
    </row>
    <row r="33" ht="20" customHeight="1">
      <c r="A33" s="4" t="inlineStr">
        <is>
          <t>BILAN DE LA PRISE DE POSTE</t>
        </is>
      </c>
      <c r="B33" s="5" t="n"/>
      <c r="C33" s="5" t="n"/>
      <c r="D33" s="5" t="n"/>
      <c r="E33" s="5" t="n"/>
      <c r="F33" s="5" t="n"/>
      <c r="G33" s="5" t="n"/>
      <c r="H33" s="5" t="n"/>
      <c r="I33" s="5" t="n"/>
      <c r="J33" s="5" t="n"/>
    </row>
    <row r="34" ht="19" customHeight="1">
      <c r="A34" s="148" t="inlineStr">
        <is>
          <t>Taux de conformité du standard</t>
        </is>
      </c>
      <c r="B34" s="114" t="n"/>
      <c r="C34" s="114" t="n"/>
      <c r="D34" s="114" t="n"/>
      <c r="E34" s="149">
        <f>IFERROR(COUNTIF($F$8:$F$32,"OK")/(COUNTIF($F$8:$F$32,"OK")+COUNTIF($F$8:$F$32,"NOK")),"")</f>
        <v/>
      </c>
      <c r="F34" s="19" t="n"/>
      <c r="G34" s="19" t="n"/>
      <c r="H34" s="19" t="n"/>
      <c r="I34" s="19" t="n"/>
      <c r="J34" s="19" t="n"/>
    </row>
    <row r="35" ht="19" customHeight="1">
      <c r="A35" s="148" t="inlineStr">
        <is>
          <t>Points de contrôle non conformes</t>
        </is>
      </c>
      <c r="B35" s="114" t="n"/>
      <c r="C35" s="114" t="n"/>
      <c r="D35" s="114" t="n"/>
      <c r="E35" s="150">
        <f>COUNTIF($F$8:$F$32,"NOK")</f>
        <v/>
      </c>
      <c r="F35" s="19" t="n"/>
      <c r="G35" s="19" t="n"/>
      <c r="H35" s="19" t="n"/>
      <c r="I35" s="19" t="n"/>
      <c r="J35" s="19" t="n"/>
    </row>
    <row r="36" ht="19" customHeight="1">
      <c r="A36" s="148" t="inlineStr">
        <is>
          <t>Dont points bloquants non soldés</t>
        </is>
      </c>
      <c r="B36" s="114" t="n"/>
      <c r="C36" s="114" t="n"/>
      <c r="D36" s="114" t="n"/>
      <c r="E36" s="150">
        <f>COUNTIFS($E$8:$E$32,"Oui",$F$8:$F$32,"NOK")</f>
        <v/>
      </c>
      <c r="F36" s="19" t="n"/>
      <c r="G36" s="19" t="n"/>
      <c r="H36" s="19" t="n"/>
      <c r="I36" s="19" t="n"/>
      <c r="J36" s="19" t="n"/>
    </row>
    <row r="37" ht="19" customHeight="1">
      <c r="A37" s="148" t="inlineStr">
        <is>
          <t>Décision de lancement</t>
        </is>
      </c>
      <c r="B37" s="114" t="n"/>
      <c r="C37" s="114" t="n"/>
      <c r="D37" s="114" t="n"/>
      <c r="E37" s="151">
        <f>IF(COUNTIF($F$8:$F$32,"OK")+COUNTIF($F$8:$F$32,"NOK")+COUNTIF($F$8:$F$32,"S.O.")=0,"Contrôles non réalisés",IF(COUNTIFS($E$8:$E$32,"Oui",$F$8:$F$32,"NOK")&gt;0,"LANCEMENT INTERDIT — solder les points bloquants","Lancement autorisé"))</f>
        <v/>
      </c>
      <c r="F37" s="19" t="n"/>
      <c r="G37" s="19" t="n"/>
      <c r="H37" s="19" t="n"/>
      <c r="I37" s="19" t="n"/>
      <c r="J37" s="19" t="n"/>
    </row>
    <row r="40" ht="20" customHeight="1">
      <c r="A40" s="4" t="inlineStr">
        <is>
          <t>PASSATION ÉCRITE À L'ÉQUIPE SUIVANTE</t>
        </is>
      </c>
      <c r="B40" s="5" t="n"/>
      <c r="C40" s="5" t="n"/>
      <c r="D40" s="5" t="n"/>
      <c r="E40" s="5" t="n"/>
      <c r="F40" s="5" t="n"/>
      <c r="G40" s="5" t="n"/>
      <c r="H40" s="5" t="n"/>
      <c r="I40" s="5" t="n"/>
      <c r="J40" s="5" t="n"/>
    </row>
    <row r="41" ht="30" customHeight="1">
      <c r="A41" s="152" t="inlineStr">
        <is>
          <t>En-cours, état des lignes et avancement des OF</t>
        </is>
      </c>
      <c r="B41" s="114" t="n"/>
      <c r="C41" s="114" t="n"/>
      <c r="D41" s="129" t="n"/>
      <c r="E41" s="15" t="n"/>
      <c r="F41" s="15" t="n"/>
      <c r="G41" s="15" t="n"/>
      <c r="H41" s="15" t="n"/>
      <c r="I41" s="15" t="n"/>
      <c r="J41" s="15" t="n"/>
    </row>
    <row r="42" ht="30" customHeight="1">
      <c r="A42" s="152" t="inlineStr">
        <is>
          <t>Aléas non résolus et actions engagées</t>
        </is>
      </c>
      <c r="B42" s="114" t="n"/>
      <c r="C42" s="114" t="n"/>
      <c r="D42" s="129" t="n"/>
      <c r="E42" s="15" t="n"/>
      <c r="F42" s="15" t="n"/>
      <c r="G42" s="15" t="n"/>
      <c r="H42" s="15" t="n"/>
      <c r="I42" s="15" t="n"/>
      <c r="J42" s="15" t="n"/>
    </row>
    <row r="43" ht="30" customHeight="1">
      <c r="A43" s="152" t="inlineStr">
        <is>
          <t>Consignes particulières (client, qualité, sécurité, dérogation)</t>
        </is>
      </c>
      <c r="B43" s="114" t="n"/>
      <c r="C43" s="114" t="n"/>
      <c r="D43" s="129" t="n"/>
      <c r="E43" s="15" t="n"/>
      <c r="F43" s="15" t="n"/>
      <c r="G43" s="15" t="n"/>
      <c r="H43" s="15" t="n"/>
      <c r="I43" s="15" t="n"/>
      <c r="J43" s="15" t="n"/>
    </row>
    <row r="44" ht="30" customHeight="1">
      <c r="A44" s="152" t="inlineStr">
        <is>
          <t>Points de vigilance pour le poste suivant</t>
        </is>
      </c>
      <c r="B44" s="114" t="n"/>
      <c r="C44" s="114" t="n"/>
      <c r="D44" s="129" t="n"/>
      <c r="E44" s="15" t="n"/>
      <c r="F44" s="15" t="n"/>
      <c r="G44" s="15" t="n"/>
      <c r="H44" s="15" t="n"/>
      <c r="I44" s="15" t="n"/>
      <c r="J44" s="15" t="n"/>
    </row>
    <row r="45" ht="30" customHeight="1">
      <c r="A45" s="152" t="inlineStr">
        <is>
          <t>Interventions de maintenance en cours ou attendues</t>
        </is>
      </c>
      <c r="B45" s="114" t="n"/>
      <c r="C45" s="114" t="n"/>
      <c r="D45" s="129" t="n"/>
      <c r="E45" s="15" t="n"/>
      <c r="F45" s="15" t="n"/>
      <c r="G45" s="15" t="n"/>
      <c r="H45" s="15" t="n"/>
      <c r="I45" s="15" t="n"/>
      <c r="J45" s="15" t="n"/>
    </row>
    <row r="48" ht="20" customHeight="1">
      <c r="A48" s="4" t="inlineStr">
        <is>
          <t>MATRICE D'ESCALADE  —  qui alerter, dans quel délai</t>
        </is>
      </c>
      <c r="B48" s="5" t="n"/>
      <c r="C48" s="5" t="n"/>
      <c r="D48" s="5" t="n"/>
      <c r="E48" s="5" t="n"/>
      <c r="F48" s="5" t="n"/>
      <c r="G48" s="5" t="n"/>
      <c r="H48" s="5" t="n"/>
      <c r="I48" s="5" t="n"/>
      <c r="J48" s="5" t="n"/>
    </row>
    <row r="49" ht="28" customHeight="1">
      <c r="A49" s="6" t="inlineStr">
        <is>
          <t>Niveau</t>
        </is>
      </c>
      <c r="B49" s="6" t="inlineStr">
        <is>
          <t>Situation déclenchante</t>
        </is>
      </c>
      <c r="C49" s="6" t="inlineStr">
        <is>
          <t>Délai de réaction</t>
        </is>
      </c>
      <c r="D49" s="6" t="inlineStr">
        <is>
          <t>Interlocuteur</t>
        </is>
      </c>
      <c r="E49" s="6" t="inlineStr">
        <is>
          <t>Moyen d'alerte</t>
        </is>
      </c>
      <c r="F49" s="6" t="inlineStr">
        <is>
          <t>Trace obligatoire</t>
        </is>
      </c>
      <c r="G49" s="7" t="n"/>
      <c r="H49" s="7" t="n"/>
      <c r="I49" s="7" t="n"/>
      <c r="J49" s="8" t="n"/>
    </row>
    <row r="50" ht="26" customHeight="1">
      <c r="A50" s="153" t="inlineStr">
        <is>
          <t>Niveau 1</t>
        </is>
      </c>
      <c r="B50" s="29" t="inlineStr">
        <is>
          <t>Arrêt ou écart traité par l'équipe au poste</t>
        </is>
      </c>
      <c r="C50" s="29" t="inlineStr">
        <is>
          <t>Immédiat</t>
        </is>
      </c>
      <c r="D50" s="29" t="inlineStr">
        <is>
          <t>Opérateur et chef d'équipe</t>
        </is>
      </c>
      <c r="E50" s="29" t="inlineStr">
        <is>
          <t>Face à face au poste</t>
        </is>
      </c>
      <c r="F50" s="29" t="inlineStr">
        <is>
          <t>Onglet ARRÊTS</t>
        </is>
      </c>
      <c r="G50" s="7" t="n"/>
      <c r="H50" s="7" t="n"/>
      <c r="I50" s="7" t="n"/>
      <c r="J50" s="8" t="n"/>
    </row>
    <row r="51" ht="26" customHeight="1">
      <c r="A51" s="153" t="inlineStr">
        <is>
          <t>Niveau 2</t>
        </is>
      </c>
      <c r="B51" s="29" t="inlineStr">
        <is>
          <t>Arrêt supérieur à 15 min ou écart qualité interne</t>
        </is>
      </c>
      <c r="C51" s="29" t="inlineStr">
        <is>
          <t>Sous 15 min</t>
        </is>
      </c>
      <c r="D51" s="29" t="inlineStr">
        <is>
          <t>Superviseur de production</t>
        </is>
      </c>
      <c r="E51" s="29" t="inlineStr">
        <is>
          <t>Appel radio / téléphone</t>
        </is>
      </c>
      <c r="F51" s="29" t="inlineStr">
        <is>
          <t>Onglet ARRÊTS + PLAN_ACTIONS</t>
        </is>
      </c>
      <c r="G51" s="7" t="n"/>
      <c r="H51" s="7" t="n"/>
      <c r="I51" s="7" t="n"/>
      <c r="J51" s="8" t="n"/>
    </row>
    <row r="52" ht="26" customHeight="1">
      <c r="A52" s="153" t="inlineStr">
        <is>
          <t>Niveau 3</t>
        </is>
      </c>
      <c r="B52" s="29" t="inlineStr">
        <is>
          <t>Arrêt supérieur à 60 min, non-conformité client, risque de rupture</t>
        </is>
      </c>
      <c r="C52" s="29" t="inlineStr">
        <is>
          <t>Sous 30 min</t>
        </is>
      </c>
      <c r="D52" s="29" t="inlineStr">
        <is>
          <t>Responsable de production et qualité</t>
        </is>
      </c>
      <c r="E52" s="29" t="inlineStr">
        <is>
          <t>Appel + message écrit</t>
        </is>
      </c>
      <c r="F52" s="29" t="inlineStr">
        <is>
          <t>PLAN_ACTIONS (criticité ≥ 30)</t>
        </is>
      </c>
      <c r="G52" s="7" t="n"/>
      <c r="H52" s="7" t="n"/>
      <c r="I52" s="7" t="n"/>
      <c r="J52" s="8" t="n"/>
    </row>
    <row r="53" ht="26" customHeight="1">
      <c r="A53" s="153" t="inlineStr">
        <is>
          <t>Niveau 4</t>
        </is>
      </c>
      <c r="B53" s="29" t="inlineStr">
        <is>
          <t>Accident avec arrêt, arrêt de ligne supérieur à 4 h, arrêt client</t>
        </is>
      </c>
      <c r="C53" s="29" t="inlineStr">
        <is>
          <t>Immédiat</t>
        </is>
      </c>
      <c r="D53" s="29" t="inlineStr">
        <is>
          <t>Direction de site et HSE</t>
        </is>
      </c>
      <c r="E53" s="29" t="inlineStr">
        <is>
          <t>Appel direct</t>
        </is>
      </c>
      <c r="F53" s="29" t="inlineStr">
        <is>
          <t>Analyse d'accident / 8D</t>
        </is>
      </c>
      <c r="G53" s="7" t="n"/>
      <c r="H53" s="7" t="n"/>
      <c r="I53" s="7" t="n"/>
      <c r="J53" s="8" t="n"/>
    </row>
    <row r="55" ht="20" customHeight="1">
      <c r="A55" s="4" t="inlineStr">
        <is>
          <t>VISA DE PASSATION</t>
        </is>
      </c>
      <c r="B55" s="5" t="n"/>
      <c r="C55" s="5" t="n"/>
      <c r="D55" s="5" t="n"/>
      <c r="E55" s="5" t="n"/>
      <c r="F55" s="5" t="n"/>
      <c r="G55" s="5" t="n"/>
      <c r="H55" s="5" t="n"/>
      <c r="I55" s="5" t="n"/>
      <c r="J55" s="5" t="n"/>
    </row>
    <row r="56" ht="30" customHeight="1">
      <c r="A56" s="113" t="inlineStr">
        <is>
          <t>Superviseur sortant (nom et visa)</t>
        </is>
      </c>
      <c r="B56" s="114" t="n"/>
      <c r="C56" s="15" t="n"/>
      <c r="D56" s="15" t="n"/>
      <c r="E56" s="15" t="n"/>
      <c r="F56" s="113" t="inlineStr">
        <is>
          <t>Superviseur entrant (nom et visa)</t>
        </is>
      </c>
      <c r="G56" s="114" t="n"/>
      <c r="H56" s="15" t="n"/>
      <c r="I56" s="15" t="n"/>
      <c r="J56" s="15" t="n"/>
    </row>
  </sheetData>
  <mergeCells count="38">
    <mergeCell ref="F53:J53"/>
    <mergeCell ref="A41:C41"/>
    <mergeCell ref="A35:D35"/>
    <mergeCell ref="A4:J4"/>
    <mergeCell ref="C56:E56"/>
    <mergeCell ref="E34:J34"/>
    <mergeCell ref="D42:J42"/>
    <mergeCell ref="D6:E6"/>
    <mergeCell ref="A42:C42"/>
    <mergeCell ref="A34:D34"/>
    <mergeCell ref="E36:J36"/>
    <mergeCell ref="A40:J40"/>
    <mergeCell ref="D44:J44"/>
    <mergeCell ref="F51:J51"/>
    <mergeCell ref="A48:J48"/>
    <mergeCell ref="G6:H6"/>
    <mergeCell ref="A56:B56"/>
    <mergeCell ref="A43:C43"/>
    <mergeCell ref="F50:J50"/>
    <mergeCell ref="A36:D36"/>
    <mergeCell ref="A1:J1"/>
    <mergeCell ref="A44:C44"/>
    <mergeCell ref="D45:J45"/>
    <mergeCell ref="E37:J37"/>
    <mergeCell ref="G5:H5"/>
    <mergeCell ref="F56:G56"/>
    <mergeCell ref="F52:J52"/>
    <mergeCell ref="A37:D37"/>
    <mergeCell ref="D41:J41"/>
    <mergeCell ref="A45:C45"/>
    <mergeCell ref="A2:J2"/>
    <mergeCell ref="D5:E5"/>
    <mergeCell ref="A55:J55"/>
    <mergeCell ref="F49:J49"/>
    <mergeCell ref="E35:J35"/>
    <mergeCell ref="H56:J56"/>
    <mergeCell ref="D43:J43"/>
    <mergeCell ref="A33:J33"/>
  </mergeCells>
  <conditionalFormatting sqref="E37:J37">
    <cfRule type="expression" priority="1" dxfId="18">
      <formula>LEFT($E37,9)="LANCEMENT"</formula>
    </cfRule>
    <cfRule type="expression" priority="2" dxfId="19">
      <formula>$E37="Lancement autorisé"</formula>
    </cfRule>
    <cfRule type="expression" priority="3" dxfId="20">
      <formula>$E37="Contrôles non réalisés"</formula>
    </cfRule>
  </conditionalFormatting>
  <conditionalFormatting sqref="A8:J32">
    <cfRule type="expression" priority="4" dxfId="4">
      <formula>AND($F8="NOK",$E8="Oui")</formula>
    </cfRule>
  </conditionalFormatting>
  <conditionalFormatting sqref="F8:F32">
    <cfRule type="expression" priority="5" dxfId="9">
      <formula>$F8="OK"</formula>
    </cfRule>
    <cfRule type="expression" priority="6" dxfId="4">
      <formula>$F8="NOK"</formula>
    </cfRule>
  </conditionalFormatting>
  <conditionalFormatting sqref="E8:E32">
    <cfRule type="expression" priority="7" dxfId="17">
      <formula>$E8="Oui"</formula>
    </cfRule>
  </conditionalFormatting>
  <dataValidations count="2">
    <dataValidation sqref="F8:F32" showDropDown="0" showInputMessage="0" showErrorMessage="1" allowBlank="1" errorTitle="Statut" error="Choisir OK, NOK ou S.O." type="list">
      <formula1>LST_CONTROLE</formula1>
    </dataValidation>
    <dataValidation sqref="I8:I32" showDropDown="0" showInputMessage="0" showErrorMessage="0" allowBlank="1" type="list">
      <formula1>LST_PILOTES</formula1>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worksheet>
</file>

<file path=xl/worksheets/sheet9.xml><?xml version="1.0" encoding="utf-8"?>
<worksheet xmlns="http://schemas.openxmlformats.org/spreadsheetml/2006/main">
  <sheetPr>
    <tabColor rgb="007F8C9A"/>
    <outlinePr summaryBelow="1" summaryRight="1"/>
    <pageSetUpPr fitToPage="1"/>
  </sheetPr>
  <dimension ref="A1:AM46"/>
  <sheetViews>
    <sheetView showGridLines="0" workbookViewId="0">
      <pane ySplit="6" topLeftCell="A7" activePane="bottomLeft" state="frozen"/>
      <selection pane="bottomLeft" activeCell="A1" sqref="A1"/>
    </sheetView>
  </sheetViews>
  <sheetFormatPr baseColWidth="8" defaultRowHeight="15"/>
  <cols>
    <col width="22" customWidth="1" min="1" max="1"/>
    <col width="24" customWidth="1" min="2" max="2"/>
    <col width="12" customWidth="1" min="3" max="3"/>
    <col width="12" customWidth="1" min="4" max="4"/>
    <col width="13" customWidth="1" min="5" max="5"/>
    <col width="8" customWidth="1" min="6" max="6"/>
    <col width="46" customWidth="1" min="7" max="7"/>
    <col width="26" customWidth="1" min="9" max="9"/>
    <col width="22" customWidth="1" min="10" max="10"/>
    <col width="20" customWidth="1" min="11" max="11"/>
    <col width="2.5" customWidth="1" min="12" max="12"/>
    <col width="12" customWidth="1" min="13" max="13"/>
    <col width="26" customWidth="1" min="14" max="14"/>
    <col width="12" customWidth="1" min="15" max="15"/>
    <col width="11" customWidth="1" min="16" max="16"/>
    <col width="2.5" customWidth="1" min="17" max="17"/>
    <col width="10" customWidth="1" min="18" max="18"/>
    <col width="36" customWidth="1" min="19" max="19"/>
    <col width="14" customWidth="1" min="20" max="20"/>
    <col width="11" customWidth="1" min="21" max="21"/>
    <col width="24" customWidth="1" min="22" max="22"/>
    <col width="2.5" customWidth="1" min="23" max="23"/>
    <col width="24" customWidth="1" min="24" max="24"/>
    <col width="10" customWidth="1" min="25" max="25"/>
    <col width="12" customWidth="1" min="26" max="26"/>
    <col width="2.5" customWidth="1" min="27" max="27"/>
    <col width="19"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s>
  <sheetData>
    <row r="1" ht="30" customHeight="1">
      <c r="A1" s="1" t="inlineStr">
        <is>
          <t>PARAMÈTRES ET RÉFÉRENTIELS DU SITE</t>
        </is>
      </c>
      <c r="B1" s="2" t="n"/>
      <c r="C1" s="2" t="n"/>
      <c r="D1" s="2" t="n"/>
      <c r="E1" s="2" t="n"/>
      <c r="F1" s="2" t="n"/>
      <c r="G1" s="2" t="n"/>
    </row>
    <row r="2" ht="18" customHeight="1">
      <c r="A2" s="3" t="inlineStr">
        <is>
          <t>Source unique de vérité du classeur : objectifs, listes de choix et données de référence. Toute modification se répercute automatiquement sur les onglets de saisie et le cockpit.</t>
        </is>
      </c>
    </row>
    <row r="4" ht="20" customHeight="1">
      <c r="A4" s="4" t="inlineStr">
        <is>
          <t>1.  IDENTIFICATION DE L'ENTITÉ PILOTÉE</t>
        </is>
      </c>
      <c r="B4" s="5" t="n"/>
      <c r="C4" s="5" t="n"/>
      <c r="D4" s="5" t="n"/>
      <c r="E4" s="5" t="n"/>
      <c r="F4" s="5" t="n"/>
      <c r="G4" s="5" t="n"/>
      <c r="I4" s="4" t="inlineStr">
        <is>
          <t>3.  RÉFÉRENTIELS DE SAISIE  —  alimentent les listes déroulantes de tous les onglets</t>
        </is>
      </c>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row>
    <row r="5" ht="17" customHeight="1">
      <c r="A5" s="154" t="inlineStr">
        <is>
          <t>Site / usine</t>
        </is>
      </c>
      <c r="C5" s="155" t="inlineStr">
        <is>
          <t>Site de démonstration</t>
        </is>
      </c>
      <c r="D5" s="15" t="n"/>
      <c r="E5" s="15" t="n"/>
      <c r="F5" s="73" t="inlineStr">
        <is>
          <t>Texte libre — figure dans l'en-tête du cockpit</t>
        </is>
      </c>
      <c r="I5" s="156" t="inlineStr">
        <is>
          <t>Organisation</t>
        </is>
      </c>
      <c r="J5" s="157" t="n"/>
      <c r="K5" s="157" t="n"/>
      <c r="M5" s="156" t="inlineStr">
        <is>
          <t>Produits et cadences nominales</t>
        </is>
      </c>
      <c r="N5" s="157" t="n"/>
      <c r="O5" s="157" t="n"/>
      <c r="P5" s="157" t="n"/>
      <c r="R5" s="156" t="inlineStr">
        <is>
          <t>Causes d'arrêt normalisées</t>
        </is>
      </c>
      <c r="S5" s="157" t="n"/>
      <c r="T5" s="157" t="n"/>
      <c r="U5" s="157" t="n"/>
      <c r="V5" s="157" t="n"/>
      <c r="X5" s="156" t="inlineStr">
        <is>
          <t>Postes de travail (polyvalence)</t>
        </is>
      </c>
      <c r="Y5" s="157" t="n"/>
      <c r="Z5" s="157" t="n"/>
      <c r="AB5" s="156" t="inlineStr">
        <is>
          <t>Listes de choix normalisées</t>
        </is>
      </c>
      <c r="AC5" s="157" t="n"/>
      <c r="AD5" s="157" t="n"/>
      <c r="AE5" s="157" t="n"/>
      <c r="AF5" s="157" t="n"/>
      <c r="AG5" s="157" t="n"/>
      <c r="AH5" s="157" t="n"/>
      <c r="AI5" s="157" t="n"/>
      <c r="AJ5" s="157" t="n"/>
      <c r="AK5" s="157" t="n"/>
      <c r="AL5" s="157" t="n"/>
      <c r="AM5" s="157" t="n"/>
    </row>
    <row r="6" ht="28" customHeight="1">
      <c r="A6" s="154" t="inlineStr">
        <is>
          <t>Atelier / UAP</t>
        </is>
      </c>
      <c r="C6" s="155" t="inlineStr">
        <is>
          <t>UAP Assemblage-Usinage</t>
        </is>
      </c>
      <c r="D6" s="15" t="n"/>
      <c r="E6" s="15" t="n"/>
      <c r="F6" s="73" t="inlineStr">
        <is>
          <t>Périmètre couvert par ce classeur</t>
        </is>
      </c>
      <c r="I6" s="6" t="inlineStr">
        <is>
          <t>Lignes / ressources</t>
        </is>
      </c>
      <c r="J6" s="6" t="inlineStr">
        <is>
          <t>Équipes (postes)</t>
        </is>
      </c>
      <c r="K6" s="6" t="inlineStr">
        <is>
          <t>Pilotes et animateurs</t>
        </is>
      </c>
      <c r="M6" s="6" t="inlineStr">
        <is>
          <t>Référence</t>
        </is>
      </c>
      <c r="N6" s="6" t="inlineStr">
        <is>
          <t>Désignation</t>
        </is>
      </c>
      <c r="O6" s="6" t="inlineStr">
        <is>
          <t>Cadence nominale
(pcs/min)</t>
        </is>
      </c>
      <c r="P6" s="6" t="inlineStr">
        <is>
          <t>PPM cible</t>
        </is>
      </c>
      <c r="R6" s="6" t="inlineStr">
        <is>
          <t>Code</t>
        </is>
      </c>
      <c r="S6" s="6" t="inlineStr">
        <is>
          <t>Libellé</t>
        </is>
      </c>
      <c r="T6" s="6" t="inlineStr">
        <is>
          <t>Famille 5M</t>
        </is>
      </c>
      <c r="U6" s="6" t="inlineStr">
        <is>
          <t>Type</t>
        </is>
      </c>
      <c r="V6" s="6" t="inlineStr">
        <is>
          <t>Rubrique de saisie</t>
        </is>
      </c>
      <c r="X6" s="6" t="inlineStr">
        <is>
          <t>Poste de travail</t>
        </is>
      </c>
      <c r="Y6" s="6" t="inlineStr">
        <is>
          <t>Criticité
(1 à 3)</t>
        </is>
      </c>
      <c r="Z6" s="6" t="inlineStr">
        <is>
          <t>Effectif autonome
cible</t>
        </is>
      </c>
      <c r="AB6" s="6" t="inlineStr">
        <is>
          <t>Familles 5M</t>
        </is>
      </c>
      <c r="AC6" s="6" t="inlineStr">
        <is>
          <t>Sources d'écart</t>
        </is>
      </c>
      <c r="AD6" s="6" t="inlineStr">
        <is>
          <t>Nature d'action</t>
        </is>
      </c>
      <c r="AE6" s="6" t="inlineStr">
        <is>
          <t>Statut d'action</t>
        </is>
      </c>
      <c r="AF6" s="6" t="inlineStr">
        <is>
          <t>Efficacité</t>
        </is>
      </c>
      <c r="AG6" s="6" t="inlineStr">
        <is>
          <t>Oui / Non</t>
        </is>
      </c>
      <c r="AH6" s="6" t="inlineStr">
        <is>
          <t>Contrôle terrain</t>
        </is>
      </c>
      <c r="AI6" s="6" t="inlineStr">
        <is>
          <t>Axes SQCDP</t>
        </is>
      </c>
      <c r="AJ6" s="6" t="inlineStr">
        <is>
          <t>Filtre lignes</t>
        </is>
      </c>
      <c r="AK6" s="6" t="inlineStr">
        <is>
          <t>Filtre équipes</t>
        </is>
      </c>
      <c r="AL6" s="6" t="inlineStr">
        <is>
          <t>Rubriques de perte</t>
        </is>
      </c>
      <c r="AM6" s="6" t="inlineStr">
        <is>
          <t>Mois</t>
        </is>
      </c>
    </row>
    <row r="7" ht="15" customHeight="1">
      <c r="A7" s="154" t="inlineStr">
        <is>
          <t>Responsable de production</t>
        </is>
      </c>
      <c r="C7" s="155" t="inlineStr">
        <is>
          <t>À compléter</t>
        </is>
      </c>
      <c r="D7" s="15" t="n"/>
      <c r="E7" s="15" t="n"/>
      <c r="F7" s="73" t="inlineStr"/>
      <c r="I7" s="158" t="inlineStr">
        <is>
          <t>Ligne 1 - Assemblage</t>
        </is>
      </c>
      <c r="J7" s="158" t="inlineStr">
        <is>
          <t>Équipe A (matin)</t>
        </is>
      </c>
      <c r="K7" s="158" t="inlineStr">
        <is>
          <t>DURAND M.</t>
        </is>
      </c>
      <c r="M7" s="158" t="inlineStr">
        <is>
          <t>REF-1001</t>
        </is>
      </c>
      <c r="N7" s="158" t="inlineStr">
        <is>
          <t>Carter aluminium A20</t>
        </is>
      </c>
      <c r="O7" s="159" t="n">
        <v>15</v>
      </c>
      <c r="P7" s="160" t="n">
        <v>2000</v>
      </c>
      <c r="R7" s="158" t="inlineStr">
        <is>
          <t>PLA-01</t>
        </is>
      </c>
      <c r="S7" s="158" t="inlineStr">
        <is>
          <t>Pause légale et relève de poste</t>
        </is>
      </c>
      <c r="T7" s="158" t="inlineStr">
        <is>
          <t>Milieu</t>
        </is>
      </c>
      <c r="U7" s="158" t="inlineStr">
        <is>
          <t>Planifié</t>
        </is>
      </c>
      <c r="V7" s="158" t="inlineStr">
        <is>
          <t>Arrêts planifiés</t>
        </is>
      </c>
      <c r="X7" s="158" t="inlineStr">
        <is>
          <t>Conduite ligne 1</t>
        </is>
      </c>
      <c r="Y7" s="161" t="n">
        <v>3</v>
      </c>
      <c r="Z7" s="161" t="n">
        <v>3</v>
      </c>
      <c r="AB7" s="158" t="inlineStr">
        <is>
          <t>Machine</t>
        </is>
      </c>
      <c r="AC7" s="158" t="inlineStr">
        <is>
          <t>Écart quotidien</t>
        </is>
      </c>
      <c r="AD7" s="158" t="inlineStr">
        <is>
          <t>Curative (D3)</t>
        </is>
      </c>
      <c r="AE7" s="158" t="inlineStr">
        <is>
          <t>À lancer</t>
        </is>
      </c>
      <c r="AF7" s="158" t="inlineStr">
        <is>
          <t>Oui</t>
        </is>
      </c>
      <c r="AG7" s="158" t="inlineStr">
        <is>
          <t>Oui</t>
        </is>
      </c>
      <c r="AH7" s="158" t="inlineStr">
        <is>
          <t>OK</t>
        </is>
      </c>
      <c r="AI7" s="158" t="inlineStr">
        <is>
          <t>Sécurité</t>
        </is>
      </c>
      <c r="AJ7" s="158" t="inlineStr">
        <is>
          <t>Toutes</t>
        </is>
      </c>
      <c r="AK7" s="158" t="inlineStr">
        <is>
          <t>Toutes</t>
        </is>
      </c>
      <c r="AL7" s="158" t="inlineStr">
        <is>
          <t>Arrêts planifiés</t>
        </is>
      </c>
      <c r="AM7" s="158" t="inlineStr">
        <is>
          <t>Janvier</t>
        </is>
      </c>
    </row>
    <row r="8" ht="15" customHeight="1">
      <c r="A8" s="154" t="inlineStr">
        <is>
          <t>Superviseur référent</t>
        </is>
      </c>
      <c r="C8" s="155" t="inlineStr">
        <is>
          <t>À compléter</t>
        </is>
      </c>
      <c r="D8" s="15" t="n"/>
      <c r="E8" s="15" t="n"/>
      <c r="F8" s="73" t="inlineStr"/>
      <c r="I8" s="158" t="inlineStr">
        <is>
          <t>Ligne 2 - Usinage</t>
        </is>
      </c>
      <c r="J8" s="158" t="inlineStr">
        <is>
          <t>Équipe B (après-midi)</t>
        </is>
      </c>
      <c r="K8" s="158" t="inlineStr">
        <is>
          <t>NGOM A.</t>
        </is>
      </c>
      <c r="M8" s="158" t="inlineStr">
        <is>
          <t>REF-1002</t>
        </is>
      </c>
      <c r="N8" s="158" t="inlineStr">
        <is>
          <t>Carter aluminium A30</t>
        </is>
      </c>
      <c r="O8" s="159" t="n">
        <v>12.5</v>
      </c>
      <c r="P8" s="160" t="n">
        <v>2000</v>
      </c>
      <c r="R8" s="158" t="inlineStr">
        <is>
          <t>PLA-02</t>
        </is>
      </c>
      <c r="S8" s="158" t="inlineStr">
        <is>
          <t>Maintenance préventive planifiée</t>
        </is>
      </c>
      <c r="T8" s="158" t="inlineStr">
        <is>
          <t>Machine</t>
        </is>
      </c>
      <c r="U8" s="158" t="inlineStr">
        <is>
          <t>Planifié</t>
        </is>
      </c>
      <c r="V8" s="158" t="inlineStr">
        <is>
          <t>Arrêts planifiés</t>
        </is>
      </c>
      <c r="X8" s="158" t="inlineStr">
        <is>
          <t>Conduite ligne 2</t>
        </is>
      </c>
      <c r="Y8" s="161" t="n">
        <v>3</v>
      </c>
      <c r="Z8" s="161" t="n">
        <v>3</v>
      </c>
      <c r="AB8" s="158" t="inlineStr">
        <is>
          <t>Main d'œuvre</t>
        </is>
      </c>
      <c r="AC8" s="158" t="inlineStr">
        <is>
          <t>Sécurité</t>
        </is>
      </c>
      <c r="AD8" s="158" t="inlineStr">
        <is>
          <t>Corrective (D5)</t>
        </is>
      </c>
      <c r="AE8" s="158" t="inlineStr">
        <is>
          <t>En cours</t>
        </is>
      </c>
      <c r="AF8" s="158" t="inlineStr">
        <is>
          <t>Non</t>
        </is>
      </c>
      <c r="AG8" s="158" t="inlineStr">
        <is>
          <t>Non</t>
        </is>
      </c>
      <c r="AH8" s="158" t="inlineStr">
        <is>
          <t>NOK</t>
        </is>
      </c>
      <c r="AI8" s="158" t="inlineStr">
        <is>
          <t>Qualité</t>
        </is>
      </c>
      <c r="AJ8" s="158" t="inlineStr">
        <is>
          <t>Ligne 1 - Assemblage</t>
        </is>
      </c>
      <c r="AK8" s="158" t="inlineStr">
        <is>
          <t>Équipe A (matin)</t>
        </is>
      </c>
      <c r="AL8" s="158" t="inlineStr">
        <is>
          <t>Pannes</t>
        </is>
      </c>
      <c r="AM8" s="158" t="inlineStr">
        <is>
          <t>Février</t>
        </is>
      </c>
    </row>
    <row r="9" ht="15" customHeight="1">
      <c r="A9" s="154" t="inlineStr">
        <is>
          <t>Nombre d'équipes par jour</t>
        </is>
      </c>
      <c r="C9" s="155" t="n">
        <v>2</v>
      </c>
      <c r="D9" s="15" t="n"/>
      <c r="E9" s="15" t="n"/>
      <c r="F9" s="73" t="inlineStr">
        <is>
          <t>Sert au dimensionnement des ressources</t>
        </is>
      </c>
      <c r="I9" s="158" t="inlineStr">
        <is>
          <t>Ligne 3 - Conditionnement</t>
        </is>
      </c>
      <c r="J9" s="158" t="inlineStr">
        <is>
          <t>Équipe C (nuit)</t>
        </is>
      </c>
      <c r="K9" s="158" t="inlineStr">
        <is>
          <t>LEROY S.</t>
        </is>
      </c>
      <c r="M9" s="158" t="inlineStr">
        <is>
          <t>REF-2001</t>
        </is>
      </c>
      <c r="N9" s="158" t="inlineStr">
        <is>
          <t>Support moteur S12</t>
        </is>
      </c>
      <c r="O9" s="159" t="n">
        <v>9</v>
      </c>
      <c r="P9" s="160" t="n">
        <v>1500</v>
      </c>
      <c r="R9" s="158" t="inlineStr">
        <is>
          <t>PLA-03</t>
        </is>
      </c>
      <c r="S9" s="158" t="inlineStr">
        <is>
          <t>Réunion, formation ou audit planifié</t>
        </is>
      </c>
      <c r="T9" s="158" t="inlineStr">
        <is>
          <t>Main d'œuvre</t>
        </is>
      </c>
      <c r="U9" s="158" t="inlineStr">
        <is>
          <t>Planifié</t>
        </is>
      </c>
      <c r="V9" s="158" t="inlineStr">
        <is>
          <t>Arrêts planifiés</t>
        </is>
      </c>
      <c r="X9" s="158" t="inlineStr">
        <is>
          <t>Conduite ligne 3</t>
        </is>
      </c>
      <c r="Y9" s="161" t="n">
        <v>2</v>
      </c>
      <c r="Z9" s="161" t="n">
        <v>2</v>
      </c>
      <c r="AB9" s="158" t="inlineStr">
        <is>
          <t>Matière</t>
        </is>
      </c>
      <c r="AC9" s="158" t="inlineStr">
        <is>
          <t>Qualité client</t>
        </is>
      </c>
      <c r="AD9" s="158" t="inlineStr">
        <is>
          <t>Préventive (D7)</t>
        </is>
      </c>
      <c r="AE9" s="158" t="inlineStr">
        <is>
          <t>En attente</t>
        </is>
      </c>
      <c r="AF9" s="158" t="inlineStr">
        <is>
          <t>En attente</t>
        </is>
      </c>
      <c r="AG9" s="158" t="inlineStr">
        <is>
          <t>S.O.</t>
        </is>
      </c>
      <c r="AH9" s="158" t="inlineStr">
        <is>
          <t>S.O.</t>
        </is>
      </c>
      <c r="AI9" s="158" t="inlineStr">
        <is>
          <t>Coût</t>
        </is>
      </c>
      <c r="AJ9" s="158" t="inlineStr">
        <is>
          <t>Ligne 2 - Usinage</t>
        </is>
      </c>
      <c r="AK9" s="158" t="inlineStr">
        <is>
          <t>Équipe B (après-midi)</t>
        </is>
      </c>
      <c r="AL9" s="158" t="inlineStr">
        <is>
          <t>Changement de série</t>
        </is>
      </c>
      <c r="AM9" s="158" t="inlineStr">
        <is>
          <t>Mars</t>
        </is>
      </c>
    </row>
    <row r="10" ht="15" customHeight="1">
      <c r="A10" s="154" t="inlineStr">
        <is>
          <t>Temps d'ouverture théorique par poste (min)</t>
        </is>
      </c>
      <c r="C10" s="155" t="n">
        <v>480</v>
      </c>
      <c r="D10" s="15" t="n"/>
      <c r="E10" s="15" t="n"/>
      <c r="F10" s="73" t="inlineStr">
        <is>
          <t>Valeur par défaut proposée à la saisie</t>
        </is>
      </c>
      <c r="I10" s="158" t="n"/>
      <c r="J10" s="158" t="n"/>
      <c r="K10" s="158" t="inlineStr">
        <is>
          <t>BAKARI F.</t>
        </is>
      </c>
      <c r="M10" s="158" t="inlineStr">
        <is>
          <t>REF-2002</t>
        </is>
      </c>
      <c r="N10" s="158" t="inlineStr">
        <is>
          <t>Support moteur S18</t>
        </is>
      </c>
      <c r="O10" s="159" t="n">
        <v>7.5</v>
      </c>
      <c r="P10" s="160" t="n">
        <v>1500</v>
      </c>
      <c r="R10" s="158" t="inlineStr">
        <is>
          <t>PAN-01</t>
        </is>
      </c>
      <c r="S10" s="158" t="inlineStr">
        <is>
          <t>Panne mécanique</t>
        </is>
      </c>
      <c r="T10" s="158" t="inlineStr">
        <is>
          <t>Machine</t>
        </is>
      </c>
      <c r="U10" s="158" t="inlineStr">
        <is>
          <t>Subi</t>
        </is>
      </c>
      <c r="V10" s="158" t="inlineStr">
        <is>
          <t>Pannes</t>
        </is>
      </c>
      <c r="X10" s="158" t="inlineStr">
        <is>
          <t>Changement de série</t>
        </is>
      </c>
      <c r="Y10" s="161" t="n">
        <v>3</v>
      </c>
      <c r="Z10" s="161" t="n">
        <v>3</v>
      </c>
      <c r="AB10" s="158" t="inlineStr">
        <is>
          <t>Méthode</t>
        </is>
      </c>
      <c r="AC10" s="158" t="inlineStr">
        <is>
          <t>Analyse Pareto TRS</t>
        </is>
      </c>
      <c r="AD10" s="158" t="inlineStr">
        <is>
          <t>Amélioration</t>
        </is>
      </c>
      <c r="AE10" s="158" t="inlineStr">
        <is>
          <t>Terminée</t>
        </is>
      </c>
      <c r="AF10" s="158" t="n"/>
      <c r="AG10" s="158" t="n"/>
      <c r="AH10" s="158" t="n"/>
      <c r="AI10" s="158" t="inlineStr">
        <is>
          <t>Délai</t>
        </is>
      </c>
      <c r="AJ10" s="158" t="inlineStr">
        <is>
          <t>Ligne 3 - Conditionnement</t>
        </is>
      </c>
      <c r="AK10" s="158" t="inlineStr">
        <is>
          <t>Équipe C (nuit)</t>
        </is>
      </c>
      <c r="AL10" s="158" t="inlineStr">
        <is>
          <t>Réglages et micro-arrêts</t>
        </is>
      </c>
      <c r="AM10" s="158" t="inlineStr">
        <is>
          <t>Avril</t>
        </is>
      </c>
    </row>
    <row r="11" ht="15" customHeight="1">
      <c r="A11" s="154" t="inlineStr">
        <is>
          <t>Jours ouvrés de référence par mois</t>
        </is>
      </c>
      <c r="C11" s="155" t="n">
        <v>21</v>
      </c>
      <c r="D11" s="15" t="n"/>
      <c r="E11" s="15" t="n"/>
      <c r="F11" s="73" t="inlineStr">
        <is>
          <t>Base de calcul des ratios mensuels</t>
        </is>
      </c>
      <c r="I11" s="158" t="n"/>
      <c r="J11" s="158" t="n"/>
      <c r="K11" s="158" t="inlineStr">
        <is>
          <t>PETIT C.</t>
        </is>
      </c>
      <c r="M11" s="158" t="inlineStr">
        <is>
          <t>REF-3001</t>
        </is>
      </c>
      <c r="N11" s="158" t="inlineStr">
        <is>
          <t>Kit conditionné K4</t>
        </is>
      </c>
      <c r="O11" s="159" t="n">
        <v>22</v>
      </c>
      <c r="P11" s="160" t="n">
        <v>3000</v>
      </c>
      <c r="R11" s="158" t="inlineStr">
        <is>
          <t>PAN-02</t>
        </is>
      </c>
      <c r="S11" s="158" t="inlineStr">
        <is>
          <t>Panne électrique ou capteur</t>
        </is>
      </c>
      <c r="T11" s="158" t="inlineStr">
        <is>
          <t>Machine</t>
        </is>
      </c>
      <c r="U11" s="158" t="inlineStr">
        <is>
          <t>Subi</t>
        </is>
      </c>
      <c r="V11" s="158" t="inlineStr">
        <is>
          <t>Pannes</t>
        </is>
      </c>
      <c r="X11" s="158" t="inlineStr">
        <is>
          <t>Contrôle qualité</t>
        </is>
      </c>
      <c r="Y11" s="161" t="n">
        <v>3</v>
      </c>
      <c r="Z11" s="161" t="n">
        <v>3</v>
      </c>
      <c r="AB11" s="158" t="inlineStr">
        <is>
          <t>Milieu</t>
        </is>
      </c>
      <c r="AC11" s="158" t="inlineStr">
        <is>
          <t>Audit 5S</t>
        </is>
      </c>
      <c r="AD11" s="158" t="n"/>
      <c r="AE11" s="158" t="inlineStr">
        <is>
          <t>Abandonnée</t>
        </is>
      </c>
      <c r="AF11" s="158" t="n"/>
      <c r="AG11" s="158" t="n"/>
      <c r="AH11" s="158" t="n"/>
      <c r="AI11" s="158" t="inlineStr">
        <is>
          <t>Personnel</t>
        </is>
      </c>
      <c r="AJ11" s="158" t="n"/>
      <c r="AK11" s="158" t="n"/>
      <c r="AL11" s="158" t="inlineStr">
        <is>
          <t>Manque matière</t>
        </is>
      </c>
      <c r="AM11" s="158" t="inlineStr">
        <is>
          <t>Mai</t>
        </is>
      </c>
    </row>
    <row r="12" ht="15" customHeight="1">
      <c r="A12" s="154" t="inlineStr">
        <is>
          <t>Devise de valorisation</t>
        </is>
      </c>
      <c r="C12" s="155" t="inlineStr">
        <is>
          <t>EUR</t>
        </is>
      </c>
      <c r="D12" s="15" t="n"/>
      <c r="E12" s="15" t="n"/>
      <c r="F12" s="73" t="inlineStr">
        <is>
          <t>Gains du plan d'actions</t>
        </is>
      </c>
      <c r="I12" s="158" t="n"/>
      <c r="J12" s="158" t="n"/>
      <c r="K12" s="158" t="inlineStr">
        <is>
          <t>MARCHAND J.</t>
        </is>
      </c>
      <c r="M12" s="158" t="n"/>
      <c r="N12" s="158" t="n"/>
      <c r="O12" s="159" t="n"/>
      <c r="P12" s="160" t="n"/>
      <c r="R12" s="158" t="inlineStr">
        <is>
          <t>PAN-03</t>
        </is>
      </c>
      <c r="S12" s="158" t="inlineStr">
        <is>
          <t>Défaut automatisme / supervision</t>
        </is>
      </c>
      <c r="T12" s="158" t="inlineStr">
        <is>
          <t>Machine</t>
        </is>
      </c>
      <c r="U12" s="158" t="inlineStr">
        <is>
          <t>Subi</t>
        </is>
      </c>
      <c r="V12" s="158" t="inlineStr">
        <is>
          <t>Pannes</t>
        </is>
      </c>
      <c r="X12" s="158" t="inlineStr">
        <is>
          <t>Retouche</t>
        </is>
      </c>
      <c r="Y12" s="161" t="n">
        <v>2</v>
      </c>
      <c r="Z12" s="161" t="n">
        <v>2</v>
      </c>
      <c r="AB12" s="158" t="n"/>
      <c r="AC12" s="158" t="inlineStr">
        <is>
          <t>Idée opérateur</t>
        </is>
      </c>
      <c r="AD12" s="158" t="n"/>
      <c r="AE12" s="158" t="n"/>
      <c r="AF12" s="158" t="n"/>
      <c r="AG12" s="158" t="n"/>
      <c r="AH12" s="158" t="n"/>
      <c r="AI12" s="158" t="n"/>
      <c r="AJ12" s="158" t="n"/>
      <c r="AK12" s="158" t="n"/>
      <c r="AL12" s="158" t="inlineStr">
        <is>
          <t>Manque personnel</t>
        </is>
      </c>
      <c r="AM12" s="158" t="inlineStr">
        <is>
          <t>Juin</t>
        </is>
      </c>
    </row>
    <row r="13" ht="15" customHeight="1">
      <c r="I13" s="158" t="n"/>
      <c r="J13" s="158" t="n"/>
      <c r="K13" s="158" t="inlineStr">
        <is>
          <t>SOW I.</t>
        </is>
      </c>
      <c r="M13" s="158" t="n"/>
      <c r="N13" s="158" t="n"/>
      <c r="O13" s="159" t="n"/>
      <c r="P13" s="160" t="n"/>
      <c r="R13" s="158" t="inlineStr">
        <is>
          <t>CDS-01</t>
        </is>
      </c>
      <c r="S13" s="158" t="inlineStr">
        <is>
          <t>Changement de série (outillage)</t>
        </is>
      </c>
      <c r="T13" s="158" t="inlineStr">
        <is>
          <t>Méthode</t>
        </is>
      </c>
      <c r="U13" s="158" t="inlineStr">
        <is>
          <t>Subi</t>
        </is>
      </c>
      <c r="V13" s="158" t="inlineStr">
        <is>
          <t>Changement de série</t>
        </is>
      </c>
      <c r="X13" s="158" t="inlineStr">
        <is>
          <t>Maintenance 1er niveau</t>
        </is>
      </c>
      <c r="Y13" s="161" t="n">
        <v>3</v>
      </c>
      <c r="Z13" s="161" t="n">
        <v>2</v>
      </c>
      <c r="AB13" s="158" t="n"/>
      <c r="AC13" s="158" t="inlineStr">
        <is>
          <t>Réclamation client</t>
        </is>
      </c>
      <c r="AD13" s="158" t="n"/>
      <c r="AE13" s="158" t="n"/>
      <c r="AF13" s="158" t="n"/>
      <c r="AG13" s="158" t="n"/>
      <c r="AH13" s="158" t="n"/>
      <c r="AI13" s="158" t="n"/>
      <c r="AJ13" s="158" t="n"/>
      <c r="AK13" s="158" t="n"/>
      <c r="AL13" s="158" t="inlineStr">
        <is>
          <t>Autres arrêts subis</t>
        </is>
      </c>
      <c r="AM13" s="158" t="inlineStr">
        <is>
          <t>Juillet</t>
        </is>
      </c>
    </row>
    <row r="14" ht="15" customHeight="1">
      <c r="A14" s="4" t="inlineStr">
        <is>
          <t>2.  OBJECTIFS ET SEUILS D'ALERTE  —  contrat de performance</t>
        </is>
      </c>
      <c r="B14" s="5" t="n"/>
      <c r="C14" s="5" t="n"/>
      <c r="D14" s="5" t="n"/>
      <c r="E14" s="5" t="n"/>
      <c r="F14" s="5" t="n"/>
      <c r="G14" s="5" t="n"/>
      <c r="I14" s="158" t="n"/>
      <c r="J14" s="158" t="n"/>
      <c r="K14" s="158" t="inlineStr">
        <is>
          <t>GARNIER L.</t>
        </is>
      </c>
      <c r="M14" s="158" t="n"/>
      <c r="N14" s="158" t="n"/>
      <c r="O14" s="159" t="n"/>
      <c r="P14" s="160" t="n"/>
      <c r="R14" s="158" t="inlineStr">
        <is>
          <t>CDS-02</t>
        </is>
      </c>
      <c r="S14" s="158" t="inlineStr">
        <is>
          <t>Attente outillage ou moyen de contrôle</t>
        </is>
      </c>
      <c r="T14" s="158" t="inlineStr">
        <is>
          <t>Méthode</t>
        </is>
      </c>
      <c r="U14" s="158" t="inlineStr">
        <is>
          <t>Subi</t>
        </is>
      </c>
      <c r="V14" s="158" t="inlineStr">
        <is>
          <t>Changement de série</t>
        </is>
      </c>
      <c r="X14" s="158" t="inlineStr">
        <is>
          <t>Cariste / appro</t>
        </is>
      </c>
      <c r="Y14" s="161" t="n">
        <v>2</v>
      </c>
      <c r="Z14" s="161" t="n">
        <v>2</v>
      </c>
      <c r="AB14" s="158" t="n"/>
      <c r="AC14" s="158" t="inlineStr">
        <is>
          <t>Audit interne</t>
        </is>
      </c>
      <c r="AD14" s="158" t="n"/>
      <c r="AE14" s="158" t="n"/>
      <c r="AF14" s="158" t="n"/>
      <c r="AG14" s="158" t="n"/>
      <c r="AH14" s="158" t="n"/>
      <c r="AI14" s="158" t="n"/>
      <c r="AJ14" s="158" t="n"/>
      <c r="AK14" s="158" t="n"/>
      <c r="AL14" s="158" t="n"/>
      <c r="AM14" s="158" t="inlineStr">
        <is>
          <t>Août</t>
        </is>
      </c>
    </row>
    <row r="15" ht="15" customHeight="1">
      <c r="A15" s="6" t="inlineStr">
        <is>
          <t>Code</t>
        </is>
      </c>
      <c r="B15" s="6" t="inlineStr">
        <is>
          <t>Indicateur</t>
        </is>
      </c>
      <c r="C15" s="6" t="inlineStr">
        <is>
          <t>Unité</t>
        </is>
      </c>
      <c r="D15" s="6" t="inlineStr">
        <is>
          <t>Cible</t>
        </is>
      </c>
      <c r="E15" s="6" t="inlineStr">
        <is>
          <t>Seuil d'alerte</t>
        </is>
      </c>
      <c r="F15" s="6" t="inlineStr">
        <is>
          <t>Sens</t>
        </is>
      </c>
      <c r="G15" s="6" t="inlineStr">
        <is>
          <t>Origine de l'objectif</t>
        </is>
      </c>
      <c r="I15" s="158" t="n"/>
      <c r="J15" s="158" t="n"/>
      <c r="K15" s="158" t="n"/>
      <c r="M15" s="158" t="n"/>
      <c r="N15" s="158" t="n"/>
      <c r="O15" s="159" t="n"/>
      <c r="P15" s="160" t="n"/>
      <c r="R15" s="158" t="inlineStr">
        <is>
          <t>REG-01</t>
        </is>
      </c>
      <c r="S15" s="158" t="inlineStr">
        <is>
          <t>Réglage qualité en cours de série</t>
        </is>
      </c>
      <c r="T15" s="158" t="inlineStr">
        <is>
          <t>Méthode</t>
        </is>
      </c>
      <c r="U15" s="158" t="inlineStr">
        <is>
          <t>Subi</t>
        </is>
      </c>
      <c r="V15" s="158" t="inlineStr">
        <is>
          <t>Réglages et micro-arrêts</t>
        </is>
      </c>
      <c r="X15" s="158" t="inlineStr">
        <is>
          <t>Emballage</t>
        </is>
      </c>
      <c r="Y15" s="161" t="n">
        <v>1</v>
      </c>
      <c r="Z15" s="161" t="n">
        <v>2</v>
      </c>
      <c r="AB15" s="158" t="n"/>
      <c r="AC15" s="158" t="n"/>
      <c r="AD15" s="158" t="n"/>
      <c r="AE15" s="158" t="n"/>
      <c r="AF15" s="158" t="n"/>
      <c r="AG15" s="158" t="n"/>
      <c r="AH15" s="158" t="n"/>
      <c r="AI15" s="158" t="n"/>
      <c r="AJ15" s="158" t="n"/>
      <c r="AK15" s="158" t="n"/>
      <c r="AL15" s="158" t="n"/>
      <c r="AM15" s="158" t="inlineStr">
        <is>
          <t>Septembre</t>
        </is>
      </c>
    </row>
    <row r="16" ht="15" customHeight="1">
      <c r="A16" s="162" t="inlineStr">
        <is>
          <t>TRS</t>
        </is>
      </c>
      <c r="B16" s="18" t="inlineStr">
        <is>
          <t>Taux de rendement synthétique (TRS / OEE)</t>
        </is>
      </c>
      <c r="C16" s="147" t="inlineStr">
        <is>
          <t>%</t>
        </is>
      </c>
      <c r="D16" s="163" t="n">
        <v>0.75</v>
      </c>
      <c r="E16" s="163" t="n">
        <v>0.7</v>
      </c>
      <c r="F16" s="147" t="n">
        <v>1</v>
      </c>
      <c r="G16" s="164" t="inlineStr">
        <is>
          <t>Objectif budget 2026 — direction industrielle</t>
        </is>
      </c>
      <c r="I16" s="158" t="n"/>
      <c r="J16" s="158" t="n"/>
      <c r="K16" s="158" t="n"/>
      <c r="M16" s="158" t="n"/>
      <c r="N16" s="158" t="n"/>
      <c r="O16" s="159" t="n"/>
      <c r="P16" s="160" t="n"/>
      <c r="R16" s="158" t="inlineStr">
        <is>
          <t>REG-02</t>
        </is>
      </c>
      <c r="S16" s="158" t="inlineStr">
        <is>
          <t>Micro-arrêts, bourrage, purge</t>
        </is>
      </c>
      <c r="T16" s="158" t="inlineStr">
        <is>
          <t>Machine</t>
        </is>
      </c>
      <c r="U16" s="158" t="inlineStr">
        <is>
          <t>Subi</t>
        </is>
      </c>
      <c r="V16" s="158" t="inlineStr">
        <is>
          <t>Réglages et micro-arrêts</t>
        </is>
      </c>
      <c r="X16" s="158" t="inlineStr">
        <is>
          <t>Saisie et reporting</t>
        </is>
      </c>
      <c r="Y16" s="161" t="n">
        <v>2</v>
      </c>
      <c r="Z16" s="161" t="n">
        <v>2</v>
      </c>
      <c r="AB16" s="158" t="n"/>
      <c r="AC16" s="158" t="n"/>
      <c r="AD16" s="158" t="n"/>
      <c r="AE16" s="158" t="n"/>
      <c r="AF16" s="158" t="n"/>
      <c r="AG16" s="158" t="n"/>
      <c r="AH16" s="158" t="n"/>
      <c r="AI16" s="158" t="n"/>
      <c r="AJ16" s="158" t="n"/>
      <c r="AK16" s="158" t="n"/>
      <c r="AL16" s="158" t="n"/>
      <c r="AM16" s="158" t="inlineStr">
        <is>
          <t>Octobre</t>
        </is>
      </c>
    </row>
    <row r="17" ht="15" customHeight="1">
      <c r="A17" s="165" t="inlineStr">
        <is>
          <t>DISPO</t>
        </is>
      </c>
      <c r="B17" s="166" t="inlineStr">
        <is>
          <t>Taux de disponibilité</t>
        </is>
      </c>
      <c r="C17" s="167" t="inlineStr">
        <is>
          <t>%</t>
        </is>
      </c>
      <c r="D17" s="163" t="n">
        <v>0.9</v>
      </c>
      <c r="E17" s="163" t="n">
        <v>0.85</v>
      </c>
      <c r="F17" s="167" t="n">
        <v>1</v>
      </c>
      <c r="G17" s="168" t="inlineStr">
        <is>
          <t>Dérivé de l'objectif TRS</t>
        </is>
      </c>
      <c r="I17" s="158" t="n"/>
      <c r="J17" s="158" t="n"/>
      <c r="K17" s="158" t="n"/>
      <c r="M17" s="158" t="n"/>
      <c r="N17" s="158" t="n"/>
      <c r="O17" s="159" t="n"/>
      <c r="P17" s="160" t="n"/>
      <c r="R17" s="158" t="inlineStr">
        <is>
          <t>MAT-01</t>
        </is>
      </c>
      <c r="S17" s="158" t="inlineStr">
        <is>
          <t>Rupture d'approvisionnement matière</t>
        </is>
      </c>
      <c r="T17" s="158" t="inlineStr">
        <is>
          <t>Matière</t>
        </is>
      </c>
      <c r="U17" s="158" t="inlineStr">
        <is>
          <t>Subi</t>
        </is>
      </c>
      <c r="V17" s="158" t="inlineStr">
        <is>
          <t>Manque matière</t>
        </is>
      </c>
      <c r="X17" s="158" t="inlineStr">
        <is>
          <t>Animation 5 min</t>
        </is>
      </c>
      <c r="Y17" s="161" t="n">
        <v>2</v>
      </c>
      <c r="Z17" s="161" t="n">
        <v>2</v>
      </c>
      <c r="AB17" s="158" t="n"/>
      <c r="AC17" s="158" t="n"/>
      <c r="AD17" s="158" t="n"/>
      <c r="AE17" s="158" t="n"/>
      <c r="AF17" s="158" t="n"/>
      <c r="AG17" s="158" t="n"/>
      <c r="AH17" s="158" t="n"/>
      <c r="AI17" s="158" t="n"/>
      <c r="AJ17" s="158" t="n"/>
      <c r="AK17" s="158" t="n"/>
      <c r="AL17" s="158" t="n"/>
      <c r="AM17" s="158" t="inlineStr">
        <is>
          <t>Novembre</t>
        </is>
      </c>
    </row>
    <row r="18" ht="15" customHeight="1">
      <c r="A18" s="162" t="inlineStr">
        <is>
          <t>PERF</t>
        </is>
      </c>
      <c r="B18" s="18" t="inlineStr">
        <is>
          <t>Taux de performance (cadence)</t>
        </is>
      </c>
      <c r="C18" s="147" t="inlineStr">
        <is>
          <t>%</t>
        </is>
      </c>
      <c r="D18" s="163" t="n">
        <v>0.95</v>
      </c>
      <c r="E18" s="163" t="n">
        <v>0.9</v>
      </c>
      <c r="F18" s="147" t="n">
        <v>1</v>
      </c>
      <c r="G18" s="164" t="inlineStr">
        <is>
          <t>Dérivé de l'objectif TRS</t>
        </is>
      </c>
      <c r="I18" s="158" t="n"/>
      <c r="J18" s="158" t="n"/>
      <c r="K18" s="158" t="n"/>
      <c r="M18" s="158" t="n"/>
      <c r="N18" s="158" t="n"/>
      <c r="O18" s="159" t="n"/>
      <c r="P18" s="160" t="n"/>
      <c r="R18" s="158" t="inlineStr">
        <is>
          <t>MAT-02</t>
        </is>
      </c>
      <c r="S18" s="158" t="inlineStr">
        <is>
          <t>Matière non conforme (rebut fournisseur)</t>
        </is>
      </c>
      <c r="T18" s="158" t="inlineStr">
        <is>
          <t>Matière</t>
        </is>
      </c>
      <c r="U18" s="158" t="inlineStr">
        <is>
          <t>Subi</t>
        </is>
      </c>
      <c r="V18" s="158" t="inlineStr">
        <is>
          <t>Manque matière</t>
        </is>
      </c>
      <c r="X18" s="158" t="inlineStr">
        <is>
          <t>Formation nouveaux</t>
        </is>
      </c>
      <c r="Y18" s="161" t="n">
        <v>1</v>
      </c>
      <c r="Z18" s="161" t="n">
        <v>2</v>
      </c>
      <c r="AB18" s="158" t="n"/>
      <c r="AC18" s="158" t="n"/>
      <c r="AD18" s="158" t="n"/>
      <c r="AE18" s="158" t="n"/>
      <c r="AF18" s="158" t="n"/>
      <c r="AG18" s="158" t="n"/>
      <c r="AH18" s="158" t="n"/>
      <c r="AI18" s="158" t="n"/>
      <c r="AJ18" s="158" t="n"/>
      <c r="AK18" s="158" t="n"/>
      <c r="AL18" s="158" t="n"/>
      <c r="AM18" s="158" t="inlineStr">
        <is>
          <t>Décembre</t>
        </is>
      </c>
    </row>
    <row r="19" ht="15" customHeight="1">
      <c r="A19" s="165" t="inlineStr">
        <is>
          <t>QUAL</t>
        </is>
      </c>
      <c r="B19" s="166" t="inlineStr">
        <is>
          <t>Taux de qualité au premier passage (RFT)</t>
        </is>
      </c>
      <c r="C19" s="167" t="inlineStr">
        <is>
          <t>%</t>
        </is>
      </c>
      <c r="D19" s="163" t="n">
        <v>0.99</v>
      </c>
      <c r="E19" s="163" t="n">
        <v>0.98</v>
      </c>
      <c r="F19" s="167" t="n">
        <v>1</v>
      </c>
      <c r="G19" s="168" t="inlineStr">
        <is>
          <t>Engagement client / plan qualité</t>
        </is>
      </c>
      <c r="I19" s="158" t="n"/>
      <c r="J19" s="158" t="n"/>
      <c r="K19" s="158" t="n"/>
      <c r="M19" s="158" t="n"/>
      <c r="N19" s="158" t="n"/>
      <c r="O19" s="159" t="n"/>
      <c r="P19" s="160" t="n"/>
      <c r="R19" s="158" t="inlineStr">
        <is>
          <t>PER-01</t>
        </is>
      </c>
      <c r="S19" s="158" t="inlineStr">
        <is>
          <t>Absence non remplacée</t>
        </is>
      </c>
      <c r="T19" s="158" t="inlineStr">
        <is>
          <t>Main d'œuvre</t>
        </is>
      </c>
      <c r="U19" s="158" t="inlineStr">
        <is>
          <t>Subi</t>
        </is>
      </c>
      <c r="V19" s="158" t="inlineStr">
        <is>
          <t>Manque personnel</t>
        </is>
      </c>
      <c r="X19" s="158" t="n"/>
      <c r="Y19" s="161" t="n"/>
      <c r="Z19" s="161" t="n"/>
      <c r="AB19" s="158" t="n"/>
      <c r="AC19" s="158" t="n"/>
      <c r="AD19" s="158" t="n"/>
      <c r="AE19" s="158" t="n"/>
      <c r="AF19" s="158" t="n"/>
      <c r="AG19" s="158" t="n"/>
      <c r="AH19" s="158" t="n"/>
      <c r="AI19" s="158" t="n"/>
      <c r="AJ19" s="158" t="n"/>
      <c r="AK19" s="158" t="n"/>
      <c r="AL19" s="158" t="n"/>
      <c r="AM19" s="158" t="n"/>
    </row>
    <row r="20" ht="15" customHeight="1">
      <c r="A20" s="162" t="inlineStr">
        <is>
          <t>TRG</t>
        </is>
      </c>
      <c r="B20" s="18" t="inlineStr">
        <is>
          <t>Taux de rendement global (TRG)</t>
        </is>
      </c>
      <c r="C20" s="147" t="inlineStr">
        <is>
          <t>%</t>
        </is>
      </c>
      <c r="D20" s="163" t="n">
        <v>0.6</v>
      </c>
      <c r="E20" s="163" t="n">
        <v>0.55</v>
      </c>
      <c r="F20" s="147" t="n">
        <v>1</v>
      </c>
      <c r="G20" s="164" t="inlineStr">
        <is>
          <t>Suivi capacitaire</t>
        </is>
      </c>
      <c r="I20" s="158" t="n"/>
      <c r="J20" s="158" t="n"/>
      <c r="K20" s="158" t="n"/>
      <c r="M20" s="158" t="n"/>
      <c r="N20" s="158" t="n"/>
      <c r="O20" s="159" t="n"/>
      <c r="P20" s="160" t="n"/>
      <c r="R20" s="158" t="inlineStr">
        <is>
          <t>PER-02</t>
        </is>
      </c>
      <c r="S20" s="158" t="inlineStr">
        <is>
          <t>Accompagnement / montée en compétence</t>
        </is>
      </c>
      <c r="T20" s="158" t="inlineStr">
        <is>
          <t>Main d'œuvre</t>
        </is>
      </c>
      <c r="U20" s="158" t="inlineStr">
        <is>
          <t>Subi</t>
        </is>
      </c>
      <c r="V20" s="158" t="inlineStr">
        <is>
          <t>Manque personnel</t>
        </is>
      </c>
      <c r="X20" s="158" t="n"/>
      <c r="Y20" s="161" t="n"/>
      <c r="Z20" s="161" t="n"/>
      <c r="AB20" s="158" t="n"/>
      <c r="AC20" s="158" t="n"/>
      <c r="AD20" s="158" t="n"/>
      <c r="AE20" s="158" t="n"/>
      <c r="AF20" s="158" t="n"/>
      <c r="AG20" s="158" t="n"/>
      <c r="AH20" s="158" t="n"/>
      <c r="AI20" s="158" t="n"/>
      <c r="AJ20" s="158" t="n"/>
      <c r="AK20" s="158" t="n"/>
      <c r="AL20" s="158" t="n"/>
      <c r="AM20" s="158" t="n"/>
    </row>
    <row r="21" ht="15" customHeight="1">
      <c r="A21" s="165" t="inlineStr">
        <is>
          <t>SERVICE</t>
        </is>
      </c>
      <c r="B21" s="166" t="inlineStr">
        <is>
          <t>Taux de service (quantité programmée)</t>
        </is>
      </c>
      <c r="C21" s="167" t="inlineStr">
        <is>
          <t>%</t>
        </is>
      </c>
      <c r="D21" s="163" t="n">
        <v>0.95</v>
      </c>
      <c r="E21" s="163" t="n">
        <v>0.9</v>
      </c>
      <c r="F21" s="167" t="n">
        <v>1</v>
      </c>
      <c r="G21" s="168" t="inlineStr">
        <is>
          <t>Contrat de service logistique</t>
        </is>
      </c>
      <c r="I21" s="158" t="n"/>
      <c r="J21" s="158" t="n"/>
      <c r="K21" s="158" t="n"/>
      <c r="M21" s="158" t="n"/>
      <c r="N21" s="158" t="n"/>
      <c r="O21" s="159" t="n"/>
      <c r="P21" s="160" t="n"/>
      <c r="R21" s="158" t="inlineStr">
        <is>
          <t>LOG-01</t>
        </is>
      </c>
      <c r="S21" s="158" t="inlineStr">
        <is>
          <t>Attente cariste / évacuation en-cours</t>
        </is>
      </c>
      <c r="T21" s="158" t="inlineStr">
        <is>
          <t>Milieu</t>
        </is>
      </c>
      <c r="U21" s="158" t="inlineStr">
        <is>
          <t>Subi</t>
        </is>
      </c>
      <c r="V21" s="158" t="inlineStr">
        <is>
          <t>Autres arrêts subis</t>
        </is>
      </c>
      <c r="X21" s="158" t="n"/>
      <c r="Y21" s="161" t="n"/>
      <c r="Z21" s="161" t="n"/>
      <c r="AB21" s="158" t="n"/>
      <c r="AC21" s="158" t="n"/>
      <c r="AD21" s="158" t="n"/>
      <c r="AE21" s="158" t="n"/>
      <c r="AF21" s="158" t="n"/>
      <c r="AG21" s="158" t="n"/>
      <c r="AH21" s="158" t="n"/>
      <c r="AI21" s="158" t="n"/>
      <c r="AJ21" s="158" t="n"/>
      <c r="AK21" s="158" t="n"/>
      <c r="AL21" s="158" t="n"/>
      <c r="AM21" s="158" t="n"/>
    </row>
    <row r="22" ht="15" customHeight="1">
      <c r="A22" s="162" t="inlineStr">
        <is>
          <t>PPM</t>
        </is>
      </c>
      <c r="B22" s="18" t="inlineStr">
        <is>
          <t>Non-conformités internes</t>
        </is>
      </c>
      <c r="C22" s="147" t="inlineStr">
        <is>
          <t>ppm</t>
        </is>
      </c>
      <c r="D22" s="169" t="n">
        <v>2000</v>
      </c>
      <c r="E22" s="169" t="n">
        <v>5000</v>
      </c>
      <c r="F22" s="147" t="n">
        <v>-1</v>
      </c>
      <c r="G22" s="164" t="inlineStr">
        <is>
          <t>Plan qualité 2026</t>
        </is>
      </c>
      <c r="I22" s="158" t="n"/>
      <c r="J22" s="158" t="n"/>
      <c r="K22" s="158" t="n"/>
      <c r="M22" s="158" t="n"/>
      <c r="N22" s="158" t="n"/>
      <c r="O22" s="159" t="n"/>
      <c r="P22" s="160" t="n"/>
      <c r="R22" s="158" t="inlineStr">
        <is>
          <t>LOG-02</t>
        </is>
      </c>
      <c r="S22" s="158" t="inlineStr">
        <is>
          <t>Saturation aval / stock plein</t>
        </is>
      </c>
      <c r="T22" s="158" t="inlineStr">
        <is>
          <t>Milieu</t>
        </is>
      </c>
      <c r="U22" s="158" t="inlineStr">
        <is>
          <t>Subi</t>
        </is>
      </c>
      <c r="V22" s="158" t="inlineStr">
        <is>
          <t>Autres arrêts subis</t>
        </is>
      </c>
      <c r="X22" s="158" t="n"/>
      <c r="Y22" s="161" t="n"/>
      <c r="Z22" s="161" t="n"/>
      <c r="AB22" s="158" t="n"/>
      <c r="AC22" s="158" t="n"/>
      <c r="AD22" s="158" t="n"/>
      <c r="AE22" s="158" t="n"/>
      <c r="AF22" s="158" t="n"/>
      <c r="AG22" s="158" t="n"/>
      <c r="AH22" s="158" t="n"/>
      <c r="AI22" s="158" t="n"/>
      <c r="AJ22" s="158" t="n"/>
      <c r="AK22" s="158" t="n"/>
      <c r="AL22" s="158" t="n"/>
      <c r="AM22" s="158" t="n"/>
    </row>
    <row r="23" ht="15" customHeight="1">
      <c r="A23" s="165" t="inlineStr">
        <is>
          <t>PRESENCE</t>
        </is>
      </c>
      <c r="B23" s="166" t="inlineStr">
        <is>
          <t>Taux de présence</t>
        </is>
      </c>
      <c r="C23" s="167" t="inlineStr">
        <is>
          <t>%</t>
        </is>
      </c>
      <c r="D23" s="163" t="n">
        <v>0.95</v>
      </c>
      <c r="E23" s="163" t="n">
        <v>0.92</v>
      </c>
      <c r="F23" s="167" t="n">
        <v>1</v>
      </c>
      <c r="G23" s="168" t="inlineStr">
        <is>
          <t>Ressources humaines</t>
        </is>
      </c>
      <c r="I23" s="158" t="n"/>
      <c r="J23" s="158" t="n"/>
      <c r="K23" s="158" t="n"/>
      <c r="M23" s="158" t="n"/>
      <c r="N23" s="158" t="n"/>
      <c r="O23" s="159" t="n"/>
      <c r="P23" s="160" t="n"/>
      <c r="R23" s="158" t="inlineStr">
        <is>
          <t>ESS-01</t>
        </is>
      </c>
      <c r="S23" s="158" t="inlineStr">
        <is>
          <t>Essai, prototype, série pilote</t>
        </is>
      </c>
      <c r="T23" s="158" t="inlineStr">
        <is>
          <t>Méthode</t>
        </is>
      </c>
      <c r="U23" s="158" t="inlineStr">
        <is>
          <t>Subi</t>
        </is>
      </c>
      <c r="V23" s="158" t="inlineStr">
        <is>
          <t>Autres arrêts subis</t>
        </is>
      </c>
      <c r="X23" s="158" t="n"/>
      <c r="Y23" s="161" t="n"/>
      <c r="Z23" s="161" t="n"/>
      <c r="AB23" s="158" t="n"/>
      <c r="AC23" s="158" t="n"/>
      <c r="AD23" s="158" t="n"/>
      <c r="AE23" s="158" t="n"/>
      <c r="AF23" s="158" t="n"/>
      <c r="AG23" s="158" t="n"/>
      <c r="AH23" s="158" t="n"/>
      <c r="AI23" s="158" t="n"/>
      <c r="AJ23" s="158" t="n"/>
      <c r="AK23" s="158" t="n"/>
      <c r="AL23" s="158" t="n"/>
      <c r="AM23" s="158" t="n"/>
    </row>
    <row r="24" ht="15" customHeight="1">
      <c r="A24" s="162" t="inlineStr">
        <is>
          <t>ACCIDENT</t>
        </is>
      </c>
      <c r="B24" s="18" t="inlineStr">
        <is>
          <t>Accidents avec arrêt (cumul mois)</t>
        </is>
      </c>
      <c r="C24" s="147" t="inlineStr">
        <is>
          <t>nb</t>
        </is>
      </c>
      <c r="D24" s="169" t="n">
        <v>0</v>
      </c>
      <c r="E24" s="169" t="n">
        <v>0</v>
      </c>
      <c r="F24" s="147" t="n">
        <v>-1</v>
      </c>
      <c r="G24" s="164" t="inlineStr">
        <is>
          <t>Politique santé-sécurité</t>
        </is>
      </c>
      <c r="I24" s="158" t="n"/>
      <c r="J24" s="158" t="n"/>
      <c r="K24" s="158" t="n"/>
      <c r="M24" s="158" t="n"/>
      <c r="N24" s="158" t="n"/>
      <c r="O24" s="159" t="n"/>
      <c r="P24" s="160" t="n"/>
      <c r="R24" s="158" t="n"/>
      <c r="S24" s="158" t="n"/>
      <c r="T24" s="158" t="n"/>
      <c r="U24" s="158" t="n"/>
      <c r="V24" s="158" t="n"/>
      <c r="X24" s="158" t="n"/>
      <c r="Y24" s="161" t="n"/>
      <c r="Z24" s="161" t="n"/>
      <c r="AB24" s="158" t="n"/>
      <c r="AC24" s="158" t="n"/>
      <c r="AD24" s="158" t="n"/>
      <c r="AE24" s="158" t="n"/>
      <c r="AF24" s="158" t="n"/>
      <c r="AG24" s="158" t="n"/>
      <c r="AH24" s="158" t="n"/>
      <c r="AI24" s="158" t="n"/>
      <c r="AJ24" s="158" t="n"/>
      <c r="AK24" s="158" t="n"/>
      <c r="AL24" s="158" t="n"/>
      <c r="AM24" s="158" t="n"/>
    </row>
    <row r="25" ht="15" customHeight="1">
      <c r="A25" s="165" t="inlineStr">
        <is>
          <t>RETARD</t>
        </is>
      </c>
      <c r="B25" s="166" t="inlineStr">
        <is>
          <t>Actions correctives en retard</t>
        </is>
      </c>
      <c r="C25" s="167" t="inlineStr">
        <is>
          <t>nb</t>
        </is>
      </c>
      <c r="D25" s="169" t="n">
        <v>0</v>
      </c>
      <c r="E25" s="169" t="n">
        <v>2</v>
      </c>
      <c r="F25" s="167" t="n">
        <v>-1</v>
      </c>
      <c r="G25" s="168" t="inlineStr">
        <is>
          <t>Règle d'animation QRQC</t>
        </is>
      </c>
      <c r="I25" s="158" t="n"/>
      <c r="J25" s="158" t="n"/>
      <c r="K25" s="158" t="n"/>
      <c r="M25" s="158" t="n"/>
      <c r="N25" s="158" t="n"/>
      <c r="O25" s="159" t="n"/>
      <c r="P25" s="160" t="n"/>
      <c r="R25" s="158" t="n"/>
      <c r="S25" s="158" t="n"/>
      <c r="T25" s="158" t="n"/>
      <c r="U25" s="158" t="n"/>
      <c r="V25" s="158" t="n"/>
      <c r="X25" s="158" t="n"/>
      <c r="Y25" s="161" t="n"/>
      <c r="Z25" s="161" t="n"/>
      <c r="AB25" s="158" t="n"/>
      <c r="AC25" s="158" t="n"/>
      <c r="AD25" s="158" t="n"/>
      <c r="AE25" s="158" t="n"/>
      <c r="AF25" s="158" t="n"/>
      <c r="AG25" s="158" t="n"/>
      <c r="AH25" s="158" t="n"/>
      <c r="AI25" s="158" t="n"/>
      <c r="AJ25" s="158" t="n"/>
      <c r="AK25" s="158" t="n"/>
      <c r="AL25" s="158" t="n"/>
      <c r="AM25" s="158" t="n"/>
    </row>
    <row r="26" ht="15" customHeight="1">
      <c r="A26" s="162" t="inlineStr">
        <is>
          <t>MTTR</t>
        </is>
      </c>
      <c r="B26" s="18" t="inlineStr">
        <is>
          <t>Temps moyen de réparation (MTTR)</t>
        </is>
      </c>
      <c r="C26" s="147" t="inlineStr">
        <is>
          <t>min</t>
        </is>
      </c>
      <c r="D26" s="169" t="n">
        <v>30</v>
      </c>
      <c r="E26" s="169" t="n">
        <v>45</v>
      </c>
      <c r="F26" s="147" t="n">
        <v>-1</v>
      </c>
      <c r="G26" s="164" t="inlineStr">
        <is>
          <t>Contrat de maintenance</t>
        </is>
      </c>
      <c r="I26" s="158" t="n"/>
      <c r="J26" s="158" t="n"/>
      <c r="K26" s="158" t="n"/>
      <c r="M26" s="158" t="n"/>
      <c r="N26" s="158" t="n"/>
      <c r="O26" s="159" t="n"/>
      <c r="P26" s="160" t="n"/>
      <c r="R26" s="158" t="n"/>
      <c r="S26" s="158" t="n"/>
      <c r="T26" s="158" t="n"/>
      <c r="U26" s="158" t="n"/>
      <c r="V26" s="158" t="n"/>
      <c r="X26" s="158" t="n"/>
      <c r="Y26" s="161" t="n"/>
      <c r="Z26" s="161" t="n"/>
      <c r="AB26" s="158" t="n"/>
      <c r="AC26" s="158" t="n"/>
      <c r="AD26" s="158" t="n"/>
      <c r="AE26" s="158" t="n"/>
      <c r="AF26" s="158" t="n"/>
      <c r="AG26" s="158" t="n"/>
      <c r="AH26" s="158" t="n"/>
      <c r="AI26" s="158" t="n"/>
      <c r="AJ26" s="158" t="n"/>
      <c r="AK26" s="158" t="n"/>
      <c r="AL26" s="158" t="n"/>
      <c r="AM26" s="158" t="n"/>
    </row>
    <row r="27" ht="15" customHeight="1">
      <c r="A27" s="165" t="inlineStr">
        <is>
          <t>MTBF</t>
        </is>
      </c>
      <c r="B27" s="166" t="inlineStr">
        <is>
          <t>Temps moyen entre pannes (MTBF)</t>
        </is>
      </c>
      <c r="C27" s="167" t="inlineStr">
        <is>
          <t>min</t>
        </is>
      </c>
      <c r="D27" s="169" t="n">
        <v>240</v>
      </c>
      <c r="E27" s="169" t="n">
        <v>180</v>
      </c>
      <c r="F27" s="167" t="n">
        <v>1</v>
      </c>
      <c r="G27" s="168" t="inlineStr">
        <is>
          <t>Contrat de maintenance</t>
        </is>
      </c>
      <c r="I27" s="158" t="n"/>
      <c r="J27" s="158" t="n"/>
      <c r="K27" s="158" t="n"/>
      <c r="M27" s="158" t="n"/>
      <c r="N27" s="158" t="n"/>
      <c r="O27" s="159" t="n"/>
      <c r="P27" s="160" t="n"/>
      <c r="R27" s="158" t="n"/>
      <c r="S27" s="158" t="n"/>
      <c r="T27" s="158" t="n"/>
      <c r="U27" s="158" t="n"/>
      <c r="V27" s="158" t="n"/>
    </row>
    <row r="28" ht="15" customHeight="1">
      <c r="A28" s="162" t="inlineStr">
        <is>
          <t>AUDIT5S</t>
        </is>
      </c>
      <c r="B28" s="18" t="inlineStr">
        <is>
          <t>Score d'audit 5S</t>
        </is>
      </c>
      <c r="C28" s="147" t="inlineStr">
        <is>
          <t>%</t>
        </is>
      </c>
      <c r="D28" s="163" t="n">
        <v>0.8</v>
      </c>
      <c r="E28" s="163" t="n">
        <v>0.7</v>
      </c>
      <c r="F28" s="147" t="n">
        <v>1</v>
      </c>
      <c r="G28" s="164" t="inlineStr">
        <is>
          <t>Standard 5S du site</t>
        </is>
      </c>
      <c r="I28" s="158" t="n"/>
      <c r="J28" s="158" t="n"/>
      <c r="K28" s="158" t="n"/>
      <c r="M28" s="158" t="n"/>
      <c r="N28" s="158" t="n"/>
      <c r="O28" s="159" t="n"/>
      <c r="P28" s="160" t="n"/>
      <c r="R28" s="158" t="n"/>
      <c r="S28" s="158" t="n"/>
      <c r="T28" s="158" t="n"/>
      <c r="U28" s="158" t="n"/>
      <c r="V28" s="158" t="n"/>
    </row>
    <row r="29" ht="15" customHeight="1">
      <c r="A29" s="165" t="inlineStr">
        <is>
          <t>POLYV</t>
        </is>
      </c>
      <c r="B29" s="166" t="inlineStr">
        <is>
          <t>Taux de polyvalence de l'équipe</t>
        </is>
      </c>
      <c r="C29" s="167" t="inlineStr">
        <is>
          <t>%</t>
        </is>
      </c>
      <c r="D29" s="163" t="n">
        <v>0.7</v>
      </c>
      <c r="E29" s="163" t="n">
        <v>0.6</v>
      </c>
      <c r="F29" s="167" t="n">
        <v>1</v>
      </c>
      <c r="G29" s="168" t="inlineStr">
        <is>
          <t>Plan de compétences</t>
        </is>
      </c>
      <c r="I29" s="158" t="n"/>
      <c r="J29" s="158" t="n"/>
      <c r="K29" s="158" t="n"/>
      <c r="M29" s="158" t="n"/>
      <c r="N29" s="158" t="n"/>
      <c r="O29" s="159" t="n"/>
      <c r="P29" s="160" t="n"/>
      <c r="R29" s="158" t="n"/>
      <c r="S29" s="158" t="n"/>
      <c r="T29" s="158" t="n"/>
      <c r="U29" s="158" t="n"/>
      <c r="V29" s="158" t="n"/>
    </row>
    <row r="30" ht="15" customHeight="1">
      <c r="I30" s="158" t="n"/>
      <c r="J30" s="158" t="n"/>
      <c r="K30" s="158" t="n"/>
      <c r="M30" s="158" t="n"/>
      <c r="N30" s="158" t="n"/>
      <c r="O30" s="159" t="n"/>
      <c r="P30" s="160" t="n"/>
      <c r="R30" s="158" t="n"/>
      <c r="S30" s="158" t="n"/>
      <c r="T30" s="158" t="n"/>
      <c r="U30" s="158" t="n"/>
      <c r="V30" s="158" t="n"/>
    </row>
    <row r="31" ht="15" customHeight="1">
      <c r="A31" s="73" t="inlineStr">
        <is>
          <t>Sens de lecture :  1 = la performance s'améliore quand la valeur augmente  •  -1 = la performance s'améliore quand la valeur diminue. Le cockpit compare automatiquement la valeur du mois à la cible (vert), au seuil d'alerte (orange) puis au-delà (rouge).</t>
        </is>
      </c>
      <c r="I31" s="158" t="n"/>
      <c r="J31" s="158" t="n"/>
      <c r="K31" s="158" t="n"/>
      <c r="M31" s="158" t="n"/>
      <c r="N31" s="158" t="n"/>
      <c r="O31" s="159" t="n"/>
      <c r="P31" s="160" t="n"/>
      <c r="R31" s="158" t="n"/>
      <c r="S31" s="158" t="n"/>
      <c r="T31" s="158" t="n"/>
      <c r="U31" s="158" t="n"/>
      <c r="V31" s="158" t="n"/>
    </row>
    <row r="32" ht="15" customHeight="1">
      <c r="I32" s="158" t="n"/>
      <c r="J32" s="158" t="n"/>
      <c r="K32" s="158" t="n"/>
      <c r="M32" s="158" t="n"/>
      <c r="N32" s="158" t="n"/>
      <c r="O32" s="159" t="n"/>
      <c r="P32" s="160" t="n"/>
      <c r="R32" s="158" t="n"/>
      <c r="S32" s="158" t="n"/>
      <c r="T32" s="158" t="n"/>
      <c r="U32" s="158" t="n"/>
      <c r="V32" s="158" t="n"/>
    </row>
    <row r="33" ht="15" customHeight="1">
      <c r="I33" s="158" t="n"/>
      <c r="J33" s="158" t="n"/>
      <c r="K33" s="158" t="n"/>
      <c r="M33" s="158" t="n"/>
      <c r="N33" s="158" t="n"/>
      <c r="O33" s="159" t="n"/>
      <c r="P33" s="160" t="n"/>
      <c r="R33" s="158" t="n"/>
      <c r="S33" s="158" t="n"/>
      <c r="T33" s="158" t="n"/>
      <c r="U33" s="158" t="n"/>
      <c r="V33" s="158" t="n"/>
    </row>
    <row r="34" ht="15" customHeight="1">
      <c r="I34" s="158" t="n"/>
      <c r="J34" s="158" t="n"/>
      <c r="K34" s="158" t="n"/>
      <c r="M34" s="158" t="n"/>
      <c r="N34" s="158" t="n"/>
      <c r="O34" s="159" t="n"/>
      <c r="P34" s="160" t="n"/>
      <c r="R34" s="158" t="n"/>
      <c r="S34" s="158" t="n"/>
      <c r="T34" s="158" t="n"/>
      <c r="U34" s="158" t="n"/>
      <c r="V34" s="158" t="n"/>
    </row>
    <row r="35" ht="15" customHeight="1">
      <c r="I35" s="158" t="n"/>
      <c r="J35" s="158" t="n"/>
      <c r="K35" s="158" t="n"/>
      <c r="M35" s="158" t="n"/>
      <c r="N35" s="158" t="n"/>
      <c r="O35" s="159" t="n"/>
      <c r="P35" s="160" t="n"/>
      <c r="R35" s="158" t="n"/>
      <c r="S35" s="158" t="n"/>
      <c r="T35" s="158" t="n"/>
      <c r="U35" s="158" t="n"/>
      <c r="V35" s="158" t="n"/>
    </row>
    <row r="36" ht="15" customHeight="1">
      <c r="I36" s="158" t="n"/>
      <c r="J36" s="158" t="n"/>
      <c r="K36" s="158" t="n"/>
      <c r="M36" s="158" t="n"/>
      <c r="N36" s="158" t="n"/>
      <c r="O36" s="159" t="n"/>
      <c r="P36" s="160" t="n"/>
      <c r="R36" s="158" t="n"/>
      <c r="S36" s="158" t="n"/>
      <c r="T36" s="158" t="n"/>
      <c r="U36" s="158" t="n"/>
      <c r="V36" s="158" t="n"/>
    </row>
    <row r="37" ht="15" customHeight="1">
      <c r="R37" s="158" t="n"/>
      <c r="S37" s="158" t="n"/>
      <c r="T37" s="158" t="n"/>
      <c r="U37" s="158" t="n"/>
      <c r="V37" s="158" t="n"/>
    </row>
    <row r="38" ht="15" customHeight="1">
      <c r="R38" s="158" t="n"/>
      <c r="S38" s="158" t="n"/>
      <c r="T38" s="158" t="n"/>
      <c r="U38" s="158" t="n"/>
      <c r="V38" s="158" t="n"/>
    </row>
    <row r="39" ht="15" customHeight="1">
      <c r="R39" s="158" t="n"/>
      <c r="S39" s="158" t="n"/>
      <c r="T39" s="158" t="n"/>
      <c r="U39" s="158" t="n"/>
      <c r="V39" s="158" t="n"/>
    </row>
    <row r="40" ht="15" customHeight="1">
      <c r="R40" s="158" t="n"/>
      <c r="S40" s="158" t="n"/>
      <c r="T40" s="158" t="n"/>
      <c r="U40" s="158" t="n"/>
      <c r="V40" s="158" t="n"/>
    </row>
    <row r="41" ht="15" customHeight="1">
      <c r="R41" s="158" t="n"/>
      <c r="S41" s="158" t="n"/>
      <c r="T41" s="158" t="n"/>
      <c r="U41" s="158" t="n"/>
      <c r="V41" s="158" t="n"/>
    </row>
    <row r="42" ht="15" customHeight="1">
      <c r="R42" s="158" t="n"/>
      <c r="S42" s="158" t="n"/>
      <c r="T42" s="158" t="n"/>
      <c r="U42" s="158" t="n"/>
      <c r="V42" s="158" t="n"/>
    </row>
    <row r="43" ht="15" customHeight="1">
      <c r="R43" s="158" t="n"/>
      <c r="S43" s="158" t="n"/>
      <c r="T43" s="158" t="n"/>
      <c r="U43" s="158" t="n"/>
      <c r="V43" s="158" t="n"/>
    </row>
    <row r="44" ht="15" customHeight="1">
      <c r="R44" s="158" t="n"/>
      <c r="S44" s="158" t="n"/>
      <c r="T44" s="158" t="n"/>
      <c r="U44" s="158" t="n"/>
      <c r="V44" s="158" t="n"/>
    </row>
    <row r="45" ht="15" customHeight="1">
      <c r="R45" s="158" t="n"/>
      <c r="S45" s="158" t="n"/>
      <c r="T45" s="158" t="n"/>
      <c r="U45" s="158" t="n"/>
      <c r="V45" s="158" t="n"/>
    </row>
    <row r="46" ht="15" customHeight="1">
      <c r="R46" s="158" t="n"/>
      <c r="S46" s="158" t="n"/>
      <c r="T46" s="158" t="n"/>
      <c r="U46" s="158" t="n"/>
      <c r="V46" s="158" t="n"/>
    </row>
  </sheetData>
  <mergeCells count="35">
    <mergeCell ref="A14:G14"/>
    <mergeCell ref="F11:G11"/>
    <mergeCell ref="F10:G10"/>
    <mergeCell ref="A11:B11"/>
    <mergeCell ref="A4:G4"/>
    <mergeCell ref="C9:E9"/>
    <mergeCell ref="F6:G6"/>
    <mergeCell ref="C12:E12"/>
    <mergeCell ref="A6:B6"/>
    <mergeCell ref="F7:G7"/>
    <mergeCell ref="C11:E11"/>
    <mergeCell ref="F12:G12"/>
    <mergeCell ref="A7:B7"/>
    <mergeCell ref="X5:Z5"/>
    <mergeCell ref="I5:K5"/>
    <mergeCell ref="F5:G5"/>
    <mergeCell ref="C8:E8"/>
    <mergeCell ref="C7:E7"/>
    <mergeCell ref="F8:G8"/>
    <mergeCell ref="A12:B12"/>
    <mergeCell ref="M5:P5"/>
    <mergeCell ref="A1:G1"/>
    <mergeCell ref="I4:AL4"/>
    <mergeCell ref="A5:B5"/>
    <mergeCell ref="A8:B8"/>
    <mergeCell ref="F9:G9"/>
    <mergeCell ref="C6:E6"/>
    <mergeCell ref="C5:E5"/>
    <mergeCell ref="A10:B10"/>
    <mergeCell ref="AB5:AM5"/>
    <mergeCell ref="A2:G2"/>
    <mergeCell ref="A9:B9"/>
    <mergeCell ref="A31:G32"/>
    <mergeCell ref="R5:V5"/>
    <mergeCell ref="C10:E10"/>
  </mergeCells>
  <dataValidations count="1">
    <dataValidation sqref="Y7:Y26" showDropDown="0" showInputMessage="0" showErrorMessage="1" allowBlank="1" errorTitle="Criticité" error="Saisir un entier de 1 à 3." type="whole" operator="between">
      <formula1>1</formula1>
      <formula2>3</formula2>
    </dataValidation>
  </dataValidation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worksheet>
</file>

<file path=xl/worksheets/sheet10.xml><?xml version="1.0" encoding="utf-8"?>
<worksheet xmlns="http://schemas.openxmlformats.org/spreadsheetml/2006/main">
  <sheetPr>
    <tabColor rgb="007F8C9A"/>
    <outlinePr summaryBelow="1" summaryRight="1"/>
    <pageSetUpPr fitToPage="1"/>
  </sheetPr>
  <dimension ref="A1:G43"/>
  <sheetViews>
    <sheetView showGridLines="0" workbookViewId="0">
      <pane ySplit="5" topLeftCell="A6" activePane="bottomLeft" state="frozen"/>
      <selection pane="bottomLeft" activeCell="A1" sqref="A1"/>
    </sheetView>
  </sheetViews>
  <sheetFormatPr baseColWidth="8" defaultRowHeight="15"/>
  <cols>
    <col width="18" customWidth="1" min="1" max="1"/>
    <col width="30" customWidth="1" min="2" max="2"/>
    <col width="40" customWidth="1" min="3" max="3"/>
    <col width="10" customWidth="1" min="4" max="4"/>
    <col width="26" customWidth="1" min="5" max="5"/>
    <col width="56" customWidth="1" min="6" max="6"/>
    <col width="22" customWidth="1" min="7" max="7"/>
  </cols>
  <sheetData>
    <row r="1" ht="30" customHeight="1">
      <c r="A1" s="1" t="inlineStr">
        <is>
          <t>GLOSSAIRE DES INDICATEURS ET RÈGLES DE GESTION</t>
        </is>
      </c>
      <c r="B1" s="2" t="n"/>
      <c r="C1" s="2" t="n"/>
      <c r="D1" s="2" t="n"/>
      <c r="E1" s="2" t="n"/>
      <c r="F1" s="2" t="n"/>
      <c r="G1" s="2" t="n"/>
    </row>
    <row r="2" ht="18" customHeight="1">
      <c r="A2" s="3" t="inlineStr">
        <is>
          <t>Définition, formule appliquée et interprétation de chaque indicateur produit par le classeur. Document de référence pour l'harmonisation des calculs entre ateliers.</t>
        </is>
      </c>
    </row>
    <row r="4" ht="20" customHeight="1">
      <c r="A4" s="4" t="inlineStr">
        <is>
          <t>1.  INDICATEURS DE PERFORMANCE</t>
        </is>
      </c>
      <c r="B4" s="5" t="n"/>
      <c r="C4" s="5" t="n"/>
      <c r="D4" s="5" t="n"/>
      <c r="E4" s="5" t="n"/>
      <c r="F4" s="5" t="n"/>
      <c r="G4" s="5" t="n"/>
    </row>
    <row r="5" ht="32" customHeight="1">
      <c r="A5" s="6" t="inlineStr">
        <is>
          <t>Indicateur</t>
        </is>
      </c>
      <c r="B5" s="6" t="inlineStr">
        <is>
          <t>Intitulé complet</t>
        </is>
      </c>
      <c r="C5" s="6" t="inlineStr">
        <is>
          <t>Formule appliquée</t>
        </is>
      </c>
      <c r="D5" s="6" t="inlineStr">
        <is>
          <t>Unité</t>
        </is>
      </c>
      <c r="E5" s="6" t="inlineStr">
        <is>
          <t>Données sources</t>
        </is>
      </c>
      <c r="F5" s="6" t="inlineStr">
        <is>
          <t>Interprétation et limites</t>
        </is>
      </c>
      <c r="G5" s="6" t="inlineStr">
        <is>
          <t>Référence</t>
        </is>
      </c>
    </row>
    <row r="6" ht="40" customHeight="1">
      <c r="A6" s="170" t="inlineStr">
        <is>
          <t>TRS</t>
        </is>
      </c>
      <c r="B6" s="171" t="inlineStr">
        <is>
          <t>Taux de rendement synthétique (OEE)</t>
        </is>
      </c>
      <c r="C6" s="171" t="inlineStr">
        <is>
          <t>Disponibilité × Performance × Qualité, soit Temps utile ÷ Temps requis</t>
        </is>
      </c>
      <c r="D6" s="171" t="inlineStr">
        <is>
          <t>%</t>
        </is>
      </c>
      <c r="E6" s="171" t="inlineStr">
        <is>
          <t>SAISIE_PROD colonnes AB, AE</t>
        </is>
      </c>
      <c r="F6" s="171" t="inlineStr">
        <is>
          <t>Part du temps requis réellement transformée en production bonne. Indicateur de synthèse de la performance d'un moyen.</t>
        </is>
      </c>
      <c r="G6" s="171" t="inlineStr">
        <is>
          <t>NF E60-182</t>
        </is>
      </c>
    </row>
    <row r="7" ht="40" customHeight="1">
      <c r="A7" s="172" t="inlineStr">
        <is>
          <t>Disponibilité</t>
        </is>
      </c>
      <c r="B7" s="173" t="inlineStr">
        <is>
          <t>Taux de disponibilité opérationnelle</t>
        </is>
      </c>
      <c r="C7" s="173" t="inlineStr">
        <is>
          <t>Temps de marche ÷ Temps requis</t>
        </is>
      </c>
      <c r="D7" s="173" t="inlineStr">
        <is>
          <t>%</t>
        </is>
      </c>
      <c r="E7" s="173" t="inlineStr">
        <is>
          <t>SAISIE_PROD colonnes AD, AB</t>
        </is>
      </c>
      <c r="F7" s="173" t="inlineStr">
        <is>
          <t>Mesure les arrêts subis. Un écart signale des pannes, des changements de série longs ou des ruptures d'approvisionnement.</t>
        </is>
      </c>
      <c r="G7" s="173" t="inlineStr">
        <is>
          <t>NF E60-182</t>
        </is>
      </c>
    </row>
    <row r="8" ht="40" customHeight="1">
      <c r="A8" s="170" t="inlineStr">
        <is>
          <t>Performance</t>
        </is>
      </c>
      <c r="B8" s="171" t="inlineStr">
        <is>
          <t>Taux de performance ou tenue de cadence</t>
        </is>
      </c>
      <c r="C8" s="171" t="inlineStr">
        <is>
          <t>(Quantité produite ÷ Cadence nominale) ÷ Temps de marche</t>
        </is>
      </c>
      <c r="D8" s="171" t="inlineStr">
        <is>
          <t>%</t>
        </is>
      </c>
      <c r="E8" s="171" t="inlineStr">
        <is>
          <t>SAISIE_PROD colonnes P, O, AD</t>
        </is>
      </c>
      <c r="F8" s="171" t="inlineStr">
        <is>
          <t>Mesure les pertes de vitesse et les micro-arrêts non déclarés. Dépend de la fiabilité de la cadence nominale du référentiel.</t>
        </is>
      </c>
      <c r="G8" s="171" t="inlineStr">
        <is>
          <t>NF E60-182</t>
        </is>
      </c>
    </row>
    <row r="9" ht="40" customHeight="1">
      <c r="A9" s="172" t="inlineStr">
        <is>
          <t>Qualité RFT</t>
        </is>
      </c>
      <c r="B9" s="173" t="inlineStr">
        <is>
          <t>Taux de qualité au premier passage (Right First Time)</t>
        </is>
      </c>
      <c r="C9" s="173" t="inlineStr">
        <is>
          <t>Quantité conforme au premier passage ÷ Quantité produite</t>
        </is>
      </c>
      <c r="D9" s="173" t="inlineStr">
        <is>
          <t>%</t>
        </is>
      </c>
      <c r="E9" s="173" t="inlineStr">
        <is>
          <t>SAISIE_PROD colonnes Q, P</t>
        </is>
      </c>
      <c r="F9" s="173" t="inlineStr">
        <is>
          <t>Exclut volontairement les pièces retouchées : une retouche consomme du temps et masque un défaut de procédé.</t>
        </is>
      </c>
      <c r="G9" s="173" t="inlineStr">
        <is>
          <t>IATF 16949 §9.1</t>
        </is>
      </c>
    </row>
    <row r="10" ht="40" customHeight="1">
      <c r="A10" s="170" t="inlineStr">
        <is>
          <t>TRG</t>
        </is>
      </c>
      <c r="B10" s="171" t="inlineStr">
        <is>
          <t>Taux de rendement global</t>
        </is>
      </c>
      <c r="C10" s="171" t="inlineStr">
        <is>
          <t>Temps utile ÷ Temps d'ouverture</t>
        </is>
      </c>
      <c r="D10" s="171" t="inlineStr">
        <is>
          <t>%</t>
        </is>
      </c>
      <c r="E10" s="171" t="inlineStr">
        <is>
          <t>SAISIE_PROD colonnes AE, F</t>
        </is>
      </c>
      <c r="F10" s="171" t="inlineStr">
        <is>
          <t>Intègre les arrêts planifiés. Indicateur de capacité : il répond à la question « que puis-je encore charger ? ».</t>
        </is>
      </c>
      <c r="G10" s="171" t="inlineStr">
        <is>
          <t>NF E60-182</t>
        </is>
      </c>
    </row>
    <row r="11" ht="40" customHeight="1">
      <c r="A11" s="172" t="inlineStr">
        <is>
          <t>Taux de service</t>
        </is>
      </c>
      <c r="B11" s="173" t="inlineStr">
        <is>
          <t>Respect du programme de production</t>
        </is>
      </c>
      <c r="C11" s="173" t="inlineStr">
        <is>
          <t>(Conforme + Retouché) ÷ Quantité demandée</t>
        </is>
      </c>
      <c r="D11" s="173" t="inlineStr">
        <is>
          <t>%</t>
        </is>
      </c>
      <c r="E11" s="173" t="inlineStr">
        <is>
          <t>SAISIE_PROD colonnes Q, R, T</t>
        </is>
      </c>
      <c r="F11" s="173" t="inlineStr">
        <is>
          <t>Mesure la tenue de l'engagement logistique. À distinguer du TRS : une ligne peut être performante et servir en retard.</t>
        </is>
      </c>
      <c r="G11" s="173" t="inlineStr">
        <is>
          <t>Contrat de service interne</t>
        </is>
      </c>
    </row>
    <row r="12" ht="40" customHeight="1">
      <c r="A12" s="170" t="inlineStr">
        <is>
          <t>PPM</t>
        </is>
      </c>
      <c r="B12" s="171" t="inlineStr">
        <is>
          <t>Non-conformités internes en parties par million</t>
        </is>
      </c>
      <c r="C12" s="171" t="inlineStr">
        <is>
          <t>(Produite − Conforme) ÷ Produite × 1 000 000</t>
        </is>
      </c>
      <c r="D12" s="171" t="inlineStr">
        <is>
          <t>ppm</t>
        </is>
      </c>
      <c r="E12" s="171" t="inlineStr">
        <is>
          <t>SAISIE_PROD colonnes P, Q</t>
        </is>
      </c>
      <c r="F12" s="171" t="inlineStr">
        <is>
          <t>Unité de référence des plans qualité. Permet de comparer des volumes de production hétérogènes.</t>
        </is>
      </c>
      <c r="G12" s="171" t="inlineStr">
        <is>
          <t>IATF 16949</t>
        </is>
      </c>
    </row>
    <row r="13" ht="40" customHeight="1">
      <c r="A13" s="172" t="inlineStr">
        <is>
          <t>MTBF</t>
        </is>
      </c>
      <c r="B13" s="173" t="inlineStr">
        <is>
          <t>Temps moyen de bon fonctionnement entre deux pannes</t>
        </is>
      </c>
      <c r="C13" s="173" t="inlineStr">
        <is>
          <t>Temps de marche ÷ Nombre de pannes</t>
        </is>
      </c>
      <c r="D13" s="173" t="inlineStr">
        <is>
          <t>min</t>
        </is>
      </c>
      <c r="E13" s="173" t="inlineStr">
        <is>
          <t>SAISIE_PROD colonnes AD, N</t>
        </is>
      </c>
      <c r="F13" s="173" t="inlineStr">
        <is>
          <t>Mesure la fiabilité du moyen. Un MTBF qui se dégrade annonce une défaillance de fond avant qu'elle ne devienne bloquante.</t>
        </is>
      </c>
      <c r="G13" s="173" t="inlineStr">
        <is>
          <t>NF EN 13306</t>
        </is>
      </c>
    </row>
    <row r="14" ht="40" customHeight="1">
      <c r="A14" s="170" t="inlineStr">
        <is>
          <t>MTTR</t>
        </is>
      </c>
      <c r="B14" s="171" t="inlineStr">
        <is>
          <t>Temps moyen de réparation</t>
        </is>
      </c>
      <c r="C14" s="171" t="inlineStr">
        <is>
          <t>Minutes de panne ÷ Nombre de pannes</t>
        </is>
      </c>
      <c r="D14" s="171" t="inlineStr">
        <is>
          <t>min</t>
        </is>
      </c>
      <c r="E14" s="171" t="inlineStr">
        <is>
          <t>SAISIE_PROD colonnes H, N</t>
        </is>
      </c>
      <c r="F14" s="171" t="inlineStr">
        <is>
          <t>Mesure la maintenabilité et la réactivité de la maintenance : diagnostic, pièces de rechange, procédure d'intervention.</t>
        </is>
      </c>
      <c r="G14" s="171" t="inlineStr">
        <is>
          <t>NF EN 13306</t>
        </is>
      </c>
    </row>
    <row r="15" ht="40" customHeight="1">
      <c r="A15" s="172" t="inlineStr">
        <is>
          <t>Taux de présence</t>
        </is>
      </c>
      <c r="B15" s="173" t="inlineStr">
        <is>
          <t>Présentéisme de l'effectif de production</t>
        </is>
      </c>
      <c r="C15" s="173" t="inlineStr">
        <is>
          <t>Effectif présent ÷ Effectif prévu</t>
        </is>
      </c>
      <c r="D15" s="173" t="inlineStr">
        <is>
          <t>%</t>
        </is>
      </c>
      <c r="E15" s="173" t="inlineStr">
        <is>
          <t>SAISIE_PROD colonnes V, U</t>
        </is>
      </c>
      <c r="F15" s="173" t="inlineStr">
        <is>
          <t>Contextualise les pertes de temps liées au manque de personnel et le recours aux heures supplémentaires.</t>
        </is>
      </c>
      <c r="G15" s="173" t="inlineStr">
        <is>
          <t>Suivi RH</t>
        </is>
      </c>
    </row>
    <row r="16" ht="40" customHeight="1">
      <c r="A16" s="170" t="inlineStr">
        <is>
          <t>Criticité (IPR)</t>
        </is>
      </c>
      <c r="B16" s="171" t="inlineStr">
        <is>
          <t>Indice de priorité du risque d'une action</t>
        </is>
      </c>
      <c r="C16" s="171" t="inlineStr">
        <is>
          <t>Gravité × Fréquence × Détection (échelle 1 à 5)</t>
        </is>
      </c>
      <c r="D16" s="171" t="inlineStr">
        <is>
          <t>sans unité</t>
        </is>
      </c>
      <c r="E16" s="171" t="inlineStr">
        <is>
          <t>PLAN_ACTIONS colonnes F, G, H</t>
        </is>
      </c>
      <c r="F16" s="171" t="inlineStr">
        <is>
          <t>Hiérarchise les actions. Un IPR ≥ 30 impose un traitement prioritaire et une vérification d'efficacité tracée.</t>
        </is>
      </c>
      <c r="G16" s="171" t="inlineStr">
        <is>
          <t>Méthode AMDEC</t>
        </is>
      </c>
    </row>
    <row r="17" ht="40" customHeight="1">
      <c r="A17" s="172" t="inlineStr">
        <is>
          <t>Respect des délais</t>
        </is>
      </c>
      <c r="B17" s="173" t="inlineStr">
        <is>
          <t>Tenue des engagements du plan d'actions</t>
        </is>
      </c>
      <c r="C17" s="173" t="inlineStr">
        <is>
          <t>Actions terminées sans retard ÷ Actions terminées</t>
        </is>
      </c>
      <c r="D17" s="173" t="inlineStr">
        <is>
          <t>%</t>
        </is>
      </c>
      <c r="E17" s="173" t="inlineStr">
        <is>
          <t>PLAN_ACTIONS colonnes Q, S</t>
        </is>
      </c>
      <c r="F17" s="173" t="inlineStr">
        <is>
          <t>Mesure la crédibilité du plan d'actions. Un taux faible traduit un surengagement plutôt qu'un manque de moyens.</t>
        </is>
      </c>
      <c r="G17" s="173" t="inlineStr">
        <is>
          <t>Règle d'animation QRQC</t>
        </is>
      </c>
    </row>
    <row r="18" ht="40" customHeight="1">
      <c r="A18" s="170" t="inlineStr">
        <is>
          <t>Taux de polyvalence</t>
        </is>
      </c>
      <c r="B18" s="171" t="inlineStr">
        <is>
          <t>Niveau de maîtrise moyen de l'équipe</t>
        </is>
      </c>
      <c r="C18" s="171" t="inlineStr">
        <is>
          <t>Somme des niveaux ÷ (4 × nombre de postes × effectif)</t>
        </is>
      </c>
      <c r="D18" s="171" t="inlineStr">
        <is>
          <t>%</t>
        </is>
      </c>
      <c r="E18" s="171" t="inlineStr">
        <is>
          <t>POLYVALENCE colonnes E à P</t>
        </is>
      </c>
      <c r="F18" s="171" t="inlineStr">
        <is>
          <t>Mesure la flexibilité de l'équipe. À lire avec la couverture par poste : une moyenne correcte peut masquer un poste tenu par une seule personne.</t>
        </is>
      </c>
      <c r="G18" s="171" t="inlineStr">
        <is>
          <t>Échelle ILUO</t>
        </is>
      </c>
    </row>
    <row r="19" ht="40" customHeight="1">
      <c r="A19" s="172" t="inlineStr">
        <is>
          <t>Mono-compétence</t>
        </is>
      </c>
      <c r="B19" s="173" t="inlineStr">
        <is>
          <t>Poste tenu par une seule personne autonome</t>
        </is>
      </c>
      <c r="C19" s="173" t="inlineStr">
        <is>
          <t>Effectif de niveau ≥ 3 sur le poste ≤ 1</t>
        </is>
      </c>
      <c r="D19" s="173" t="inlineStr">
        <is>
          <t>oui / non</t>
        </is>
      </c>
      <c r="E19" s="173" t="inlineStr">
        <is>
          <t>POLYVALENCE ligne de synthèse</t>
        </is>
      </c>
      <c r="F19" s="173" t="inlineStr">
        <is>
          <t>Risque majeur de rupture d'activité en cas d'absence. Doit déclencher un plan de formation daté.</t>
        </is>
      </c>
      <c r="G19" s="173" t="inlineStr">
        <is>
          <t>Analyse de risque compétences</t>
        </is>
      </c>
    </row>
    <row r="20" ht="40" customHeight="1">
      <c r="A20" s="170" t="inlineStr">
        <is>
          <t>Score 5S</t>
        </is>
      </c>
      <c r="B20" s="171" t="inlineStr">
        <is>
          <t>Niveau de tenue de la zone</t>
        </is>
      </c>
      <c r="C20" s="171" t="inlineStr">
        <is>
          <t>Somme des notes pondérées ÷ Somme des notes pondérées maximales</t>
        </is>
      </c>
      <c r="D20" s="171" t="inlineStr">
        <is>
          <t>%</t>
        </is>
      </c>
      <c r="E20" s="171" t="inlineStr">
        <is>
          <t>AUDIT_5S colonnes D à F</t>
        </is>
      </c>
      <c r="F20" s="171" t="inlineStr">
        <is>
          <t>La pondération permet d'accorder plus de poids aux critères critiques pour la zone auditée qu'aux critères de confort.</t>
        </is>
      </c>
      <c r="G20" s="171" t="inlineStr">
        <is>
          <t>Standard 5S du site</t>
        </is>
      </c>
    </row>
    <row r="21" ht="40" customHeight="1">
      <c r="A21" s="172" t="inlineStr">
        <is>
          <t>Limites de contrôle</t>
        </is>
      </c>
      <c r="B21" s="173" t="inlineStr">
        <is>
          <t>Bornes de variation courante du procédé</t>
        </is>
      </c>
      <c r="C21" s="173" t="inlineStr">
        <is>
          <t>Moyenne des TRS journaliers ± 2 écarts-types</t>
        </is>
      </c>
      <c r="D21" s="173" t="inlineStr">
        <is>
          <t>%</t>
        </is>
      </c>
      <c r="E21" s="173" t="inlineStr">
        <is>
          <t>CALC colonnes V4 à V7</t>
        </is>
      </c>
      <c r="F21" s="173" t="inlineStr">
        <is>
          <t>Un point hors limite signale une cause spéciale à investiguer ; à l'intérieur, la variation est courante et ne justifie pas de réaction ponctuelle.</t>
        </is>
      </c>
      <c r="G21" s="173" t="inlineStr">
        <is>
          <t>Maîtrise statistique des procédés</t>
        </is>
      </c>
    </row>
    <row r="23" ht="20" customHeight="1">
      <c r="A23" s="4" t="inlineStr">
        <is>
          <t>2.  CASCADE DES TEMPS  —  décomposition normalisée</t>
        </is>
      </c>
      <c r="B23" s="5" t="n"/>
      <c r="C23" s="5" t="n"/>
      <c r="D23" s="5" t="n"/>
      <c r="E23" s="5" t="n"/>
      <c r="F23" s="5" t="n"/>
      <c r="G23" s="5" t="n"/>
    </row>
    <row r="24" ht="20" customHeight="1">
      <c r="A24" s="134" t="inlineStr">
        <is>
          <t>Temps d'ouverture (TO)</t>
        </is>
      </c>
      <c r="B24" s="114" t="n"/>
      <c r="C24" s="174" t="inlineStr">
        <is>
          <t>Temps pendant lequel le moyen est mis à disposition de la production.</t>
        </is>
      </c>
      <c r="D24" s="114" t="n"/>
      <c r="E24" s="114" t="n"/>
      <c r="F24" s="114" t="n"/>
      <c r="G24" s="114" t="n"/>
    </row>
    <row r="25" ht="20" customHeight="1">
      <c r="A25" s="60" t="inlineStr">
        <is>
          <t>− Arrêts planifiés</t>
        </is>
      </c>
      <c r="B25" s="11" t="n"/>
      <c r="C25" s="10" t="inlineStr">
        <is>
          <t>Pauses légales, maintenance préventive planifiée, réunions et formations programmées.</t>
        </is>
      </c>
      <c r="D25" s="11" t="n"/>
      <c r="E25" s="11" t="n"/>
      <c r="F25" s="11" t="n"/>
      <c r="G25" s="11" t="n"/>
    </row>
    <row r="26" ht="20" customHeight="1">
      <c r="A26" s="134" t="inlineStr">
        <is>
          <t>= Temps requis (TR)</t>
        </is>
      </c>
      <c r="B26" s="114" t="n"/>
      <c r="C26" s="174" t="inlineStr">
        <is>
          <t>Temps pendant lequel la production est attendue. Dénominateur du TRS.</t>
        </is>
      </c>
      <c r="D26" s="114" t="n"/>
      <c r="E26" s="114" t="n"/>
      <c r="F26" s="114" t="n"/>
      <c r="G26" s="114" t="n"/>
    </row>
    <row r="27" ht="20" customHeight="1">
      <c r="A27" s="60" t="inlineStr">
        <is>
          <t>− Arrêts subis</t>
        </is>
      </c>
      <c r="B27" s="11" t="n"/>
      <c r="C27" s="10" t="inlineStr">
        <is>
          <t>Pannes, changements de série, réglages et micro-arrêts, manque matière, manque personnel, autres aléas.</t>
        </is>
      </c>
      <c r="D27" s="11" t="n"/>
      <c r="E27" s="11" t="n"/>
      <c r="F27" s="11" t="n"/>
      <c r="G27" s="11" t="n"/>
    </row>
    <row r="28" ht="20" customHeight="1">
      <c r="A28" s="134" t="inlineStr">
        <is>
          <t>= Temps de marche (TF)</t>
        </is>
      </c>
      <c r="B28" s="114" t="n"/>
      <c r="C28" s="174" t="inlineStr">
        <is>
          <t>Temps pendant lequel le moyen produit effectivement. TF ÷ TR = disponibilité.</t>
        </is>
      </c>
      <c r="D28" s="114" t="n"/>
      <c r="E28" s="114" t="n"/>
      <c r="F28" s="114" t="n"/>
      <c r="G28" s="114" t="n"/>
    </row>
    <row r="29" ht="20" customHeight="1">
      <c r="A29" s="60" t="inlineStr">
        <is>
          <t>− Perte de cadence</t>
        </is>
      </c>
      <c r="B29" s="11" t="n"/>
      <c r="C29" s="10" t="inlineStr">
        <is>
          <t>Écart entre la production réelle et la production théorique à la cadence nominale.</t>
        </is>
      </c>
      <c r="D29" s="11" t="n"/>
      <c r="E29" s="11" t="n"/>
      <c r="F29" s="11" t="n"/>
      <c r="G29" s="11" t="n"/>
    </row>
    <row r="30" ht="20" customHeight="1">
      <c r="A30" s="60" t="inlineStr">
        <is>
          <t>− Pertes de non-qualité</t>
        </is>
      </c>
      <c r="B30" s="11" t="n"/>
      <c r="C30" s="10" t="inlineStr">
        <is>
          <t>Temps consommé à produire les pièces non conformes au premier passage.</t>
        </is>
      </c>
      <c r="D30" s="11" t="n"/>
      <c r="E30" s="11" t="n"/>
      <c r="F30" s="11" t="n"/>
      <c r="G30" s="11" t="n"/>
    </row>
    <row r="31" ht="20" customHeight="1">
      <c r="A31" s="134" t="inlineStr">
        <is>
          <t>= Temps utile (TU)</t>
        </is>
      </c>
      <c r="B31" s="114" t="n"/>
      <c r="C31" s="174" t="inlineStr">
        <is>
          <t>Temps équivalent de production bonne à cadence nominale. TU ÷ TR = TRS.</t>
        </is>
      </c>
      <c r="D31" s="114" t="n"/>
      <c r="E31" s="114" t="n"/>
      <c r="F31" s="114" t="n"/>
      <c r="G31" s="114" t="n"/>
    </row>
    <row r="33" ht="20" customHeight="1">
      <c r="A33" s="4" t="inlineStr">
        <is>
          <t>3.  RÈGLES DE GESTION DU CLASSEUR</t>
        </is>
      </c>
      <c r="B33" s="5" t="n"/>
      <c r="C33" s="5" t="n"/>
      <c r="D33" s="5" t="n"/>
      <c r="E33" s="5" t="n"/>
      <c r="F33" s="5" t="n"/>
      <c r="G33" s="5" t="n"/>
    </row>
    <row r="34" ht="30" customHeight="1">
      <c r="A34" s="170" t="inlineStr">
        <is>
          <t>Unité de temps</t>
        </is>
      </c>
      <c r="B34" s="11" t="n"/>
      <c r="C34" s="171" t="inlineStr">
        <is>
          <t>Toutes les durées sont saisies en minutes entières. Le classeur ne convertit pas les heures.</t>
        </is>
      </c>
      <c r="D34" s="11" t="n"/>
      <c r="E34" s="11" t="n"/>
      <c r="F34" s="11" t="n"/>
      <c r="G34" s="11" t="n"/>
    </row>
    <row r="35" ht="30" customHeight="1">
      <c r="A35" s="172" t="inlineStr">
        <is>
          <t>Granularité</t>
        </is>
      </c>
      <c r="B35" s="14" t="n"/>
      <c r="C35" s="173" t="inlineStr">
        <is>
          <t>Une ligne de SAISIE_PROD par couple (jour, ligne, équipe). Un enregistrement de ARRETS par arrêt élémentaire.</t>
        </is>
      </c>
      <c r="D35" s="14" t="n"/>
      <c r="E35" s="14" t="n"/>
      <c r="F35" s="14" t="n"/>
      <c r="G35" s="14" t="n"/>
    </row>
    <row r="36" ht="30" customHeight="1">
      <c r="A36" s="170" t="inlineStr">
        <is>
          <t>Cohérence des quantités</t>
        </is>
      </c>
      <c r="B36" s="11" t="n"/>
      <c r="C36" s="171" t="inlineStr">
        <is>
          <t>Quantité produite = conforme au premier passage + retouchée + rebutée. La colonne de contrôle de SAISIE_PROD signale tout écart.</t>
        </is>
      </c>
      <c r="D36" s="11" t="n"/>
      <c r="E36" s="11" t="n"/>
      <c r="F36" s="11" t="n"/>
      <c r="G36" s="11" t="n"/>
    </row>
    <row r="37" ht="30" customHeight="1">
      <c r="A37" s="172" t="inlineStr">
        <is>
          <t>Cohérence des temps</t>
        </is>
      </c>
      <c r="B37" s="14" t="n"/>
      <c r="C37" s="173" t="inlineStr">
        <is>
          <t>Temps d'ouverture = arrêts planifiés + arrêts subis + temps de marche. La somme des arrêts ne peut pas dépasser le temps requis.</t>
        </is>
      </c>
      <c r="D37" s="14" t="n"/>
      <c r="E37" s="14" t="n"/>
      <c r="F37" s="14" t="n"/>
      <c r="G37" s="14" t="n"/>
    </row>
    <row r="38" ht="30" customHeight="1">
      <c r="A38" s="170" t="inlineStr">
        <is>
          <t>Arrêts planifiés</t>
        </is>
      </c>
      <c r="B38" s="11" t="n"/>
      <c r="C38" s="171" t="inlineStr">
        <is>
          <t>Pauses, maintenance préventive et réunions planifiées sont exclues du temps requis : elles n'affectent pas le TRS mais pèsent sur le TRG.</t>
        </is>
      </c>
      <c r="D38" s="11" t="n"/>
      <c r="E38" s="11" t="n"/>
      <c r="F38" s="11" t="n"/>
      <c r="G38" s="11" t="n"/>
    </row>
    <row r="39" ht="30" customHeight="1">
      <c r="A39" s="172" t="inlineStr">
        <is>
          <t>Cadence nominale</t>
        </is>
      </c>
      <c r="B39" s="14" t="n"/>
      <c r="C39" s="173" t="inlineStr">
        <is>
          <t>Elle provient du référentiel produits et non d'une saisie de poste : c'est la référence contractuelle qui rend les taux de performance comparables entre eux.</t>
        </is>
      </c>
      <c r="D39" s="14" t="n"/>
      <c r="E39" s="14" t="n"/>
      <c r="F39" s="14" t="n"/>
      <c r="G39" s="14" t="n"/>
    </row>
    <row r="40" ht="30" customHeight="1">
      <c r="A40" s="170" t="inlineStr">
        <is>
          <t>Arrêt de nuit</t>
        </is>
      </c>
      <c r="B40" s="11" t="n"/>
      <c r="C40" s="171" t="inlineStr">
        <is>
          <t>Un arrêt dont l'heure de fin est antérieure à l'heure de début est traité comme un franchissement de minuit.</t>
        </is>
      </c>
      <c r="D40" s="11" t="n"/>
      <c r="E40" s="11" t="n"/>
      <c r="F40" s="11" t="n"/>
      <c r="G40" s="11" t="n"/>
    </row>
    <row r="41" ht="30" customHeight="1">
      <c r="A41" s="172" t="inlineStr">
        <is>
          <t>Périmètre du cockpit</t>
        </is>
      </c>
      <c r="B41" s="14" t="n"/>
      <c r="C41" s="173" t="inlineStr">
        <is>
          <t>Les filtres Ligne et Équipe s'appliquent aux cartes d'indicateurs, au suivi journalier, au Pareto, à la cascade des pertes et à l'historique. Les graphiques de comparaison « TRS par ligne » et « TRS par équipe » restent volontairement hors filtre pour permettre la comparaison ; le plan d'actions et l'audit 5S sont suivis globalement.</t>
        </is>
      </c>
      <c r="D41" s="14" t="n"/>
      <c r="E41" s="14" t="n"/>
      <c r="F41" s="14" t="n"/>
      <c r="G41" s="14" t="n"/>
    </row>
    <row r="42" ht="30" customHeight="1">
      <c r="A42" s="170" t="inlineStr">
        <is>
          <t>Historique</t>
        </is>
      </c>
      <c r="B42" s="11" t="n"/>
      <c r="C42" s="171" t="inlineStr">
        <is>
          <t>Le classeur conserve 200 lignes de saisie et 400 arrêts, soit environ 5 mois d'exploitation sur deux lignes. Au-delà, archiver une copie du fichier par exercice.</t>
        </is>
      </c>
      <c r="D42" s="11" t="n"/>
      <c r="E42" s="11" t="n"/>
      <c r="F42" s="11" t="n"/>
      <c r="G42" s="11" t="n"/>
    </row>
    <row r="43" ht="30" customHeight="1">
      <c r="A43" s="172" t="inlineStr">
        <is>
          <t>Confidentialité</t>
        </is>
      </c>
      <c r="B43" s="14" t="n"/>
      <c r="C43" s="173" t="inlineStr">
        <is>
          <t>La matrice de polyvalence contient des données nominatives : en restreindre la diffusion au responsable de production et à la fonction RH.</t>
        </is>
      </c>
      <c r="D43" s="14" t="n"/>
      <c r="E43" s="14" t="n"/>
      <c r="F43" s="14" t="n"/>
      <c r="G43" s="14" t="n"/>
    </row>
  </sheetData>
  <mergeCells count="41">
    <mergeCell ref="A24:B24"/>
    <mergeCell ref="A30:B30"/>
    <mergeCell ref="C30:G30"/>
    <mergeCell ref="C34:G34"/>
    <mergeCell ref="C24:G24"/>
    <mergeCell ref="C42:G42"/>
    <mergeCell ref="A4:G4"/>
    <mergeCell ref="A36:B36"/>
    <mergeCell ref="C26:G26"/>
    <mergeCell ref="C29:G29"/>
    <mergeCell ref="A33:G33"/>
    <mergeCell ref="C35:G35"/>
    <mergeCell ref="A25:B25"/>
    <mergeCell ref="A41:B41"/>
    <mergeCell ref="C25:G25"/>
    <mergeCell ref="A37:B37"/>
    <mergeCell ref="C41:G41"/>
    <mergeCell ref="C31:G31"/>
    <mergeCell ref="A27:B27"/>
    <mergeCell ref="C40:G40"/>
    <mergeCell ref="A26:B26"/>
    <mergeCell ref="A1:G1"/>
    <mergeCell ref="C43:G43"/>
    <mergeCell ref="A42:B42"/>
    <mergeCell ref="C27:G27"/>
    <mergeCell ref="C36:G36"/>
    <mergeCell ref="C39:G39"/>
    <mergeCell ref="A35:B35"/>
    <mergeCell ref="A38:B38"/>
    <mergeCell ref="A29:B29"/>
    <mergeCell ref="A43:B43"/>
    <mergeCell ref="C38:G38"/>
    <mergeCell ref="A28:B28"/>
    <mergeCell ref="C28:G28"/>
    <mergeCell ref="A2:G2"/>
    <mergeCell ref="C37:G37"/>
    <mergeCell ref="A40:B40"/>
    <mergeCell ref="A31:B31"/>
    <mergeCell ref="A39:B39"/>
    <mergeCell ref="A34:B34"/>
    <mergeCell ref="A23:G23"/>
  </mergeCell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worksheet>
</file>

<file path=xl/worksheets/sheet11.xml><?xml version="1.0" encoding="utf-8"?>
<worksheet xmlns="http://schemas.openxmlformats.org/spreadsheetml/2006/main">
  <sheetPr>
    <tabColor rgb="008A9AA8"/>
    <outlinePr summaryBelow="1" summaryRight="1"/>
    <pageSetUpPr fitToPage="1"/>
  </sheetPr>
  <dimension ref="A1:V156"/>
  <sheetViews>
    <sheetView showGridLines="0" workbookViewId="0">
      <selection activeCell="A1" sqref="A1"/>
    </sheetView>
  </sheetViews>
  <sheetFormatPr baseColWidth="8" defaultRowHeight="15"/>
  <cols>
    <col width="30" customWidth="1" min="1" max="1"/>
    <col width="14" customWidth="1" min="2" max="2"/>
    <col width="13" customWidth="1" min="3" max="3"/>
    <col width="13" customWidth="1" min="4" max="4"/>
    <col width="14" customWidth="1" min="5" max="5"/>
    <col width="26" customWidth="1" min="6" max="6"/>
    <col width="13" customWidth="1" min="7" max="7"/>
    <col width="12" customWidth="1" min="8" max="8"/>
    <col width="13" customWidth="1" min="9" max="9"/>
    <col width="13" customWidth="1" min="10" max="10"/>
    <col width="11" customWidth="1" min="11" max="11"/>
    <col width="13" customWidth="1" min="12" max="12"/>
    <col width="11" customWidth="1" min="13" max="13"/>
    <col width="11" customWidth="1" min="14" max="14"/>
    <col width="15" customWidth="1" min="15" max="15"/>
    <col width="10" customWidth="1" min="16" max="16"/>
    <col width="10" customWidth="1" min="17" max="17"/>
    <col width="14" customWidth="1" min="18" max="18"/>
    <col width="16" customWidth="1" min="19" max="19"/>
    <col width="30" customWidth="1" min="21" max="21"/>
    <col width="14" customWidth="1" min="22" max="22"/>
    <col width="32" customWidth="1" min="24" max="24"/>
  </cols>
  <sheetData>
    <row r="1" ht="30" customHeight="1">
      <c r="A1" s="1" t="inlineStr">
        <is>
          <t>MOTEUR DE CALCUL  —  feuille technique, ne pas modifier</t>
        </is>
      </c>
      <c r="B1" s="2" t="n"/>
      <c r="C1" s="2" t="n"/>
      <c r="D1" s="2" t="n"/>
      <c r="E1" s="2" t="n"/>
      <c r="F1" s="2" t="n"/>
      <c r="G1" s="2" t="n"/>
      <c r="H1" s="2" t="n"/>
      <c r="I1" s="2" t="n"/>
      <c r="J1" s="2" t="n"/>
      <c r="K1" s="2" t="n"/>
      <c r="L1" s="2" t="n"/>
      <c r="M1" s="2" t="n"/>
      <c r="N1" s="2" t="n"/>
      <c r="O1" s="2" t="n"/>
      <c r="P1" s="2" t="n"/>
      <c r="Q1" s="2" t="n"/>
      <c r="R1" s="2" t="n"/>
      <c r="S1" s="2" t="n"/>
      <c r="T1" s="2" t="n"/>
    </row>
    <row r="2" ht="18" customHeight="1">
      <c r="A2" s="3" t="inlineStr">
        <is>
          <t>Cette feuille agrège les données de saisie selon les filtres du cockpit et alimente l'ensemble des graphiques. Toute modification manuelle fausse le tableau de bord.</t>
        </is>
      </c>
      <c r="U2" s="175" t="inlineStr">
        <is>
          <t>REPÈRES STATISTIQUES  (colonne V)</t>
        </is>
      </c>
    </row>
    <row r="3">
      <c r="A3" s="176" t="inlineStr">
        <is>
          <t>Année</t>
        </is>
      </c>
      <c r="B3" s="177">
        <f>COCKPIT!$B$4</f>
        <v/>
      </c>
      <c r="U3" s="176" t="inlineStr">
        <is>
          <t>Cible TRS</t>
        </is>
      </c>
      <c r="V3" s="178">
        <f>INDEX(PARAMETRES!$D$16:$D$29,MATCH("TRS",PARAMETRES!$A$16:$A$29,0))</f>
        <v/>
      </c>
    </row>
    <row r="4">
      <c r="A4" s="176" t="inlineStr">
        <is>
          <t>Mois</t>
        </is>
      </c>
      <c r="B4" s="177">
        <f>COCKPIT!$D$4</f>
        <v/>
      </c>
      <c r="U4" s="176" t="inlineStr">
        <is>
          <t>Moyenne des TRS journaliers</t>
        </is>
      </c>
      <c r="V4" s="178">
        <f>IFERROR(AVERAGE($M$12:$M$42),"")</f>
        <v/>
      </c>
    </row>
    <row r="5">
      <c r="A5" s="176" t="inlineStr">
        <is>
          <t>Ligne</t>
        </is>
      </c>
      <c r="B5" s="179">
        <f>COCKPIT!$H$4</f>
        <v/>
      </c>
      <c r="U5" s="176" t="inlineStr">
        <is>
          <t>Écart-type des TRS journaliers</t>
        </is>
      </c>
      <c r="V5" s="178">
        <f>IFERROR(STDEV($M$12:$M$42),"")</f>
        <v/>
      </c>
    </row>
    <row r="6">
      <c r="A6" s="176" t="inlineStr">
        <is>
          <t>Équipe</t>
        </is>
      </c>
      <c r="B6" s="179">
        <f>COCKPIT!$K$4</f>
        <v/>
      </c>
      <c r="U6" s="176" t="inlineStr">
        <is>
          <t>Limite de contrôle supérieure (moy. + 2σ)</t>
        </is>
      </c>
      <c r="V6" s="178">
        <f>IFERROR(MIN(1,$V$4+2*$V$5),"")</f>
        <v/>
      </c>
    </row>
    <row r="7">
      <c r="A7" s="176" t="inlineStr">
        <is>
          <t>Début de période</t>
        </is>
      </c>
      <c r="B7" s="180">
        <f>DATE($B$3,$B$4,1)</f>
        <v/>
      </c>
      <c r="U7" s="176" t="inlineStr">
        <is>
          <t>Limite de contrôle inférieure (moy. - 2σ)</t>
        </is>
      </c>
      <c r="V7" s="178">
        <f>IFERROR(MAX(0,$V$4-2*$V$5),"")</f>
        <v/>
      </c>
    </row>
    <row r="8">
      <c r="A8" s="176" t="inlineStr">
        <is>
          <t>Fin de période</t>
        </is>
      </c>
      <c r="B8" s="180">
        <f>EOMONTH($B$7,0)</f>
        <v/>
      </c>
      <c r="U8" s="176" t="inlineStr">
        <is>
          <t>Temps d'ouverture TO (min)</t>
        </is>
      </c>
      <c r="V8" s="181">
        <f>SUMIFS(SAISIE_PROD!$F$5:$F$204,SAISIE_PROD!$A$5:$A$204,"&gt;="&amp;$B$7,SAISIE_PROD!$A$5:$A$204,"&lt;="&amp;$B$8,SAISIE_PROD!$AS$5:$AS$204,1)</f>
        <v/>
      </c>
    </row>
    <row r="9">
      <c r="A9" s="176" t="inlineStr">
        <is>
          <t>Jours de production saisis</t>
        </is>
      </c>
      <c r="B9" s="177">
        <f>COUNT($M$12:$M$42)</f>
        <v/>
      </c>
      <c r="U9" s="176" t="inlineStr">
        <is>
          <t>Arrêts planifiés (min)</t>
        </is>
      </c>
      <c r="V9" s="181">
        <f>SUMIFS(SAISIE_PROD!$G$5:$G$204,SAISIE_PROD!$A$5:$A$204,"&gt;="&amp;$B$7,SAISIE_PROD!$A$5:$A$204,"&lt;="&amp;$B$8,SAISIE_PROD!$AS$5:$AS$204,1)</f>
        <v/>
      </c>
    </row>
    <row r="10" ht="20" customHeight="1">
      <c r="A10" s="4" t="inlineStr">
        <is>
          <t>SÉRIE JOURNALIÈRE DU MOIS SÉLECTIONNÉ</t>
        </is>
      </c>
      <c r="B10" s="5" t="n"/>
      <c r="C10" s="5" t="n"/>
      <c r="D10" s="5" t="n"/>
      <c r="E10" s="5" t="n"/>
      <c r="F10" s="5" t="n"/>
      <c r="G10" s="5" t="n"/>
      <c r="H10" s="5" t="n"/>
      <c r="I10" s="5" t="n"/>
      <c r="J10" s="5" t="n"/>
      <c r="K10" s="5" t="n"/>
      <c r="L10" s="5" t="n"/>
      <c r="M10" s="5" t="n"/>
      <c r="N10" s="5" t="n"/>
      <c r="O10" s="5" t="n"/>
      <c r="P10" s="5" t="n"/>
      <c r="Q10" s="5" t="n"/>
      <c r="R10" s="5" t="n"/>
      <c r="S10" s="5" t="n"/>
      <c r="U10" s="176" t="inlineStr">
        <is>
          <t>Pannes (min)</t>
        </is>
      </c>
      <c r="V10" s="181">
        <f>SUMIFS(SAISIE_PROD!$H$5:$H$204,SAISIE_PROD!$A$5:$A$204,"&gt;="&amp;$B$7,SAISIE_PROD!$A$5:$A$204,"&lt;="&amp;$B$8,SAISIE_PROD!$AS$5:$AS$204,1)</f>
        <v/>
      </c>
    </row>
    <row r="11" ht="34" customHeight="1">
      <c r="A11" s="6" t="inlineStr">
        <is>
          <t>Jour</t>
        </is>
      </c>
      <c r="B11" s="6" t="inlineStr">
        <is>
          <t>Date</t>
        </is>
      </c>
      <c r="C11" s="6" t="inlineStr">
        <is>
          <t>Temps utile</t>
        </is>
      </c>
      <c r="D11" s="6" t="inlineStr">
        <is>
          <t>Temps requis</t>
        </is>
      </c>
      <c r="E11" s="6" t="inlineStr">
        <is>
          <t>Temps de marche</t>
        </is>
      </c>
      <c r="F11" s="6" t="inlineStr">
        <is>
          <t>Temps d'ouverture</t>
        </is>
      </c>
      <c r="G11" s="6" t="inlineStr">
        <is>
          <t>Qté produite</t>
        </is>
      </c>
      <c r="H11" s="6" t="inlineStr">
        <is>
          <t>Qté conforme</t>
        </is>
      </c>
      <c r="I11" s="6" t="inlineStr">
        <is>
          <t>Qté retouchée</t>
        </is>
      </c>
      <c r="J11" s="6" t="inlineStr">
        <is>
          <t>Qté demandée</t>
        </is>
      </c>
      <c r="K11" s="6" t="inlineStr">
        <is>
          <t>Accidents</t>
        </is>
      </c>
      <c r="L11" s="6" t="inlineStr">
        <is>
          <t>Arrêts subis</t>
        </is>
      </c>
      <c r="M11" s="6" t="inlineStr">
        <is>
          <t>TRS</t>
        </is>
      </c>
      <c r="N11" s="6" t="inlineStr">
        <is>
          <t>Cible</t>
        </is>
      </c>
      <c r="O11" s="6" t="inlineStr">
        <is>
          <t>Moyenne mobile 7 j</t>
        </is>
      </c>
      <c r="P11" s="6" t="inlineStr">
        <is>
          <t>LCS</t>
        </is>
      </c>
      <c r="Q11" s="6" t="inlineStr">
        <is>
          <t>LCI</t>
        </is>
      </c>
      <c r="R11" s="6" t="inlineStr">
        <is>
          <t>TRS (graphique)</t>
        </is>
      </c>
      <c r="S11" s="6" t="inlineStr">
        <is>
          <t>Moyenne mobile (graphique)</t>
        </is>
      </c>
      <c r="U11" s="176" t="inlineStr">
        <is>
          <t>Changement de série (min)</t>
        </is>
      </c>
      <c r="V11" s="181">
        <f>SUMIFS(SAISIE_PROD!$I$5:$I$204,SAISIE_PROD!$A$5:$A$204,"&gt;="&amp;$B$7,SAISIE_PROD!$A$5:$A$204,"&lt;="&amp;$B$8,SAISIE_PROD!$AS$5:$AS$204,1)</f>
        <v/>
      </c>
    </row>
    <row r="12" ht="14" customHeight="1">
      <c r="A12" s="147" t="n">
        <v>1</v>
      </c>
      <c r="B12" s="182">
        <f>IF($A12&gt;DAY($B$8),"",DATE($B$3,$B$4,$A12))</f>
        <v/>
      </c>
      <c r="C12" s="183">
        <f>IF($B12="","",SUMIFS(SAISIE_PROD!$AE$5:$AE$204,SAISIE_PROD!$A$5:$A$204,$B12,SAISIE_PROD!$AS$5:$AS$204,1))</f>
        <v/>
      </c>
      <c r="D12" s="183">
        <f>IF($B12="","",SUMIFS(SAISIE_PROD!$AB$5:$AB$204,SAISIE_PROD!$A$5:$A$204,$B12,SAISIE_PROD!$AS$5:$AS$204,1))</f>
        <v/>
      </c>
      <c r="E12" s="183">
        <f>IF($B12="","",SUMIFS(SAISIE_PROD!$AD$5:$AD$204,SAISIE_PROD!$A$5:$A$204,$B12,SAISIE_PROD!$AS$5:$AS$204,1))</f>
        <v/>
      </c>
      <c r="F12" s="183">
        <f>IF($B12="","",SUMIFS(SAISIE_PROD!$F$5:$F$204,SAISIE_PROD!$A$5:$A$204,$B12,SAISIE_PROD!$AS$5:$AS$204,1))</f>
        <v/>
      </c>
      <c r="G12" s="183">
        <f>IF($B12="","",SUMIFS(SAISIE_PROD!$P$5:$P$204,SAISIE_PROD!$A$5:$A$204,$B12,SAISIE_PROD!$AS$5:$AS$204,1))</f>
        <v/>
      </c>
      <c r="H12" s="183">
        <f>IF($B12="","",SUMIFS(SAISIE_PROD!$Q$5:$Q$204,SAISIE_PROD!$A$5:$A$204,$B12,SAISIE_PROD!$AS$5:$AS$204,1))</f>
        <v/>
      </c>
      <c r="I12" s="183">
        <f>IF($B12="","",SUMIFS(SAISIE_PROD!$R$5:$R$204,SAISIE_PROD!$A$5:$A$204,$B12,SAISIE_PROD!$AS$5:$AS$204,1))</f>
        <v/>
      </c>
      <c r="J12" s="183">
        <f>IF($B12="","",SUMIFS(SAISIE_PROD!$T$5:$T$204,SAISIE_PROD!$A$5:$A$204,$B12,SAISIE_PROD!$AS$5:$AS$204,1))</f>
        <v/>
      </c>
      <c r="K12" s="183">
        <f>IF($B12="","",SUMIFS(SAISIE_PROD!$X$5:$X$204,SAISIE_PROD!$A$5:$A$204,$B12,SAISIE_PROD!$AS$5:$AS$204,1))</f>
        <v/>
      </c>
      <c r="L12" s="183">
        <f>IF($B12="","",SUMIFS(SAISIE_PROD!$AC$5:$AC$204,SAISIE_PROD!$A$5:$A$204,$B12,SAISIE_PROD!$AS$5:$AS$204,1))</f>
        <v/>
      </c>
      <c r="M12" s="184">
        <f>IF(OR($B12="",$D12=0),"",$C12/$D12)</f>
        <v/>
      </c>
      <c r="N12" s="184">
        <f>IF($B12="",NA(),$V$3)</f>
        <v/>
      </c>
      <c r="O12" s="184">
        <f>IF(COUNT($M12:$M12)&lt;3,"",AVERAGE($M12:$M12))</f>
        <v/>
      </c>
      <c r="P12" s="184">
        <f>IF(OR($B12="",$V$5=""),NA(),$V$6)</f>
        <v/>
      </c>
      <c r="Q12" s="184">
        <f>IF(OR($B12="",$V$5=""),NA(),$V$7)</f>
        <v/>
      </c>
      <c r="R12" s="184">
        <f>IF($M12="",NA(),$M12)</f>
        <v/>
      </c>
      <c r="S12" s="184">
        <f>IF($O12="",NA(),$O12)</f>
        <v/>
      </c>
      <c r="U12" s="176" t="inlineStr">
        <is>
          <t>Réglages et micro-arrêts (min)</t>
        </is>
      </c>
      <c r="V12" s="181">
        <f>SUMIFS(SAISIE_PROD!$J$5:$J$204,SAISIE_PROD!$A$5:$A$204,"&gt;="&amp;$B$7,SAISIE_PROD!$A$5:$A$204,"&lt;="&amp;$B$8,SAISIE_PROD!$AS$5:$AS$204,1)</f>
        <v/>
      </c>
    </row>
    <row r="13" ht="14" customHeight="1">
      <c r="A13" s="147" t="n">
        <v>2</v>
      </c>
      <c r="B13" s="182">
        <f>IF($A13&gt;DAY($B$8),"",DATE($B$3,$B$4,$A13))</f>
        <v/>
      </c>
      <c r="C13" s="183">
        <f>IF($B13="","",SUMIFS(SAISIE_PROD!$AE$5:$AE$204,SAISIE_PROD!$A$5:$A$204,$B13,SAISIE_PROD!$AS$5:$AS$204,1))</f>
        <v/>
      </c>
      <c r="D13" s="183">
        <f>IF($B13="","",SUMIFS(SAISIE_PROD!$AB$5:$AB$204,SAISIE_PROD!$A$5:$A$204,$B13,SAISIE_PROD!$AS$5:$AS$204,1))</f>
        <v/>
      </c>
      <c r="E13" s="183">
        <f>IF($B13="","",SUMIFS(SAISIE_PROD!$AD$5:$AD$204,SAISIE_PROD!$A$5:$A$204,$B13,SAISIE_PROD!$AS$5:$AS$204,1))</f>
        <v/>
      </c>
      <c r="F13" s="183">
        <f>IF($B13="","",SUMIFS(SAISIE_PROD!$F$5:$F$204,SAISIE_PROD!$A$5:$A$204,$B13,SAISIE_PROD!$AS$5:$AS$204,1))</f>
        <v/>
      </c>
      <c r="G13" s="183">
        <f>IF($B13="","",SUMIFS(SAISIE_PROD!$P$5:$P$204,SAISIE_PROD!$A$5:$A$204,$B13,SAISIE_PROD!$AS$5:$AS$204,1))</f>
        <v/>
      </c>
      <c r="H13" s="183">
        <f>IF($B13="","",SUMIFS(SAISIE_PROD!$Q$5:$Q$204,SAISIE_PROD!$A$5:$A$204,$B13,SAISIE_PROD!$AS$5:$AS$204,1))</f>
        <v/>
      </c>
      <c r="I13" s="183">
        <f>IF($B13="","",SUMIFS(SAISIE_PROD!$R$5:$R$204,SAISIE_PROD!$A$5:$A$204,$B13,SAISIE_PROD!$AS$5:$AS$204,1))</f>
        <v/>
      </c>
      <c r="J13" s="183">
        <f>IF($B13="","",SUMIFS(SAISIE_PROD!$T$5:$T$204,SAISIE_PROD!$A$5:$A$204,$B13,SAISIE_PROD!$AS$5:$AS$204,1))</f>
        <v/>
      </c>
      <c r="K13" s="183">
        <f>IF($B13="","",SUMIFS(SAISIE_PROD!$X$5:$X$204,SAISIE_PROD!$A$5:$A$204,$B13,SAISIE_PROD!$AS$5:$AS$204,1))</f>
        <v/>
      </c>
      <c r="L13" s="183">
        <f>IF($B13="","",SUMIFS(SAISIE_PROD!$AC$5:$AC$204,SAISIE_PROD!$A$5:$A$204,$B13,SAISIE_PROD!$AS$5:$AS$204,1))</f>
        <v/>
      </c>
      <c r="M13" s="184">
        <f>IF(OR($B13="",$D13=0),"",$C13/$D13)</f>
        <v/>
      </c>
      <c r="N13" s="184">
        <f>IF($B13="",NA(),$V$3)</f>
        <v/>
      </c>
      <c r="O13" s="184">
        <f>IF(COUNT($M12:$M13)&lt;3,"",AVERAGE($M12:$M13))</f>
        <v/>
      </c>
      <c r="P13" s="184">
        <f>IF(OR($B13="",$V$5=""),NA(),$V$6)</f>
        <v/>
      </c>
      <c r="Q13" s="184">
        <f>IF(OR($B13="",$V$5=""),NA(),$V$7)</f>
        <v/>
      </c>
      <c r="R13" s="184">
        <f>IF($M13="",NA(),$M13)</f>
        <v/>
      </c>
      <c r="S13" s="184">
        <f>IF($O13="",NA(),$O13)</f>
        <v/>
      </c>
      <c r="U13" s="176" t="inlineStr">
        <is>
          <t>Manque matière (min)</t>
        </is>
      </c>
      <c r="V13" s="181">
        <f>SUMIFS(SAISIE_PROD!$K$5:$K$204,SAISIE_PROD!$A$5:$A$204,"&gt;="&amp;$B$7,SAISIE_PROD!$A$5:$A$204,"&lt;="&amp;$B$8,SAISIE_PROD!$AS$5:$AS$204,1)</f>
        <v/>
      </c>
    </row>
    <row r="14" ht="14" customHeight="1">
      <c r="A14" s="147" t="n">
        <v>3</v>
      </c>
      <c r="B14" s="182">
        <f>IF($A14&gt;DAY($B$8),"",DATE($B$3,$B$4,$A14))</f>
        <v/>
      </c>
      <c r="C14" s="183">
        <f>IF($B14="","",SUMIFS(SAISIE_PROD!$AE$5:$AE$204,SAISIE_PROD!$A$5:$A$204,$B14,SAISIE_PROD!$AS$5:$AS$204,1))</f>
        <v/>
      </c>
      <c r="D14" s="183">
        <f>IF($B14="","",SUMIFS(SAISIE_PROD!$AB$5:$AB$204,SAISIE_PROD!$A$5:$A$204,$B14,SAISIE_PROD!$AS$5:$AS$204,1))</f>
        <v/>
      </c>
      <c r="E14" s="183">
        <f>IF($B14="","",SUMIFS(SAISIE_PROD!$AD$5:$AD$204,SAISIE_PROD!$A$5:$A$204,$B14,SAISIE_PROD!$AS$5:$AS$204,1))</f>
        <v/>
      </c>
      <c r="F14" s="183">
        <f>IF($B14="","",SUMIFS(SAISIE_PROD!$F$5:$F$204,SAISIE_PROD!$A$5:$A$204,$B14,SAISIE_PROD!$AS$5:$AS$204,1))</f>
        <v/>
      </c>
      <c r="G14" s="183">
        <f>IF($B14="","",SUMIFS(SAISIE_PROD!$P$5:$P$204,SAISIE_PROD!$A$5:$A$204,$B14,SAISIE_PROD!$AS$5:$AS$204,1))</f>
        <v/>
      </c>
      <c r="H14" s="183">
        <f>IF($B14="","",SUMIFS(SAISIE_PROD!$Q$5:$Q$204,SAISIE_PROD!$A$5:$A$204,$B14,SAISIE_PROD!$AS$5:$AS$204,1))</f>
        <v/>
      </c>
      <c r="I14" s="183">
        <f>IF($B14="","",SUMIFS(SAISIE_PROD!$R$5:$R$204,SAISIE_PROD!$A$5:$A$204,$B14,SAISIE_PROD!$AS$5:$AS$204,1))</f>
        <v/>
      </c>
      <c r="J14" s="183">
        <f>IF($B14="","",SUMIFS(SAISIE_PROD!$T$5:$T$204,SAISIE_PROD!$A$5:$A$204,$B14,SAISIE_PROD!$AS$5:$AS$204,1))</f>
        <v/>
      </c>
      <c r="K14" s="183">
        <f>IF($B14="","",SUMIFS(SAISIE_PROD!$X$5:$X$204,SAISIE_PROD!$A$5:$A$204,$B14,SAISIE_PROD!$AS$5:$AS$204,1))</f>
        <v/>
      </c>
      <c r="L14" s="183">
        <f>IF($B14="","",SUMIFS(SAISIE_PROD!$AC$5:$AC$204,SAISIE_PROD!$A$5:$A$204,$B14,SAISIE_PROD!$AS$5:$AS$204,1))</f>
        <v/>
      </c>
      <c r="M14" s="184">
        <f>IF(OR($B14="",$D14=0),"",$C14/$D14)</f>
        <v/>
      </c>
      <c r="N14" s="184">
        <f>IF($B14="",NA(),$V$3)</f>
        <v/>
      </c>
      <c r="O14" s="184">
        <f>IF(COUNT($M12:$M14)&lt;3,"",AVERAGE($M12:$M14))</f>
        <v/>
      </c>
      <c r="P14" s="184">
        <f>IF(OR($B14="",$V$5=""),NA(),$V$6)</f>
        <v/>
      </c>
      <c r="Q14" s="184">
        <f>IF(OR($B14="",$V$5=""),NA(),$V$7)</f>
        <v/>
      </c>
      <c r="R14" s="184">
        <f>IF($M14="",NA(),$M14)</f>
        <v/>
      </c>
      <c r="S14" s="184">
        <f>IF($O14="",NA(),$O14)</f>
        <v/>
      </c>
      <c r="U14" s="176" t="inlineStr">
        <is>
          <t>Manque personnel (min)</t>
        </is>
      </c>
      <c r="V14" s="181">
        <f>SUMIFS(SAISIE_PROD!$L$5:$L$204,SAISIE_PROD!$A$5:$A$204,"&gt;="&amp;$B$7,SAISIE_PROD!$A$5:$A$204,"&lt;="&amp;$B$8,SAISIE_PROD!$AS$5:$AS$204,1)</f>
        <v/>
      </c>
    </row>
    <row r="15" ht="14" customHeight="1">
      <c r="A15" s="147" t="n">
        <v>4</v>
      </c>
      <c r="B15" s="182">
        <f>IF($A15&gt;DAY($B$8),"",DATE($B$3,$B$4,$A15))</f>
        <v/>
      </c>
      <c r="C15" s="183">
        <f>IF($B15="","",SUMIFS(SAISIE_PROD!$AE$5:$AE$204,SAISIE_PROD!$A$5:$A$204,$B15,SAISIE_PROD!$AS$5:$AS$204,1))</f>
        <v/>
      </c>
      <c r="D15" s="183">
        <f>IF($B15="","",SUMIFS(SAISIE_PROD!$AB$5:$AB$204,SAISIE_PROD!$A$5:$A$204,$B15,SAISIE_PROD!$AS$5:$AS$204,1))</f>
        <v/>
      </c>
      <c r="E15" s="183">
        <f>IF($B15="","",SUMIFS(SAISIE_PROD!$AD$5:$AD$204,SAISIE_PROD!$A$5:$A$204,$B15,SAISIE_PROD!$AS$5:$AS$204,1))</f>
        <v/>
      </c>
      <c r="F15" s="183">
        <f>IF($B15="","",SUMIFS(SAISIE_PROD!$F$5:$F$204,SAISIE_PROD!$A$5:$A$204,$B15,SAISIE_PROD!$AS$5:$AS$204,1))</f>
        <v/>
      </c>
      <c r="G15" s="183">
        <f>IF($B15="","",SUMIFS(SAISIE_PROD!$P$5:$P$204,SAISIE_PROD!$A$5:$A$204,$B15,SAISIE_PROD!$AS$5:$AS$204,1))</f>
        <v/>
      </c>
      <c r="H15" s="183">
        <f>IF($B15="","",SUMIFS(SAISIE_PROD!$Q$5:$Q$204,SAISIE_PROD!$A$5:$A$204,$B15,SAISIE_PROD!$AS$5:$AS$204,1))</f>
        <v/>
      </c>
      <c r="I15" s="183">
        <f>IF($B15="","",SUMIFS(SAISIE_PROD!$R$5:$R$204,SAISIE_PROD!$A$5:$A$204,$B15,SAISIE_PROD!$AS$5:$AS$204,1))</f>
        <v/>
      </c>
      <c r="J15" s="183">
        <f>IF($B15="","",SUMIFS(SAISIE_PROD!$T$5:$T$204,SAISIE_PROD!$A$5:$A$204,$B15,SAISIE_PROD!$AS$5:$AS$204,1))</f>
        <v/>
      </c>
      <c r="K15" s="183">
        <f>IF($B15="","",SUMIFS(SAISIE_PROD!$X$5:$X$204,SAISIE_PROD!$A$5:$A$204,$B15,SAISIE_PROD!$AS$5:$AS$204,1))</f>
        <v/>
      </c>
      <c r="L15" s="183">
        <f>IF($B15="","",SUMIFS(SAISIE_PROD!$AC$5:$AC$204,SAISIE_PROD!$A$5:$A$204,$B15,SAISIE_PROD!$AS$5:$AS$204,1))</f>
        <v/>
      </c>
      <c r="M15" s="184">
        <f>IF(OR($B15="",$D15=0),"",$C15/$D15)</f>
        <v/>
      </c>
      <c r="N15" s="184">
        <f>IF($B15="",NA(),$V$3)</f>
        <v/>
      </c>
      <c r="O15" s="184">
        <f>IF(COUNT($M12:$M15)&lt;3,"",AVERAGE($M12:$M15))</f>
        <v/>
      </c>
      <c r="P15" s="184">
        <f>IF(OR($B15="",$V$5=""),NA(),$V$6)</f>
        <v/>
      </c>
      <c r="Q15" s="184">
        <f>IF(OR($B15="",$V$5=""),NA(),$V$7)</f>
        <v/>
      </c>
      <c r="R15" s="184">
        <f>IF($M15="",NA(),$M15)</f>
        <v/>
      </c>
      <c r="S15" s="184">
        <f>IF($O15="",NA(),$O15)</f>
        <v/>
      </c>
      <c r="U15" s="176" t="inlineStr">
        <is>
          <t>Autres arrêts subis (min)</t>
        </is>
      </c>
      <c r="V15" s="181">
        <f>SUMIFS(SAISIE_PROD!$M$5:$M$204,SAISIE_PROD!$A$5:$A$204,"&gt;="&amp;$B$7,SAISIE_PROD!$A$5:$A$204,"&lt;="&amp;$B$8,SAISIE_PROD!$AS$5:$AS$204,1)</f>
        <v/>
      </c>
    </row>
    <row r="16" ht="14" customHeight="1">
      <c r="A16" s="147" t="n">
        <v>5</v>
      </c>
      <c r="B16" s="182">
        <f>IF($A16&gt;DAY($B$8),"",DATE($B$3,$B$4,$A16))</f>
        <v/>
      </c>
      <c r="C16" s="183">
        <f>IF($B16="","",SUMIFS(SAISIE_PROD!$AE$5:$AE$204,SAISIE_PROD!$A$5:$A$204,$B16,SAISIE_PROD!$AS$5:$AS$204,1))</f>
        <v/>
      </c>
      <c r="D16" s="183">
        <f>IF($B16="","",SUMIFS(SAISIE_PROD!$AB$5:$AB$204,SAISIE_PROD!$A$5:$A$204,$B16,SAISIE_PROD!$AS$5:$AS$204,1))</f>
        <v/>
      </c>
      <c r="E16" s="183">
        <f>IF($B16="","",SUMIFS(SAISIE_PROD!$AD$5:$AD$204,SAISIE_PROD!$A$5:$A$204,$B16,SAISIE_PROD!$AS$5:$AS$204,1))</f>
        <v/>
      </c>
      <c r="F16" s="183">
        <f>IF($B16="","",SUMIFS(SAISIE_PROD!$F$5:$F$204,SAISIE_PROD!$A$5:$A$204,$B16,SAISIE_PROD!$AS$5:$AS$204,1))</f>
        <v/>
      </c>
      <c r="G16" s="183">
        <f>IF($B16="","",SUMIFS(SAISIE_PROD!$P$5:$P$204,SAISIE_PROD!$A$5:$A$204,$B16,SAISIE_PROD!$AS$5:$AS$204,1))</f>
        <v/>
      </c>
      <c r="H16" s="183">
        <f>IF($B16="","",SUMIFS(SAISIE_PROD!$Q$5:$Q$204,SAISIE_PROD!$A$5:$A$204,$B16,SAISIE_PROD!$AS$5:$AS$204,1))</f>
        <v/>
      </c>
      <c r="I16" s="183">
        <f>IF($B16="","",SUMIFS(SAISIE_PROD!$R$5:$R$204,SAISIE_PROD!$A$5:$A$204,$B16,SAISIE_PROD!$AS$5:$AS$204,1))</f>
        <v/>
      </c>
      <c r="J16" s="183">
        <f>IF($B16="","",SUMIFS(SAISIE_PROD!$T$5:$T$204,SAISIE_PROD!$A$5:$A$204,$B16,SAISIE_PROD!$AS$5:$AS$204,1))</f>
        <v/>
      </c>
      <c r="K16" s="183">
        <f>IF($B16="","",SUMIFS(SAISIE_PROD!$X$5:$X$204,SAISIE_PROD!$A$5:$A$204,$B16,SAISIE_PROD!$AS$5:$AS$204,1))</f>
        <v/>
      </c>
      <c r="L16" s="183">
        <f>IF($B16="","",SUMIFS(SAISIE_PROD!$AC$5:$AC$204,SAISIE_PROD!$A$5:$A$204,$B16,SAISIE_PROD!$AS$5:$AS$204,1))</f>
        <v/>
      </c>
      <c r="M16" s="184">
        <f>IF(OR($B16="",$D16=0),"",$C16/$D16)</f>
        <v/>
      </c>
      <c r="N16" s="184">
        <f>IF($B16="",NA(),$V$3)</f>
        <v/>
      </c>
      <c r="O16" s="184">
        <f>IF(COUNT($M12:$M16)&lt;3,"",AVERAGE($M12:$M16))</f>
        <v/>
      </c>
      <c r="P16" s="184">
        <f>IF(OR($B16="",$V$5=""),NA(),$V$6)</f>
        <v/>
      </c>
      <c r="Q16" s="184">
        <f>IF(OR($B16="",$V$5=""),NA(),$V$7)</f>
        <v/>
      </c>
      <c r="R16" s="184">
        <f>IF($M16="",NA(),$M16)</f>
        <v/>
      </c>
      <c r="S16" s="184">
        <f>IF($O16="",NA(),$O16)</f>
        <v/>
      </c>
      <c r="U16" s="176" t="inlineStr">
        <is>
          <t>Perte de cadence (min)</t>
        </is>
      </c>
      <c r="V16" s="181">
        <f>SUMIFS(SAISIE_PROD!$AP$5:$AP$204,SAISIE_PROD!$A$5:$A$204,"&gt;="&amp;$B$7,SAISIE_PROD!$A$5:$A$204,"&lt;="&amp;$B$8,SAISIE_PROD!$AS$5:$AS$204,1)</f>
        <v/>
      </c>
    </row>
    <row r="17" ht="14" customHeight="1">
      <c r="A17" s="147" t="n">
        <v>6</v>
      </c>
      <c r="B17" s="182">
        <f>IF($A17&gt;DAY($B$8),"",DATE($B$3,$B$4,$A17))</f>
        <v/>
      </c>
      <c r="C17" s="183">
        <f>IF($B17="","",SUMIFS(SAISIE_PROD!$AE$5:$AE$204,SAISIE_PROD!$A$5:$A$204,$B17,SAISIE_PROD!$AS$5:$AS$204,1))</f>
        <v/>
      </c>
      <c r="D17" s="183">
        <f>IF($B17="","",SUMIFS(SAISIE_PROD!$AB$5:$AB$204,SAISIE_PROD!$A$5:$A$204,$B17,SAISIE_PROD!$AS$5:$AS$204,1))</f>
        <v/>
      </c>
      <c r="E17" s="183">
        <f>IF($B17="","",SUMIFS(SAISIE_PROD!$AD$5:$AD$204,SAISIE_PROD!$A$5:$A$204,$B17,SAISIE_PROD!$AS$5:$AS$204,1))</f>
        <v/>
      </c>
      <c r="F17" s="183">
        <f>IF($B17="","",SUMIFS(SAISIE_PROD!$F$5:$F$204,SAISIE_PROD!$A$5:$A$204,$B17,SAISIE_PROD!$AS$5:$AS$204,1))</f>
        <v/>
      </c>
      <c r="G17" s="183">
        <f>IF($B17="","",SUMIFS(SAISIE_PROD!$P$5:$P$204,SAISIE_PROD!$A$5:$A$204,$B17,SAISIE_PROD!$AS$5:$AS$204,1))</f>
        <v/>
      </c>
      <c r="H17" s="183">
        <f>IF($B17="","",SUMIFS(SAISIE_PROD!$Q$5:$Q$204,SAISIE_PROD!$A$5:$A$204,$B17,SAISIE_PROD!$AS$5:$AS$204,1))</f>
        <v/>
      </c>
      <c r="I17" s="183">
        <f>IF($B17="","",SUMIFS(SAISIE_PROD!$R$5:$R$204,SAISIE_PROD!$A$5:$A$204,$B17,SAISIE_PROD!$AS$5:$AS$204,1))</f>
        <v/>
      </c>
      <c r="J17" s="183">
        <f>IF($B17="","",SUMIFS(SAISIE_PROD!$T$5:$T$204,SAISIE_PROD!$A$5:$A$204,$B17,SAISIE_PROD!$AS$5:$AS$204,1))</f>
        <v/>
      </c>
      <c r="K17" s="183">
        <f>IF($B17="","",SUMIFS(SAISIE_PROD!$X$5:$X$204,SAISIE_PROD!$A$5:$A$204,$B17,SAISIE_PROD!$AS$5:$AS$204,1))</f>
        <v/>
      </c>
      <c r="L17" s="183">
        <f>IF($B17="","",SUMIFS(SAISIE_PROD!$AC$5:$AC$204,SAISIE_PROD!$A$5:$A$204,$B17,SAISIE_PROD!$AS$5:$AS$204,1))</f>
        <v/>
      </c>
      <c r="M17" s="184">
        <f>IF(OR($B17="",$D17=0),"",$C17/$D17)</f>
        <v/>
      </c>
      <c r="N17" s="184">
        <f>IF($B17="",NA(),$V$3)</f>
        <v/>
      </c>
      <c r="O17" s="184">
        <f>IF(COUNT($M12:$M17)&lt;3,"",AVERAGE($M12:$M17))</f>
        <v/>
      </c>
      <c r="P17" s="184">
        <f>IF(OR($B17="",$V$5=""),NA(),$V$6)</f>
        <v/>
      </c>
      <c r="Q17" s="184">
        <f>IF(OR($B17="",$V$5=""),NA(),$V$7)</f>
        <v/>
      </c>
      <c r="R17" s="184">
        <f>IF($M17="",NA(),$M17)</f>
        <v/>
      </c>
      <c r="S17" s="184">
        <f>IF($O17="",NA(),$O17)</f>
        <v/>
      </c>
      <c r="U17" s="176" t="inlineStr">
        <is>
          <t>Pertes non-qualité (min)</t>
        </is>
      </c>
      <c r="V17" s="181">
        <f>SUMIFS(SAISIE_PROD!$AQ$5:$AQ$204,SAISIE_PROD!$A$5:$A$204,"&gt;="&amp;$B$7,SAISIE_PROD!$A$5:$A$204,"&lt;="&amp;$B$8,SAISIE_PROD!$AS$5:$AS$204,1)</f>
        <v/>
      </c>
    </row>
    <row r="18" ht="14" customHeight="1">
      <c r="A18" s="147" t="n">
        <v>7</v>
      </c>
      <c r="B18" s="182">
        <f>IF($A18&gt;DAY($B$8),"",DATE($B$3,$B$4,$A18))</f>
        <v/>
      </c>
      <c r="C18" s="183">
        <f>IF($B18="","",SUMIFS(SAISIE_PROD!$AE$5:$AE$204,SAISIE_PROD!$A$5:$A$204,$B18,SAISIE_PROD!$AS$5:$AS$204,1))</f>
        <v/>
      </c>
      <c r="D18" s="183">
        <f>IF($B18="","",SUMIFS(SAISIE_PROD!$AB$5:$AB$204,SAISIE_PROD!$A$5:$A$204,$B18,SAISIE_PROD!$AS$5:$AS$204,1))</f>
        <v/>
      </c>
      <c r="E18" s="183">
        <f>IF($B18="","",SUMIFS(SAISIE_PROD!$AD$5:$AD$204,SAISIE_PROD!$A$5:$A$204,$B18,SAISIE_PROD!$AS$5:$AS$204,1))</f>
        <v/>
      </c>
      <c r="F18" s="183">
        <f>IF($B18="","",SUMIFS(SAISIE_PROD!$F$5:$F$204,SAISIE_PROD!$A$5:$A$204,$B18,SAISIE_PROD!$AS$5:$AS$204,1))</f>
        <v/>
      </c>
      <c r="G18" s="183">
        <f>IF($B18="","",SUMIFS(SAISIE_PROD!$P$5:$P$204,SAISIE_PROD!$A$5:$A$204,$B18,SAISIE_PROD!$AS$5:$AS$204,1))</f>
        <v/>
      </c>
      <c r="H18" s="183">
        <f>IF($B18="","",SUMIFS(SAISIE_PROD!$Q$5:$Q$204,SAISIE_PROD!$A$5:$A$204,$B18,SAISIE_PROD!$AS$5:$AS$204,1))</f>
        <v/>
      </c>
      <c r="I18" s="183">
        <f>IF($B18="","",SUMIFS(SAISIE_PROD!$R$5:$R$204,SAISIE_PROD!$A$5:$A$204,$B18,SAISIE_PROD!$AS$5:$AS$204,1))</f>
        <v/>
      </c>
      <c r="J18" s="183">
        <f>IF($B18="","",SUMIFS(SAISIE_PROD!$T$5:$T$204,SAISIE_PROD!$A$5:$A$204,$B18,SAISIE_PROD!$AS$5:$AS$204,1))</f>
        <v/>
      </c>
      <c r="K18" s="183">
        <f>IF($B18="","",SUMIFS(SAISIE_PROD!$X$5:$X$204,SAISIE_PROD!$A$5:$A$204,$B18,SAISIE_PROD!$AS$5:$AS$204,1))</f>
        <v/>
      </c>
      <c r="L18" s="183">
        <f>IF($B18="","",SUMIFS(SAISIE_PROD!$AC$5:$AC$204,SAISIE_PROD!$A$5:$A$204,$B18,SAISIE_PROD!$AS$5:$AS$204,1))</f>
        <v/>
      </c>
      <c r="M18" s="184">
        <f>IF(OR($B18="",$D18=0),"",$C18/$D18)</f>
        <v/>
      </c>
      <c r="N18" s="184">
        <f>IF($B18="",NA(),$V$3)</f>
        <v/>
      </c>
      <c r="O18" s="184">
        <f>IF(COUNT($M12:$M18)&lt;3,"",AVERAGE($M12:$M18))</f>
        <v/>
      </c>
      <c r="P18" s="184">
        <f>IF(OR($B18="",$V$5=""),NA(),$V$6)</f>
        <v/>
      </c>
      <c r="Q18" s="184">
        <f>IF(OR($B18="",$V$5=""),NA(),$V$7)</f>
        <v/>
      </c>
      <c r="R18" s="184">
        <f>IF($M18="",NA(),$M18)</f>
        <v/>
      </c>
      <c r="S18" s="184">
        <f>IF($O18="",NA(),$O18)</f>
        <v/>
      </c>
      <c r="U18" s="176" t="inlineStr">
        <is>
          <t>Temps requis TR (min)</t>
        </is>
      </c>
      <c r="V18" s="181">
        <f>SUMIFS(SAISIE_PROD!$AB$5:$AB$204,SAISIE_PROD!$A$5:$A$204,"&gt;="&amp;$B$7,SAISIE_PROD!$A$5:$A$204,"&lt;="&amp;$B$8,SAISIE_PROD!$AS$5:$AS$204,1)</f>
        <v/>
      </c>
    </row>
    <row r="19" ht="14" customHeight="1">
      <c r="A19" s="147" t="n">
        <v>8</v>
      </c>
      <c r="B19" s="182">
        <f>IF($A19&gt;DAY($B$8),"",DATE($B$3,$B$4,$A19))</f>
        <v/>
      </c>
      <c r="C19" s="183">
        <f>IF($B19="","",SUMIFS(SAISIE_PROD!$AE$5:$AE$204,SAISIE_PROD!$A$5:$A$204,$B19,SAISIE_PROD!$AS$5:$AS$204,1))</f>
        <v/>
      </c>
      <c r="D19" s="183">
        <f>IF($B19="","",SUMIFS(SAISIE_PROD!$AB$5:$AB$204,SAISIE_PROD!$A$5:$A$204,$B19,SAISIE_PROD!$AS$5:$AS$204,1))</f>
        <v/>
      </c>
      <c r="E19" s="183">
        <f>IF($B19="","",SUMIFS(SAISIE_PROD!$AD$5:$AD$204,SAISIE_PROD!$A$5:$A$204,$B19,SAISIE_PROD!$AS$5:$AS$204,1))</f>
        <v/>
      </c>
      <c r="F19" s="183">
        <f>IF($B19="","",SUMIFS(SAISIE_PROD!$F$5:$F$204,SAISIE_PROD!$A$5:$A$204,$B19,SAISIE_PROD!$AS$5:$AS$204,1))</f>
        <v/>
      </c>
      <c r="G19" s="183">
        <f>IF($B19="","",SUMIFS(SAISIE_PROD!$P$5:$P$204,SAISIE_PROD!$A$5:$A$204,$B19,SAISIE_PROD!$AS$5:$AS$204,1))</f>
        <v/>
      </c>
      <c r="H19" s="183">
        <f>IF($B19="","",SUMIFS(SAISIE_PROD!$Q$5:$Q$204,SAISIE_PROD!$A$5:$A$204,$B19,SAISIE_PROD!$AS$5:$AS$204,1))</f>
        <v/>
      </c>
      <c r="I19" s="183">
        <f>IF($B19="","",SUMIFS(SAISIE_PROD!$R$5:$R$204,SAISIE_PROD!$A$5:$A$204,$B19,SAISIE_PROD!$AS$5:$AS$204,1))</f>
        <v/>
      </c>
      <c r="J19" s="183">
        <f>IF($B19="","",SUMIFS(SAISIE_PROD!$T$5:$T$204,SAISIE_PROD!$A$5:$A$204,$B19,SAISIE_PROD!$AS$5:$AS$204,1))</f>
        <v/>
      </c>
      <c r="K19" s="183">
        <f>IF($B19="","",SUMIFS(SAISIE_PROD!$X$5:$X$204,SAISIE_PROD!$A$5:$A$204,$B19,SAISIE_PROD!$AS$5:$AS$204,1))</f>
        <v/>
      </c>
      <c r="L19" s="183">
        <f>IF($B19="","",SUMIFS(SAISIE_PROD!$AC$5:$AC$204,SAISIE_PROD!$A$5:$A$204,$B19,SAISIE_PROD!$AS$5:$AS$204,1))</f>
        <v/>
      </c>
      <c r="M19" s="184">
        <f>IF(OR($B19="",$D19=0),"",$C19/$D19)</f>
        <v/>
      </c>
      <c r="N19" s="184">
        <f>IF($B19="",NA(),$V$3)</f>
        <v/>
      </c>
      <c r="O19" s="184">
        <f>IF(COUNT($M13:$M19)&lt;3,"",AVERAGE($M13:$M19))</f>
        <v/>
      </c>
      <c r="P19" s="184">
        <f>IF(OR($B19="",$V$5=""),NA(),$V$6)</f>
        <v/>
      </c>
      <c r="Q19" s="184">
        <f>IF(OR($B19="",$V$5=""),NA(),$V$7)</f>
        <v/>
      </c>
      <c r="R19" s="184">
        <f>IF($M19="",NA(),$M19)</f>
        <v/>
      </c>
      <c r="S19" s="184">
        <f>IF($O19="",NA(),$O19)</f>
        <v/>
      </c>
      <c r="U19" s="176" t="inlineStr">
        <is>
          <t>Temps de marche TF (min)</t>
        </is>
      </c>
      <c r="V19" s="181">
        <f>SUMIFS(SAISIE_PROD!$AD$5:$AD$204,SAISIE_PROD!$A$5:$A$204,"&gt;="&amp;$B$7,SAISIE_PROD!$A$5:$A$204,"&lt;="&amp;$B$8,SAISIE_PROD!$AS$5:$AS$204,1)</f>
        <v/>
      </c>
    </row>
    <row r="20" ht="14" customHeight="1">
      <c r="A20" s="147" t="n">
        <v>9</v>
      </c>
      <c r="B20" s="182">
        <f>IF($A20&gt;DAY($B$8),"",DATE($B$3,$B$4,$A20))</f>
        <v/>
      </c>
      <c r="C20" s="183">
        <f>IF($B20="","",SUMIFS(SAISIE_PROD!$AE$5:$AE$204,SAISIE_PROD!$A$5:$A$204,$B20,SAISIE_PROD!$AS$5:$AS$204,1))</f>
        <v/>
      </c>
      <c r="D20" s="183">
        <f>IF($B20="","",SUMIFS(SAISIE_PROD!$AB$5:$AB$204,SAISIE_PROD!$A$5:$A$204,$B20,SAISIE_PROD!$AS$5:$AS$204,1))</f>
        <v/>
      </c>
      <c r="E20" s="183">
        <f>IF($B20="","",SUMIFS(SAISIE_PROD!$AD$5:$AD$204,SAISIE_PROD!$A$5:$A$204,$B20,SAISIE_PROD!$AS$5:$AS$204,1))</f>
        <v/>
      </c>
      <c r="F20" s="183">
        <f>IF($B20="","",SUMIFS(SAISIE_PROD!$F$5:$F$204,SAISIE_PROD!$A$5:$A$204,$B20,SAISIE_PROD!$AS$5:$AS$204,1))</f>
        <v/>
      </c>
      <c r="G20" s="183">
        <f>IF($B20="","",SUMIFS(SAISIE_PROD!$P$5:$P$204,SAISIE_PROD!$A$5:$A$204,$B20,SAISIE_PROD!$AS$5:$AS$204,1))</f>
        <v/>
      </c>
      <c r="H20" s="183">
        <f>IF($B20="","",SUMIFS(SAISIE_PROD!$Q$5:$Q$204,SAISIE_PROD!$A$5:$A$204,$B20,SAISIE_PROD!$AS$5:$AS$204,1))</f>
        <v/>
      </c>
      <c r="I20" s="183">
        <f>IF($B20="","",SUMIFS(SAISIE_PROD!$R$5:$R$204,SAISIE_PROD!$A$5:$A$204,$B20,SAISIE_PROD!$AS$5:$AS$204,1))</f>
        <v/>
      </c>
      <c r="J20" s="183">
        <f>IF($B20="","",SUMIFS(SAISIE_PROD!$T$5:$T$204,SAISIE_PROD!$A$5:$A$204,$B20,SAISIE_PROD!$AS$5:$AS$204,1))</f>
        <v/>
      </c>
      <c r="K20" s="183">
        <f>IF($B20="","",SUMIFS(SAISIE_PROD!$X$5:$X$204,SAISIE_PROD!$A$5:$A$204,$B20,SAISIE_PROD!$AS$5:$AS$204,1))</f>
        <v/>
      </c>
      <c r="L20" s="183">
        <f>IF($B20="","",SUMIFS(SAISIE_PROD!$AC$5:$AC$204,SAISIE_PROD!$A$5:$A$204,$B20,SAISIE_PROD!$AS$5:$AS$204,1))</f>
        <v/>
      </c>
      <c r="M20" s="184">
        <f>IF(OR($B20="",$D20=0),"",$C20/$D20)</f>
        <v/>
      </c>
      <c r="N20" s="184">
        <f>IF($B20="",NA(),$V$3)</f>
        <v/>
      </c>
      <c r="O20" s="184">
        <f>IF(COUNT($M14:$M20)&lt;3,"",AVERAGE($M14:$M20))</f>
        <v/>
      </c>
      <c r="P20" s="184">
        <f>IF(OR($B20="",$V$5=""),NA(),$V$6)</f>
        <v/>
      </c>
      <c r="Q20" s="184">
        <f>IF(OR($B20="",$V$5=""),NA(),$V$7)</f>
        <v/>
      </c>
      <c r="R20" s="184">
        <f>IF($M20="",NA(),$M20)</f>
        <v/>
      </c>
      <c r="S20" s="184">
        <f>IF($O20="",NA(),$O20)</f>
        <v/>
      </c>
      <c r="U20" s="176" t="inlineStr">
        <is>
          <t>Temps utile TU (min)</t>
        </is>
      </c>
      <c r="V20" s="181">
        <f>SUMIFS(SAISIE_PROD!$AE$5:$AE$204,SAISIE_PROD!$A$5:$A$204,"&gt;="&amp;$B$7,SAISIE_PROD!$A$5:$A$204,"&lt;="&amp;$B$8,SAISIE_PROD!$AS$5:$AS$204,1)</f>
        <v/>
      </c>
    </row>
    <row r="21" ht="14" customHeight="1">
      <c r="A21" s="147" t="n">
        <v>10</v>
      </c>
      <c r="B21" s="182">
        <f>IF($A21&gt;DAY($B$8),"",DATE($B$3,$B$4,$A21))</f>
        <v/>
      </c>
      <c r="C21" s="183">
        <f>IF($B21="","",SUMIFS(SAISIE_PROD!$AE$5:$AE$204,SAISIE_PROD!$A$5:$A$204,$B21,SAISIE_PROD!$AS$5:$AS$204,1))</f>
        <v/>
      </c>
      <c r="D21" s="183">
        <f>IF($B21="","",SUMIFS(SAISIE_PROD!$AB$5:$AB$204,SAISIE_PROD!$A$5:$A$204,$B21,SAISIE_PROD!$AS$5:$AS$204,1))</f>
        <v/>
      </c>
      <c r="E21" s="183">
        <f>IF($B21="","",SUMIFS(SAISIE_PROD!$AD$5:$AD$204,SAISIE_PROD!$A$5:$A$204,$B21,SAISIE_PROD!$AS$5:$AS$204,1))</f>
        <v/>
      </c>
      <c r="F21" s="183">
        <f>IF($B21="","",SUMIFS(SAISIE_PROD!$F$5:$F$204,SAISIE_PROD!$A$5:$A$204,$B21,SAISIE_PROD!$AS$5:$AS$204,1))</f>
        <v/>
      </c>
      <c r="G21" s="183">
        <f>IF($B21="","",SUMIFS(SAISIE_PROD!$P$5:$P$204,SAISIE_PROD!$A$5:$A$204,$B21,SAISIE_PROD!$AS$5:$AS$204,1))</f>
        <v/>
      </c>
      <c r="H21" s="183">
        <f>IF($B21="","",SUMIFS(SAISIE_PROD!$Q$5:$Q$204,SAISIE_PROD!$A$5:$A$204,$B21,SAISIE_PROD!$AS$5:$AS$204,1))</f>
        <v/>
      </c>
      <c r="I21" s="183">
        <f>IF($B21="","",SUMIFS(SAISIE_PROD!$R$5:$R$204,SAISIE_PROD!$A$5:$A$204,$B21,SAISIE_PROD!$AS$5:$AS$204,1))</f>
        <v/>
      </c>
      <c r="J21" s="183">
        <f>IF($B21="","",SUMIFS(SAISIE_PROD!$T$5:$T$204,SAISIE_PROD!$A$5:$A$204,$B21,SAISIE_PROD!$AS$5:$AS$204,1))</f>
        <v/>
      </c>
      <c r="K21" s="183">
        <f>IF($B21="","",SUMIFS(SAISIE_PROD!$X$5:$X$204,SAISIE_PROD!$A$5:$A$204,$B21,SAISIE_PROD!$AS$5:$AS$204,1))</f>
        <v/>
      </c>
      <c r="L21" s="183">
        <f>IF($B21="","",SUMIFS(SAISIE_PROD!$AC$5:$AC$204,SAISIE_PROD!$A$5:$A$204,$B21,SAISIE_PROD!$AS$5:$AS$204,1))</f>
        <v/>
      </c>
      <c r="M21" s="184">
        <f>IF(OR($B21="",$D21=0),"",$C21/$D21)</f>
        <v/>
      </c>
      <c r="N21" s="184">
        <f>IF($B21="",NA(),$V$3)</f>
        <v/>
      </c>
      <c r="O21" s="184">
        <f>IF(COUNT($M15:$M21)&lt;3,"",AVERAGE($M15:$M21))</f>
        <v/>
      </c>
      <c r="P21" s="184">
        <f>IF(OR($B21="",$V$5=""),NA(),$V$6)</f>
        <v/>
      </c>
      <c r="Q21" s="184">
        <f>IF(OR($B21="",$V$5=""),NA(),$V$7)</f>
        <v/>
      </c>
      <c r="R21" s="184">
        <f>IF($M21="",NA(),$M21)</f>
        <v/>
      </c>
      <c r="S21" s="184">
        <f>IF($O21="",NA(),$O21)</f>
        <v/>
      </c>
      <c r="U21" s="185" t="inlineStr">
        <is>
          <t>— (réservé) —</t>
        </is>
      </c>
    </row>
    <row r="22" ht="14" customHeight="1">
      <c r="A22" s="147" t="n">
        <v>11</v>
      </c>
      <c r="B22" s="182">
        <f>IF($A22&gt;DAY($B$8),"",DATE($B$3,$B$4,$A22))</f>
        <v/>
      </c>
      <c r="C22" s="183">
        <f>IF($B22="","",SUMIFS(SAISIE_PROD!$AE$5:$AE$204,SAISIE_PROD!$A$5:$A$204,$B22,SAISIE_PROD!$AS$5:$AS$204,1))</f>
        <v/>
      </c>
      <c r="D22" s="183">
        <f>IF($B22="","",SUMIFS(SAISIE_PROD!$AB$5:$AB$204,SAISIE_PROD!$A$5:$A$204,$B22,SAISIE_PROD!$AS$5:$AS$204,1))</f>
        <v/>
      </c>
      <c r="E22" s="183">
        <f>IF($B22="","",SUMIFS(SAISIE_PROD!$AD$5:$AD$204,SAISIE_PROD!$A$5:$A$204,$B22,SAISIE_PROD!$AS$5:$AS$204,1))</f>
        <v/>
      </c>
      <c r="F22" s="183">
        <f>IF($B22="","",SUMIFS(SAISIE_PROD!$F$5:$F$204,SAISIE_PROD!$A$5:$A$204,$B22,SAISIE_PROD!$AS$5:$AS$204,1))</f>
        <v/>
      </c>
      <c r="G22" s="183">
        <f>IF($B22="","",SUMIFS(SAISIE_PROD!$P$5:$P$204,SAISIE_PROD!$A$5:$A$204,$B22,SAISIE_PROD!$AS$5:$AS$204,1))</f>
        <v/>
      </c>
      <c r="H22" s="183">
        <f>IF($B22="","",SUMIFS(SAISIE_PROD!$Q$5:$Q$204,SAISIE_PROD!$A$5:$A$204,$B22,SAISIE_PROD!$AS$5:$AS$204,1))</f>
        <v/>
      </c>
      <c r="I22" s="183">
        <f>IF($B22="","",SUMIFS(SAISIE_PROD!$R$5:$R$204,SAISIE_PROD!$A$5:$A$204,$B22,SAISIE_PROD!$AS$5:$AS$204,1))</f>
        <v/>
      </c>
      <c r="J22" s="183">
        <f>IF($B22="","",SUMIFS(SAISIE_PROD!$T$5:$T$204,SAISIE_PROD!$A$5:$A$204,$B22,SAISIE_PROD!$AS$5:$AS$204,1))</f>
        <v/>
      </c>
      <c r="K22" s="183">
        <f>IF($B22="","",SUMIFS(SAISIE_PROD!$X$5:$X$204,SAISIE_PROD!$A$5:$A$204,$B22,SAISIE_PROD!$AS$5:$AS$204,1))</f>
        <v/>
      </c>
      <c r="L22" s="183">
        <f>IF($B22="","",SUMIFS(SAISIE_PROD!$AC$5:$AC$204,SAISIE_PROD!$A$5:$A$204,$B22,SAISIE_PROD!$AS$5:$AS$204,1))</f>
        <v/>
      </c>
      <c r="M22" s="184">
        <f>IF(OR($B22="",$D22=0),"",$C22/$D22)</f>
        <v/>
      </c>
      <c r="N22" s="184">
        <f>IF($B22="",NA(),$V$3)</f>
        <v/>
      </c>
      <c r="O22" s="184">
        <f>IF(COUNT($M16:$M22)&lt;3,"",AVERAGE($M16:$M22))</f>
        <v/>
      </c>
      <c r="P22" s="184">
        <f>IF(OR($B22="",$V$5=""),NA(),$V$6)</f>
        <v/>
      </c>
      <c r="Q22" s="184">
        <f>IF(OR($B22="",$V$5=""),NA(),$V$7)</f>
        <v/>
      </c>
      <c r="R22" s="184">
        <f>IF($M22="",NA(),$M22)</f>
        <v/>
      </c>
      <c r="S22" s="184">
        <f>IF($O22="",NA(),$O22)</f>
        <v/>
      </c>
      <c r="U22" s="176" t="inlineStr">
        <is>
          <t>Quantité produite</t>
        </is>
      </c>
      <c r="V22" s="181">
        <f>SUMIFS(SAISIE_PROD!$P$5:$P$204,SAISIE_PROD!$A$5:$A$204,"&gt;="&amp;$B$7,SAISIE_PROD!$A$5:$A$204,"&lt;="&amp;$B$8,SAISIE_PROD!$AS$5:$AS$204,1)</f>
        <v/>
      </c>
    </row>
    <row r="23" ht="14" customHeight="1">
      <c r="A23" s="147" t="n">
        <v>12</v>
      </c>
      <c r="B23" s="182">
        <f>IF($A23&gt;DAY($B$8),"",DATE($B$3,$B$4,$A23))</f>
        <v/>
      </c>
      <c r="C23" s="183">
        <f>IF($B23="","",SUMIFS(SAISIE_PROD!$AE$5:$AE$204,SAISIE_PROD!$A$5:$A$204,$B23,SAISIE_PROD!$AS$5:$AS$204,1))</f>
        <v/>
      </c>
      <c r="D23" s="183">
        <f>IF($B23="","",SUMIFS(SAISIE_PROD!$AB$5:$AB$204,SAISIE_PROD!$A$5:$A$204,$B23,SAISIE_PROD!$AS$5:$AS$204,1))</f>
        <v/>
      </c>
      <c r="E23" s="183">
        <f>IF($B23="","",SUMIFS(SAISIE_PROD!$AD$5:$AD$204,SAISIE_PROD!$A$5:$A$204,$B23,SAISIE_PROD!$AS$5:$AS$204,1))</f>
        <v/>
      </c>
      <c r="F23" s="183">
        <f>IF($B23="","",SUMIFS(SAISIE_PROD!$F$5:$F$204,SAISIE_PROD!$A$5:$A$204,$B23,SAISIE_PROD!$AS$5:$AS$204,1))</f>
        <v/>
      </c>
      <c r="G23" s="183">
        <f>IF($B23="","",SUMIFS(SAISIE_PROD!$P$5:$P$204,SAISIE_PROD!$A$5:$A$204,$B23,SAISIE_PROD!$AS$5:$AS$204,1))</f>
        <v/>
      </c>
      <c r="H23" s="183">
        <f>IF($B23="","",SUMIFS(SAISIE_PROD!$Q$5:$Q$204,SAISIE_PROD!$A$5:$A$204,$B23,SAISIE_PROD!$AS$5:$AS$204,1))</f>
        <v/>
      </c>
      <c r="I23" s="183">
        <f>IF($B23="","",SUMIFS(SAISIE_PROD!$R$5:$R$204,SAISIE_PROD!$A$5:$A$204,$B23,SAISIE_PROD!$AS$5:$AS$204,1))</f>
        <v/>
      </c>
      <c r="J23" s="183">
        <f>IF($B23="","",SUMIFS(SAISIE_PROD!$T$5:$T$204,SAISIE_PROD!$A$5:$A$204,$B23,SAISIE_PROD!$AS$5:$AS$204,1))</f>
        <v/>
      </c>
      <c r="K23" s="183">
        <f>IF($B23="","",SUMIFS(SAISIE_PROD!$X$5:$X$204,SAISIE_PROD!$A$5:$A$204,$B23,SAISIE_PROD!$AS$5:$AS$204,1))</f>
        <v/>
      </c>
      <c r="L23" s="183">
        <f>IF($B23="","",SUMIFS(SAISIE_PROD!$AC$5:$AC$204,SAISIE_PROD!$A$5:$A$204,$B23,SAISIE_PROD!$AS$5:$AS$204,1))</f>
        <v/>
      </c>
      <c r="M23" s="184">
        <f>IF(OR($B23="",$D23=0),"",$C23/$D23)</f>
        <v/>
      </c>
      <c r="N23" s="184">
        <f>IF($B23="",NA(),$V$3)</f>
        <v/>
      </c>
      <c r="O23" s="184">
        <f>IF(COUNT($M17:$M23)&lt;3,"",AVERAGE($M17:$M23))</f>
        <v/>
      </c>
      <c r="P23" s="184">
        <f>IF(OR($B23="",$V$5=""),NA(),$V$6)</f>
        <v/>
      </c>
      <c r="Q23" s="184">
        <f>IF(OR($B23="",$V$5=""),NA(),$V$7)</f>
        <v/>
      </c>
      <c r="R23" s="184">
        <f>IF($M23="",NA(),$M23)</f>
        <v/>
      </c>
      <c r="S23" s="184">
        <f>IF($O23="",NA(),$O23)</f>
        <v/>
      </c>
      <c r="U23" s="176" t="inlineStr">
        <is>
          <t>Quantité conforme 1er passage</t>
        </is>
      </c>
      <c r="V23" s="181">
        <f>SUMIFS(SAISIE_PROD!$Q$5:$Q$204,SAISIE_PROD!$A$5:$A$204,"&gt;="&amp;$B$7,SAISIE_PROD!$A$5:$A$204,"&lt;="&amp;$B$8,SAISIE_PROD!$AS$5:$AS$204,1)</f>
        <v/>
      </c>
    </row>
    <row r="24" ht="14" customHeight="1">
      <c r="A24" s="147" t="n">
        <v>13</v>
      </c>
      <c r="B24" s="182">
        <f>IF($A24&gt;DAY($B$8),"",DATE($B$3,$B$4,$A24))</f>
        <v/>
      </c>
      <c r="C24" s="183">
        <f>IF($B24="","",SUMIFS(SAISIE_PROD!$AE$5:$AE$204,SAISIE_PROD!$A$5:$A$204,$B24,SAISIE_PROD!$AS$5:$AS$204,1))</f>
        <v/>
      </c>
      <c r="D24" s="183">
        <f>IF($B24="","",SUMIFS(SAISIE_PROD!$AB$5:$AB$204,SAISIE_PROD!$A$5:$A$204,$B24,SAISIE_PROD!$AS$5:$AS$204,1))</f>
        <v/>
      </c>
      <c r="E24" s="183">
        <f>IF($B24="","",SUMIFS(SAISIE_PROD!$AD$5:$AD$204,SAISIE_PROD!$A$5:$A$204,$B24,SAISIE_PROD!$AS$5:$AS$204,1))</f>
        <v/>
      </c>
      <c r="F24" s="183">
        <f>IF($B24="","",SUMIFS(SAISIE_PROD!$F$5:$F$204,SAISIE_PROD!$A$5:$A$204,$B24,SAISIE_PROD!$AS$5:$AS$204,1))</f>
        <v/>
      </c>
      <c r="G24" s="183">
        <f>IF($B24="","",SUMIFS(SAISIE_PROD!$P$5:$P$204,SAISIE_PROD!$A$5:$A$204,$B24,SAISIE_PROD!$AS$5:$AS$204,1))</f>
        <v/>
      </c>
      <c r="H24" s="183">
        <f>IF($B24="","",SUMIFS(SAISIE_PROD!$Q$5:$Q$204,SAISIE_PROD!$A$5:$A$204,$B24,SAISIE_PROD!$AS$5:$AS$204,1))</f>
        <v/>
      </c>
      <c r="I24" s="183">
        <f>IF($B24="","",SUMIFS(SAISIE_PROD!$R$5:$R$204,SAISIE_PROD!$A$5:$A$204,$B24,SAISIE_PROD!$AS$5:$AS$204,1))</f>
        <v/>
      </c>
      <c r="J24" s="183">
        <f>IF($B24="","",SUMIFS(SAISIE_PROD!$T$5:$T$204,SAISIE_PROD!$A$5:$A$204,$B24,SAISIE_PROD!$AS$5:$AS$204,1))</f>
        <v/>
      </c>
      <c r="K24" s="183">
        <f>IF($B24="","",SUMIFS(SAISIE_PROD!$X$5:$X$204,SAISIE_PROD!$A$5:$A$204,$B24,SAISIE_PROD!$AS$5:$AS$204,1))</f>
        <v/>
      </c>
      <c r="L24" s="183">
        <f>IF($B24="","",SUMIFS(SAISIE_PROD!$AC$5:$AC$204,SAISIE_PROD!$A$5:$A$204,$B24,SAISIE_PROD!$AS$5:$AS$204,1))</f>
        <v/>
      </c>
      <c r="M24" s="184">
        <f>IF(OR($B24="",$D24=0),"",$C24/$D24)</f>
        <v/>
      </c>
      <c r="N24" s="184">
        <f>IF($B24="",NA(),$V$3)</f>
        <v/>
      </c>
      <c r="O24" s="184">
        <f>IF(COUNT($M18:$M24)&lt;3,"",AVERAGE($M18:$M24))</f>
        <v/>
      </c>
      <c r="P24" s="184">
        <f>IF(OR($B24="",$V$5=""),NA(),$V$6)</f>
        <v/>
      </c>
      <c r="Q24" s="184">
        <f>IF(OR($B24="",$V$5=""),NA(),$V$7)</f>
        <v/>
      </c>
      <c r="R24" s="184">
        <f>IF($M24="",NA(),$M24)</f>
        <v/>
      </c>
      <c r="S24" s="184">
        <f>IF($O24="",NA(),$O24)</f>
        <v/>
      </c>
      <c r="U24" s="176" t="inlineStr">
        <is>
          <t>Quantité retouchée</t>
        </is>
      </c>
      <c r="V24" s="181">
        <f>SUMIFS(SAISIE_PROD!$R$5:$R$204,SAISIE_PROD!$A$5:$A$204,"&gt;="&amp;$B$7,SAISIE_PROD!$A$5:$A$204,"&lt;="&amp;$B$8,SAISIE_PROD!$AS$5:$AS$204,1)</f>
        <v/>
      </c>
    </row>
    <row r="25" ht="14" customHeight="1">
      <c r="A25" s="147" t="n">
        <v>14</v>
      </c>
      <c r="B25" s="182">
        <f>IF($A25&gt;DAY($B$8),"",DATE($B$3,$B$4,$A25))</f>
        <v/>
      </c>
      <c r="C25" s="183">
        <f>IF($B25="","",SUMIFS(SAISIE_PROD!$AE$5:$AE$204,SAISIE_PROD!$A$5:$A$204,$B25,SAISIE_PROD!$AS$5:$AS$204,1))</f>
        <v/>
      </c>
      <c r="D25" s="183">
        <f>IF($B25="","",SUMIFS(SAISIE_PROD!$AB$5:$AB$204,SAISIE_PROD!$A$5:$A$204,$B25,SAISIE_PROD!$AS$5:$AS$204,1))</f>
        <v/>
      </c>
      <c r="E25" s="183">
        <f>IF($B25="","",SUMIFS(SAISIE_PROD!$AD$5:$AD$204,SAISIE_PROD!$A$5:$A$204,$B25,SAISIE_PROD!$AS$5:$AS$204,1))</f>
        <v/>
      </c>
      <c r="F25" s="183">
        <f>IF($B25="","",SUMIFS(SAISIE_PROD!$F$5:$F$204,SAISIE_PROD!$A$5:$A$204,$B25,SAISIE_PROD!$AS$5:$AS$204,1))</f>
        <v/>
      </c>
      <c r="G25" s="183">
        <f>IF($B25="","",SUMIFS(SAISIE_PROD!$P$5:$P$204,SAISIE_PROD!$A$5:$A$204,$B25,SAISIE_PROD!$AS$5:$AS$204,1))</f>
        <v/>
      </c>
      <c r="H25" s="183">
        <f>IF($B25="","",SUMIFS(SAISIE_PROD!$Q$5:$Q$204,SAISIE_PROD!$A$5:$A$204,$B25,SAISIE_PROD!$AS$5:$AS$204,1))</f>
        <v/>
      </c>
      <c r="I25" s="183">
        <f>IF($B25="","",SUMIFS(SAISIE_PROD!$R$5:$R$204,SAISIE_PROD!$A$5:$A$204,$B25,SAISIE_PROD!$AS$5:$AS$204,1))</f>
        <v/>
      </c>
      <c r="J25" s="183">
        <f>IF($B25="","",SUMIFS(SAISIE_PROD!$T$5:$T$204,SAISIE_PROD!$A$5:$A$204,$B25,SAISIE_PROD!$AS$5:$AS$204,1))</f>
        <v/>
      </c>
      <c r="K25" s="183">
        <f>IF($B25="","",SUMIFS(SAISIE_PROD!$X$5:$X$204,SAISIE_PROD!$A$5:$A$204,$B25,SAISIE_PROD!$AS$5:$AS$204,1))</f>
        <v/>
      </c>
      <c r="L25" s="183">
        <f>IF($B25="","",SUMIFS(SAISIE_PROD!$AC$5:$AC$204,SAISIE_PROD!$A$5:$A$204,$B25,SAISIE_PROD!$AS$5:$AS$204,1))</f>
        <v/>
      </c>
      <c r="M25" s="184">
        <f>IF(OR($B25="",$D25=0),"",$C25/$D25)</f>
        <v/>
      </c>
      <c r="N25" s="184">
        <f>IF($B25="",NA(),$V$3)</f>
        <v/>
      </c>
      <c r="O25" s="184">
        <f>IF(COUNT($M19:$M25)&lt;3,"",AVERAGE($M19:$M25))</f>
        <v/>
      </c>
      <c r="P25" s="184">
        <f>IF(OR($B25="",$V$5=""),NA(),$V$6)</f>
        <v/>
      </c>
      <c r="Q25" s="184">
        <f>IF(OR($B25="",$V$5=""),NA(),$V$7)</f>
        <v/>
      </c>
      <c r="R25" s="184">
        <f>IF($M25="",NA(),$M25)</f>
        <v/>
      </c>
      <c r="S25" s="184">
        <f>IF($O25="",NA(),$O25)</f>
        <v/>
      </c>
      <c r="U25" s="176" t="inlineStr">
        <is>
          <t>Quantité demandée</t>
        </is>
      </c>
      <c r="V25" s="181">
        <f>SUMIFS(SAISIE_PROD!$T$5:$T$204,SAISIE_PROD!$A$5:$A$204,"&gt;="&amp;$B$7,SAISIE_PROD!$A$5:$A$204,"&lt;="&amp;$B$8,SAISIE_PROD!$AS$5:$AS$204,1)</f>
        <v/>
      </c>
    </row>
    <row r="26" ht="14" customHeight="1">
      <c r="A26" s="147" t="n">
        <v>15</v>
      </c>
      <c r="B26" s="182">
        <f>IF($A26&gt;DAY($B$8),"",DATE($B$3,$B$4,$A26))</f>
        <v/>
      </c>
      <c r="C26" s="183">
        <f>IF($B26="","",SUMIFS(SAISIE_PROD!$AE$5:$AE$204,SAISIE_PROD!$A$5:$A$204,$B26,SAISIE_PROD!$AS$5:$AS$204,1))</f>
        <v/>
      </c>
      <c r="D26" s="183">
        <f>IF($B26="","",SUMIFS(SAISIE_PROD!$AB$5:$AB$204,SAISIE_PROD!$A$5:$A$204,$B26,SAISIE_PROD!$AS$5:$AS$204,1))</f>
        <v/>
      </c>
      <c r="E26" s="183">
        <f>IF($B26="","",SUMIFS(SAISIE_PROD!$AD$5:$AD$204,SAISIE_PROD!$A$5:$A$204,$B26,SAISIE_PROD!$AS$5:$AS$204,1))</f>
        <v/>
      </c>
      <c r="F26" s="183">
        <f>IF($B26="","",SUMIFS(SAISIE_PROD!$F$5:$F$204,SAISIE_PROD!$A$5:$A$204,$B26,SAISIE_PROD!$AS$5:$AS$204,1))</f>
        <v/>
      </c>
      <c r="G26" s="183">
        <f>IF($B26="","",SUMIFS(SAISIE_PROD!$P$5:$P$204,SAISIE_PROD!$A$5:$A$204,$B26,SAISIE_PROD!$AS$5:$AS$204,1))</f>
        <v/>
      </c>
      <c r="H26" s="183">
        <f>IF($B26="","",SUMIFS(SAISIE_PROD!$Q$5:$Q$204,SAISIE_PROD!$A$5:$A$204,$B26,SAISIE_PROD!$AS$5:$AS$204,1))</f>
        <v/>
      </c>
      <c r="I26" s="183">
        <f>IF($B26="","",SUMIFS(SAISIE_PROD!$R$5:$R$204,SAISIE_PROD!$A$5:$A$204,$B26,SAISIE_PROD!$AS$5:$AS$204,1))</f>
        <v/>
      </c>
      <c r="J26" s="183">
        <f>IF($B26="","",SUMIFS(SAISIE_PROD!$T$5:$T$204,SAISIE_PROD!$A$5:$A$204,$B26,SAISIE_PROD!$AS$5:$AS$204,1))</f>
        <v/>
      </c>
      <c r="K26" s="183">
        <f>IF($B26="","",SUMIFS(SAISIE_PROD!$X$5:$X$204,SAISIE_PROD!$A$5:$A$204,$B26,SAISIE_PROD!$AS$5:$AS$204,1))</f>
        <v/>
      </c>
      <c r="L26" s="183">
        <f>IF($B26="","",SUMIFS(SAISIE_PROD!$AC$5:$AC$204,SAISIE_PROD!$A$5:$A$204,$B26,SAISIE_PROD!$AS$5:$AS$204,1))</f>
        <v/>
      </c>
      <c r="M26" s="184">
        <f>IF(OR($B26="",$D26=0),"",$C26/$D26)</f>
        <v/>
      </c>
      <c r="N26" s="184">
        <f>IF($B26="",NA(),$V$3)</f>
        <v/>
      </c>
      <c r="O26" s="184">
        <f>IF(COUNT($M20:$M26)&lt;3,"",AVERAGE($M20:$M26))</f>
        <v/>
      </c>
      <c r="P26" s="184">
        <f>IF(OR($B26="",$V$5=""),NA(),$V$6)</f>
        <v/>
      </c>
      <c r="Q26" s="184">
        <f>IF(OR($B26="",$V$5=""),NA(),$V$7)</f>
        <v/>
      </c>
      <c r="R26" s="184">
        <f>IF($M26="",NA(),$M26)</f>
        <v/>
      </c>
      <c r="S26" s="184">
        <f>IF($O26="",NA(),$O26)</f>
        <v/>
      </c>
      <c r="U26" s="176" t="inlineStr">
        <is>
          <t>Accidents avec arrêt</t>
        </is>
      </c>
      <c r="V26" s="181">
        <f>SUMIFS(SAISIE_PROD!$X$5:$X$204,SAISIE_PROD!$A$5:$A$204,"&gt;="&amp;$B$7,SAISIE_PROD!$A$5:$A$204,"&lt;="&amp;$B$8,SAISIE_PROD!$AS$5:$AS$204,1)</f>
        <v/>
      </c>
    </row>
    <row r="27" ht="14" customHeight="1">
      <c r="A27" s="147" t="n">
        <v>16</v>
      </c>
      <c r="B27" s="182">
        <f>IF($A27&gt;DAY($B$8),"",DATE($B$3,$B$4,$A27))</f>
        <v/>
      </c>
      <c r="C27" s="183">
        <f>IF($B27="","",SUMIFS(SAISIE_PROD!$AE$5:$AE$204,SAISIE_PROD!$A$5:$A$204,$B27,SAISIE_PROD!$AS$5:$AS$204,1))</f>
        <v/>
      </c>
      <c r="D27" s="183">
        <f>IF($B27="","",SUMIFS(SAISIE_PROD!$AB$5:$AB$204,SAISIE_PROD!$A$5:$A$204,$B27,SAISIE_PROD!$AS$5:$AS$204,1))</f>
        <v/>
      </c>
      <c r="E27" s="183">
        <f>IF($B27="","",SUMIFS(SAISIE_PROD!$AD$5:$AD$204,SAISIE_PROD!$A$5:$A$204,$B27,SAISIE_PROD!$AS$5:$AS$204,1))</f>
        <v/>
      </c>
      <c r="F27" s="183">
        <f>IF($B27="","",SUMIFS(SAISIE_PROD!$F$5:$F$204,SAISIE_PROD!$A$5:$A$204,$B27,SAISIE_PROD!$AS$5:$AS$204,1))</f>
        <v/>
      </c>
      <c r="G27" s="183">
        <f>IF($B27="","",SUMIFS(SAISIE_PROD!$P$5:$P$204,SAISIE_PROD!$A$5:$A$204,$B27,SAISIE_PROD!$AS$5:$AS$204,1))</f>
        <v/>
      </c>
      <c r="H27" s="183">
        <f>IF($B27="","",SUMIFS(SAISIE_PROD!$Q$5:$Q$204,SAISIE_PROD!$A$5:$A$204,$B27,SAISIE_PROD!$AS$5:$AS$204,1))</f>
        <v/>
      </c>
      <c r="I27" s="183">
        <f>IF($B27="","",SUMIFS(SAISIE_PROD!$R$5:$R$204,SAISIE_PROD!$A$5:$A$204,$B27,SAISIE_PROD!$AS$5:$AS$204,1))</f>
        <v/>
      </c>
      <c r="J27" s="183">
        <f>IF($B27="","",SUMIFS(SAISIE_PROD!$T$5:$T$204,SAISIE_PROD!$A$5:$A$204,$B27,SAISIE_PROD!$AS$5:$AS$204,1))</f>
        <v/>
      </c>
      <c r="K27" s="183">
        <f>IF($B27="","",SUMIFS(SAISIE_PROD!$X$5:$X$204,SAISIE_PROD!$A$5:$A$204,$B27,SAISIE_PROD!$AS$5:$AS$204,1))</f>
        <v/>
      </c>
      <c r="L27" s="183">
        <f>IF($B27="","",SUMIFS(SAISIE_PROD!$AC$5:$AC$204,SAISIE_PROD!$A$5:$A$204,$B27,SAISIE_PROD!$AS$5:$AS$204,1))</f>
        <v/>
      </c>
      <c r="M27" s="184">
        <f>IF(OR($B27="",$D27=0),"",$C27/$D27)</f>
        <v/>
      </c>
      <c r="N27" s="184">
        <f>IF($B27="",NA(),$V$3)</f>
        <v/>
      </c>
      <c r="O27" s="184">
        <f>IF(COUNT($M21:$M27)&lt;3,"",AVERAGE($M21:$M27))</f>
        <v/>
      </c>
      <c r="P27" s="184">
        <f>IF(OR($B27="",$V$5=""),NA(),$V$6)</f>
        <v/>
      </c>
      <c r="Q27" s="184">
        <f>IF(OR($B27="",$V$5=""),NA(),$V$7)</f>
        <v/>
      </c>
      <c r="R27" s="184">
        <f>IF($M27="",NA(),$M27)</f>
        <v/>
      </c>
      <c r="S27" s="184">
        <f>IF($O27="",NA(),$O27)</f>
        <v/>
      </c>
      <c r="U27" s="176" t="inlineStr">
        <is>
          <t>Nombre de pannes</t>
        </is>
      </c>
      <c r="V27" s="181">
        <f>SUMIFS(SAISIE_PROD!$N$5:$N$204,SAISIE_PROD!$A$5:$A$204,"&gt;="&amp;$B$7,SAISIE_PROD!$A$5:$A$204,"&lt;="&amp;$B$8,SAISIE_PROD!$AS$5:$AS$204,1)</f>
        <v/>
      </c>
    </row>
    <row r="28" ht="14" customHeight="1">
      <c r="A28" s="147" t="n">
        <v>17</v>
      </c>
      <c r="B28" s="182">
        <f>IF($A28&gt;DAY($B$8),"",DATE($B$3,$B$4,$A28))</f>
        <v/>
      </c>
      <c r="C28" s="183">
        <f>IF($B28="","",SUMIFS(SAISIE_PROD!$AE$5:$AE$204,SAISIE_PROD!$A$5:$A$204,$B28,SAISIE_PROD!$AS$5:$AS$204,1))</f>
        <v/>
      </c>
      <c r="D28" s="183">
        <f>IF($B28="","",SUMIFS(SAISIE_PROD!$AB$5:$AB$204,SAISIE_PROD!$A$5:$A$204,$B28,SAISIE_PROD!$AS$5:$AS$204,1))</f>
        <v/>
      </c>
      <c r="E28" s="183">
        <f>IF($B28="","",SUMIFS(SAISIE_PROD!$AD$5:$AD$204,SAISIE_PROD!$A$5:$A$204,$B28,SAISIE_PROD!$AS$5:$AS$204,1))</f>
        <v/>
      </c>
      <c r="F28" s="183">
        <f>IF($B28="","",SUMIFS(SAISIE_PROD!$F$5:$F$204,SAISIE_PROD!$A$5:$A$204,$B28,SAISIE_PROD!$AS$5:$AS$204,1))</f>
        <v/>
      </c>
      <c r="G28" s="183">
        <f>IF($B28="","",SUMIFS(SAISIE_PROD!$P$5:$P$204,SAISIE_PROD!$A$5:$A$204,$B28,SAISIE_PROD!$AS$5:$AS$204,1))</f>
        <v/>
      </c>
      <c r="H28" s="183">
        <f>IF($B28="","",SUMIFS(SAISIE_PROD!$Q$5:$Q$204,SAISIE_PROD!$A$5:$A$204,$B28,SAISIE_PROD!$AS$5:$AS$204,1))</f>
        <v/>
      </c>
      <c r="I28" s="183">
        <f>IF($B28="","",SUMIFS(SAISIE_PROD!$R$5:$R$204,SAISIE_PROD!$A$5:$A$204,$B28,SAISIE_PROD!$AS$5:$AS$204,1))</f>
        <v/>
      </c>
      <c r="J28" s="183">
        <f>IF($B28="","",SUMIFS(SAISIE_PROD!$T$5:$T$204,SAISIE_PROD!$A$5:$A$204,$B28,SAISIE_PROD!$AS$5:$AS$204,1))</f>
        <v/>
      </c>
      <c r="K28" s="183">
        <f>IF($B28="","",SUMIFS(SAISIE_PROD!$X$5:$X$204,SAISIE_PROD!$A$5:$A$204,$B28,SAISIE_PROD!$AS$5:$AS$204,1))</f>
        <v/>
      </c>
      <c r="L28" s="183">
        <f>IF($B28="","",SUMIFS(SAISIE_PROD!$AC$5:$AC$204,SAISIE_PROD!$A$5:$A$204,$B28,SAISIE_PROD!$AS$5:$AS$204,1))</f>
        <v/>
      </c>
      <c r="M28" s="184">
        <f>IF(OR($B28="",$D28=0),"",$C28/$D28)</f>
        <v/>
      </c>
      <c r="N28" s="184">
        <f>IF($B28="",NA(),$V$3)</f>
        <v/>
      </c>
      <c r="O28" s="184">
        <f>IF(COUNT($M22:$M28)&lt;3,"",AVERAGE($M22:$M28))</f>
        <v/>
      </c>
      <c r="P28" s="184">
        <f>IF(OR($B28="",$V$5=""),NA(),$V$6)</f>
        <v/>
      </c>
      <c r="Q28" s="184">
        <f>IF(OR($B28="",$V$5=""),NA(),$V$7)</f>
        <v/>
      </c>
      <c r="R28" s="184">
        <f>IF($M28="",NA(),$M28)</f>
        <v/>
      </c>
      <c r="S28" s="184">
        <f>IF($O28="",NA(),$O28)</f>
        <v/>
      </c>
      <c r="U28" s="176" t="inlineStr">
        <is>
          <t>Effectif prévu (cumul)</t>
        </is>
      </c>
      <c r="V28" s="181">
        <f>SUMIFS(SAISIE_PROD!$U$5:$U$204,SAISIE_PROD!$A$5:$A$204,"&gt;="&amp;$B$7,SAISIE_PROD!$A$5:$A$204,"&lt;="&amp;$B$8,SAISIE_PROD!$AS$5:$AS$204,1)</f>
        <v/>
      </c>
    </row>
    <row r="29" ht="14" customHeight="1">
      <c r="A29" s="147" t="n">
        <v>18</v>
      </c>
      <c r="B29" s="182">
        <f>IF($A29&gt;DAY($B$8),"",DATE($B$3,$B$4,$A29))</f>
        <v/>
      </c>
      <c r="C29" s="183">
        <f>IF($B29="","",SUMIFS(SAISIE_PROD!$AE$5:$AE$204,SAISIE_PROD!$A$5:$A$204,$B29,SAISIE_PROD!$AS$5:$AS$204,1))</f>
        <v/>
      </c>
      <c r="D29" s="183">
        <f>IF($B29="","",SUMIFS(SAISIE_PROD!$AB$5:$AB$204,SAISIE_PROD!$A$5:$A$204,$B29,SAISIE_PROD!$AS$5:$AS$204,1))</f>
        <v/>
      </c>
      <c r="E29" s="183">
        <f>IF($B29="","",SUMIFS(SAISIE_PROD!$AD$5:$AD$204,SAISIE_PROD!$A$5:$A$204,$B29,SAISIE_PROD!$AS$5:$AS$204,1))</f>
        <v/>
      </c>
      <c r="F29" s="183">
        <f>IF($B29="","",SUMIFS(SAISIE_PROD!$F$5:$F$204,SAISIE_PROD!$A$5:$A$204,$B29,SAISIE_PROD!$AS$5:$AS$204,1))</f>
        <v/>
      </c>
      <c r="G29" s="183">
        <f>IF($B29="","",SUMIFS(SAISIE_PROD!$P$5:$P$204,SAISIE_PROD!$A$5:$A$204,$B29,SAISIE_PROD!$AS$5:$AS$204,1))</f>
        <v/>
      </c>
      <c r="H29" s="183">
        <f>IF($B29="","",SUMIFS(SAISIE_PROD!$Q$5:$Q$204,SAISIE_PROD!$A$5:$A$204,$B29,SAISIE_PROD!$AS$5:$AS$204,1))</f>
        <v/>
      </c>
      <c r="I29" s="183">
        <f>IF($B29="","",SUMIFS(SAISIE_PROD!$R$5:$R$204,SAISIE_PROD!$A$5:$A$204,$B29,SAISIE_PROD!$AS$5:$AS$204,1))</f>
        <v/>
      </c>
      <c r="J29" s="183">
        <f>IF($B29="","",SUMIFS(SAISIE_PROD!$T$5:$T$204,SAISIE_PROD!$A$5:$A$204,$B29,SAISIE_PROD!$AS$5:$AS$204,1))</f>
        <v/>
      </c>
      <c r="K29" s="183">
        <f>IF($B29="","",SUMIFS(SAISIE_PROD!$X$5:$X$204,SAISIE_PROD!$A$5:$A$204,$B29,SAISIE_PROD!$AS$5:$AS$204,1))</f>
        <v/>
      </c>
      <c r="L29" s="183">
        <f>IF($B29="","",SUMIFS(SAISIE_PROD!$AC$5:$AC$204,SAISIE_PROD!$A$5:$A$204,$B29,SAISIE_PROD!$AS$5:$AS$204,1))</f>
        <v/>
      </c>
      <c r="M29" s="184">
        <f>IF(OR($B29="",$D29=0),"",$C29/$D29)</f>
        <v/>
      </c>
      <c r="N29" s="184">
        <f>IF($B29="",NA(),$V$3)</f>
        <v/>
      </c>
      <c r="O29" s="184">
        <f>IF(COUNT($M23:$M29)&lt;3,"",AVERAGE($M23:$M29))</f>
        <v/>
      </c>
      <c r="P29" s="184">
        <f>IF(OR($B29="",$V$5=""),NA(),$V$6)</f>
        <v/>
      </c>
      <c r="Q29" s="184">
        <f>IF(OR($B29="",$V$5=""),NA(),$V$7)</f>
        <v/>
      </c>
      <c r="R29" s="184">
        <f>IF($M29="",NA(),$M29)</f>
        <v/>
      </c>
      <c r="S29" s="184">
        <f>IF($O29="",NA(),$O29)</f>
        <v/>
      </c>
      <c r="U29" s="176" t="inlineStr">
        <is>
          <t>Effectif présent (cumul)</t>
        </is>
      </c>
      <c r="V29" s="181">
        <f>SUMIFS(SAISIE_PROD!$V$5:$V$204,SAISIE_PROD!$A$5:$A$204,"&gt;="&amp;$B$7,SAISIE_PROD!$A$5:$A$204,"&lt;="&amp;$B$8,SAISIE_PROD!$AS$5:$AS$204,1)</f>
        <v/>
      </c>
    </row>
    <row r="30" ht="14" customHeight="1">
      <c r="A30" s="147" t="n">
        <v>19</v>
      </c>
      <c r="B30" s="182">
        <f>IF($A30&gt;DAY($B$8),"",DATE($B$3,$B$4,$A30))</f>
        <v/>
      </c>
      <c r="C30" s="183">
        <f>IF($B30="","",SUMIFS(SAISIE_PROD!$AE$5:$AE$204,SAISIE_PROD!$A$5:$A$204,$B30,SAISIE_PROD!$AS$5:$AS$204,1))</f>
        <v/>
      </c>
      <c r="D30" s="183">
        <f>IF($B30="","",SUMIFS(SAISIE_PROD!$AB$5:$AB$204,SAISIE_PROD!$A$5:$A$204,$B30,SAISIE_PROD!$AS$5:$AS$204,1))</f>
        <v/>
      </c>
      <c r="E30" s="183">
        <f>IF($B30="","",SUMIFS(SAISIE_PROD!$AD$5:$AD$204,SAISIE_PROD!$A$5:$A$204,$B30,SAISIE_PROD!$AS$5:$AS$204,1))</f>
        <v/>
      </c>
      <c r="F30" s="183">
        <f>IF($B30="","",SUMIFS(SAISIE_PROD!$F$5:$F$204,SAISIE_PROD!$A$5:$A$204,$B30,SAISIE_PROD!$AS$5:$AS$204,1))</f>
        <v/>
      </c>
      <c r="G30" s="183">
        <f>IF($B30="","",SUMIFS(SAISIE_PROD!$P$5:$P$204,SAISIE_PROD!$A$5:$A$204,$B30,SAISIE_PROD!$AS$5:$AS$204,1))</f>
        <v/>
      </c>
      <c r="H30" s="183">
        <f>IF($B30="","",SUMIFS(SAISIE_PROD!$Q$5:$Q$204,SAISIE_PROD!$A$5:$A$204,$B30,SAISIE_PROD!$AS$5:$AS$204,1))</f>
        <v/>
      </c>
      <c r="I30" s="183">
        <f>IF($B30="","",SUMIFS(SAISIE_PROD!$R$5:$R$204,SAISIE_PROD!$A$5:$A$204,$B30,SAISIE_PROD!$AS$5:$AS$204,1))</f>
        <v/>
      </c>
      <c r="J30" s="183">
        <f>IF($B30="","",SUMIFS(SAISIE_PROD!$T$5:$T$204,SAISIE_PROD!$A$5:$A$204,$B30,SAISIE_PROD!$AS$5:$AS$204,1))</f>
        <v/>
      </c>
      <c r="K30" s="183">
        <f>IF($B30="","",SUMIFS(SAISIE_PROD!$X$5:$X$204,SAISIE_PROD!$A$5:$A$204,$B30,SAISIE_PROD!$AS$5:$AS$204,1))</f>
        <v/>
      </c>
      <c r="L30" s="183">
        <f>IF($B30="","",SUMIFS(SAISIE_PROD!$AC$5:$AC$204,SAISIE_PROD!$A$5:$A$204,$B30,SAISIE_PROD!$AS$5:$AS$204,1))</f>
        <v/>
      </c>
      <c r="M30" s="184">
        <f>IF(OR($B30="",$D30=0),"",$C30/$D30)</f>
        <v/>
      </c>
      <c r="N30" s="184">
        <f>IF($B30="",NA(),$V$3)</f>
        <v/>
      </c>
      <c r="O30" s="184">
        <f>IF(COUNT($M24:$M30)&lt;3,"",AVERAGE($M24:$M30))</f>
        <v/>
      </c>
      <c r="P30" s="184">
        <f>IF(OR($B30="",$V$5=""),NA(),$V$6)</f>
        <v/>
      </c>
      <c r="Q30" s="184">
        <f>IF(OR($B30="",$V$5=""),NA(),$V$7)</f>
        <v/>
      </c>
      <c r="R30" s="184">
        <f>IF($M30="",NA(),$M30)</f>
        <v/>
      </c>
      <c r="S30" s="184">
        <f>IF($O30="",NA(),$O30)</f>
        <v/>
      </c>
    </row>
    <row r="31" ht="14" customHeight="1">
      <c r="A31" s="147" t="n">
        <v>20</v>
      </c>
      <c r="B31" s="182">
        <f>IF($A31&gt;DAY($B$8),"",DATE($B$3,$B$4,$A31))</f>
        <v/>
      </c>
      <c r="C31" s="183">
        <f>IF($B31="","",SUMIFS(SAISIE_PROD!$AE$5:$AE$204,SAISIE_PROD!$A$5:$A$204,$B31,SAISIE_PROD!$AS$5:$AS$204,1))</f>
        <v/>
      </c>
      <c r="D31" s="183">
        <f>IF($B31="","",SUMIFS(SAISIE_PROD!$AB$5:$AB$204,SAISIE_PROD!$A$5:$A$204,$B31,SAISIE_PROD!$AS$5:$AS$204,1))</f>
        <v/>
      </c>
      <c r="E31" s="183">
        <f>IF($B31="","",SUMIFS(SAISIE_PROD!$AD$5:$AD$204,SAISIE_PROD!$A$5:$A$204,$B31,SAISIE_PROD!$AS$5:$AS$204,1))</f>
        <v/>
      </c>
      <c r="F31" s="183">
        <f>IF($B31="","",SUMIFS(SAISIE_PROD!$F$5:$F$204,SAISIE_PROD!$A$5:$A$204,$B31,SAISIE_PROD!$AS$5:$AS$204,1))</f>
        <v/>
      </c>
      <c r="G31" s="183">
        <f>IF($B31="","",SUMIFS(SAISIE_PROD!$P$5:$P$204,SAISIE_PROD!$A$5:$A$204,$B31,SAISIE_PROD!$AS$5:$AS$204,1))</f>
        <v/>
      </c>
      <c r="H31" s="183">
        <f>IF($B31="","",SUMIFS(SAISIE_PROD!$Q$5:$Q$204,SAISIE_PROD!$A$5:$A$204,$B31,SAISIE_PROD!$AS$5:$AS$204,1))</f>
        <v/>
      </c>
      <c r="I31" s="183">
        <f>IF($B31="","",SUMIFS(SAISIE_PROD!$R$5:$R$204,SAISIE_PROD!$A$5:$A$204,$B31,SAISIE_PROD!$AS$5:$AS$204,1))</f>
        <v/>
      </c>
      <c r="J31" s="183">
        <f>IF($B31="","",SUMIFS(SAISIE_PROD!$T$5:$T$204,SAISIE_PROD!$A$5:$A$204,$B31,SAISIE_PROD!$AS$5:$AS$204,1))</f>
        <v/>
      </c>
      <c r="K31" s="183">
        <f>IF($B31="","",SUMIFS(SAISIE_PROD!$X$5:$X$204,SAISIE_PROD!$A$5:$A$204,$B31,SAISIE_PROD!$AS$5:$AS$204,1))</f>
        <v/>
      </c>
      <c r="L31" s="183">
        <f>IF($B31="","",SUMIFS(SAISIE_PROD!$AC$5:$AC$204,SAISIE_PROD!$A$5:$A$204,$B31,SAISIE_PROD!$AS$5:$AS$204,1))</f>
        <v/>
      </c>
      <c r="M31" s="184">
        <f>IF(OR($B31="",$D31=0),"",$C31/$D31)</f>
        <v/>
      </c>
      <c r="N31" s="184">
        <f>IF($B31="",NA(),$V$3)</f>
        <v/>
      </c>
      <c r="O31" s="184">
        <f>IF(COUNT($M25:$M31)&lt;3,"",AVERAGE($M25:$M31))</f>
        <v/>
      </c>
      <c r="P31" s="184">
        <f>IF(OR($B31="",$V$5=""),NA(),$V$6)</f>
        <v/>
      </c>
      <c r="Q31" s="184">
        <f>IF(OR($B31="",$V$5=""),NA(),$V$7)</f>
        <v/>
      </c>
      <c r="R31" s="184">
        <f>IF($M31="",NA(),$M31)</f>
        <v/>
      </c>
      <c r="S31" s="184">
        <f>IF($O31="",NA(),$O31)</f>
        <v/>
      </c>
    </row>
    <row r="32" ht="14" customHeight="1">
      <c r="A32" s="147" t="n">
        <v>21</v>
      </c>
      <c r="B32" s="182">
        <f>IF($A32&gt;DAY($B$8),"",DATE($B$3,$B$4,$A32))</f>
        <v/>
      </c>
      <c r="C32" s="183">
        <f>IF($B32="","",SUMIFS(SAISIE_PROD!$AE$5:$AE$204,SAISIE_PROD!$A$5:$A$204,$B32,SAISIE_PROD!$AS$5:$AS$204,1))</f>
        <v/>
      </c>
      <c r="D32" s="183">
        <f>IF($B32="","",SUMIFS(SAISIE_PROD!$AB$5:$AB$204,SAISIE_PROD!$A$5:$A$204,$B32,SAISIE_PROD!$AS$5:$AS$204,1))</f>
        <v/>
      </c>
      <c r="E32" s="183">
        <f>IF($B32="","",SUMIFS(SAISIE_PROD!$AD$5:$AD$204,SAISIE_PROD!$A$5:$A$204,$B32,SAISIE_PROD!$AS$5:$AS$204,1))</f>
        <v/>
      </c>
      <c r="F32" s="183">
        <f>IF($B32="","",SUMIFS(SAISIE_PROD!$F$5:$F$204,SAISIE_PROD!$A$5:$A$204,$B32,SAISIE_PROD!$AS$5:$AS$204,1))</f>
        <v/>
      </c>
      <c r="G32" s="183">
        <f>IF($B32="","",SUMIFS(SAISIE_PROD!$P$5:$P$204,SAISIE_PROD!$A$5:$A$204,$B32,SAISIE_PROD!$AS$5:$AS$204,1))</f>
        <v/>
      </c>
      <c r="H32" s="183">
        <f>IF($B32="","",SUMIFS(SAISIE_PROD!$Q$5:$Q$204,SAISIE_PROD!$A$5:$A$204,$B32,SAISIE_PROD!$AS$5:$AS$204,1))</f>
        <v/>
      </c>
      <c r="I32" s="183">
        <f>IF($B32="","",SUMIFS(SAISIE_PROD!$R$5:$R$204,SAISIE_PROD!$A$5:$A$204,$B32,SAISIE_PROD!$AS$5:$AS$204,1))</f>
        <v/>
      </c>
      <c r="J32" s="183">
        <f>IF($B32="","",SUMIFS(SAISIE_PROD!$T$5:$T$204,SAISIE_PROD!$A$5:$A$204,$B32,SAISIE_PROD!$AS$5:$AS$204,1))</f>
        <v/>
      </c>
      <c r="K32" s="183">
        <f>IF($B32="","",SUMIFS(SAISIE_PROD!$X$5:$X$204,SAISIE_PROD!$A$5:$A$204,$B32,SAISIE_PROD!$AS$5:$AS$204,1))</f>
        <v/>
      </c>
      <c r="L32" s="183">
        <f>IF($B32="","",SUMIFS(SAISIE_PROD!$AC$5:$AC$204,SAISIE_PROD!$A$5:$A$204,$B32,SAISIE_PROD!$AS$5:$AS$204,1))</f>
        <v/>
      </c>
      <c r="M32" s="184">
        <f>IF(OR($B32="",$D32=0),"",$C32/$D32)</f>
        <v/>
      </c>
      <c r="N32" s="184">
        <f>IF($B32="",NA(),$V$3)</f>
        <v/>
      </c>
      <c r="O32" s="184">
        <f>IF(COUNT($M26:$M32)&lt;3,"",AVERAGE($M26:$M32))</f>
        <v/>
      </c>
      <c r="P32" s="184">
        <f>IF(OR($B32="",$V$5=""),NA(),$V$6)</f>
        <v/>
      </c>
      <c r="Q32" s="184">
        <f>IF(OR($B32="",$V$5=""),NA(),$V$7)</f>
        <v/>
      </c>
      <c r="R32" s="184">
        <f>IF($M32="",NA(),$M32)</f>
        <v/>
      </c>
      <c r="S32" s="184">
        <f>IF($O32="",NA(),$O32)</f>
        <v/>
      </c>
    </row>
    <row r="33" ht="14" customHeight="1">
      <c r="A33" s="147" t="n">
        <v>22</v>
      </c>
      <c r="B33" s="182">
        <f>IF($A33&gt;DAY($B$8),"",DATE($B$3,$B$4,$A33))</f>
        <v/>
      </c>
      <c r="C33" s="183">
        <f>IF($B33="","",SUMIFS(SAISIE_PROD!$AE$5:$AE$204,SAISIE_PROD!$A$5:$A$204,$B33,SAISIE_PROD!$AS$5:$AS$204,1))</f>
        <v/>
      </c>
      <c r="D33" s="183">
        <f>IF($B33="","",SUMIFS(SAISIE_PROD!$AB$5:$AB$204,SAISIE_PROD!$A$5:$A$204,$B33,SAISIE_PROD!$AS$5:$AS$204,1))</f>
        <v/>
      </c>
      <c r="E33" s="183">
        <f>IF($B33="","",SUMIFS(SAISIE_PROD!$AD$5:$AD$204,SAISIE_PROD!$A$5:$A$204,$B33,SAISIE_PROD!$AS$5:$AS$204,1))</f>
        <v/>
      </c>
      <c r="F33" s="183">
        <f>IF($B33="","",SUMIFS(SAISIE_PROD!$F$5:$F$204,SAISIE_PROD!$A$5:$A$204,$B33,SAISIE_PROD!$AS$5:$AS$204,1))</f>
        <v/>
      </c>
      <c r="G33" s="183">
        <f>IF($B33="","",SUMIFS(SAISIE_PROD!$P$5:$P$204,SAISIE_PROD!$A$5:$A$204,$B33,SAISIE_PROD!$AS$5:$AS$204,1))</f>
        <v/>
      </c>
      <c r="H33" s="183">
        <f>IF($B33="","",SUMIFS(SAISIE_PROD!$Q$5:$Q$204,SAISIE_PROD!$A$5:$A$204,$B33,SAISIE_PROD!$AS$5:$AS$204,1))</f>
        <v/>
      </c>
      <c r="I33" s="183">
        <f>IF($B33="","",SUMIFS(SAISIE_PROD!$R$5:$R$204,SAISIE_PROD!$A$5:$A$204,$B33,SAISIE_PROD!$AS$5:$AS$204,1))</f>
        <v/>
      </c>
      <c r="J33" s="183">
        <f>IF($B33="","",SUMIFS(SAISIE_PROD!$T$5:$T$204,SAISIE_PROD!$A$5:$A$204,$B33,SAISIE_PROD!$AS$5:$AS$204,1))</f>
        <v/>
      </c>
      <c r="K33" s="183">
        <f>IF($B33="","",SUMIFS(SAISIE_PROD!$X$5:$X$204,SAISIE_PROD!$A$5:$A$204,$B33,SAISIE_PROD!$AS$5:$AS$204,1))</f>
        <v/>
      </c>
      <c r="L33" s="183">
        <f>IF($B33="","",SUMIFS(SAISIE_PROD!$AC$5:$AC$204,SAISIE_PROD!$A$5:$A$204,$B33,SAISIE_PROD!$AS$5:$AS$204,1))</f>
        <v/>
      </c>
      <c r="M33" s="184">
        <f>IF(OR($B33="",$D33=0),"",$C33/$D33)</f>
        <v/>
      </c>
      <c r="N33" s="184">
        <f>IF($B33="",NA(),$V$3)</f>
        <v/>
      </c>
      <c r="O33" s="184">
        <f>IF(COUNT($M27:$M33)&lt;3,"",AVERAGE($M27:$M33))</f>
        <v/>
      </c>
      <c r="P33" s="184">
        <f>IF(OR($B33="",$V$5=""),NA(),$V$6)</f>
        <v/>
      </c>
      <c r="Q33" s="184">
        <f>IF(OR($B33="",$V$5=""),NA(),$V$7)</f>
        <v/>
      </c>
      <c r="R33" s="184">
        <f>IF($M33="",NA(),$M33)</f>
        <v/>
      </c>
      <c r="S33" s="184">
        <f>IF($O33="",NA(),$O33)</f>
        <v/>
      </c>
    </row>
    <row r="34" ht="14" customHeight="1">
      <c r="A34" s="147" t="n">
        <v>23</v>
      </c>
      <c r="B34" s="182">
        <f>IF($A34&gt;DAY($B$8),"",DATE($B$3,$B$4,$A34))</f>
        <v/>
      </c>
      <c r="C34" s="183">
        <f>IF($B34="","",SUMIFS(SAISIE_PROD!$AE$5:$AE$204,SAISIE_PROD!$A$5:$A$204,$B34,SAISIE_PROD!$AS$5:$AS$204,1))</f>
        <v/>
      </c>
      <c r="D34" s="183">
        <f>IF($B34="","",SUMIFS(SAISIE_PROD!$AB$5:$AB$204,SAISIE_PROD!$A$5:$A$204,$B34,SAISIE_PROD!$AS$5:$AS$204,1))</f>
        <v/>
      </c>
      <c r="E34" s="183">
        <f>IF($B34="","",SUMIFS(SAISIE_PROD!$AD$5:$AD$204,SAISIE_PROD!$A$5:$A$204,$B34,SAISIE_PROD!$AS$5:$AS$204,1))</f>
        <v/>
      </c>
      <c r="F34" s="183">
        <f>IF($B34="","",SUMIFS(SAISIE_PROD!$F$5:$F$204,SAISIE_PROD!$A$5:$A$204,$B34,SAISIE_PROD!$AS$5:$AS$204,1))</f>
        <v/>
      </c>
      <c r="G34" s="183">
        <f>IF($B34="","",SUMIFS(SAISIE_PROD!$P$5:$P$204,SAISIE_PROD!$A$5:$A$204,$B34,SAISIE_PROD!$AS$5:$AS$204,1))</f>
        <v/>
      </c>
      <c r="H34" s="183">
        <f>IF($B34="","",SUMIFS(SAISIE_PROD!$Q$5:$Q$204,SAISIE_PROD!$A$5:$A$204,$B34,SAISIE_PROD!$AS$5:$AS$204,1))</f>
        <v/>
      </c>
      <c r="I34" s="183">
        <f>IF($B34="","",SUMIFS(SAISIE_PROD!$R$5:$R$204,SAISIE_PROD!$A$5:$A$204,$B34,SAISIE_PROD!$AS$5:$AS$204,1))</f>
        <v/>
      </c>
      <c r="J34" s="183">
        <f>IF($B34="","",SUMIFS(SAISIE_PROD!$T$5:$T$204,SAISIE_PROD!$A$5:$A$204,$B34,SAISIE_PROD!$AS$5:$AS$204,1))</f>
        <v/>
      </c>
      <c r="K34" s="183">
        <f>IF($B34="","",SUMIFS(SAISIE_PROD!$X$5:$X$204,SAISIE_PROD!$A$5:$A$204,$B34,SAISIE_PROD!$AS$5:$AS$204,1))</f>
        <v/>
      </c>
      <c r="L34" s="183">
        <f>IF($B34="","",SUMIFS(SAISIE_PROD!$AC$5:$AC$204,SAISIE_PROD!$A$5:$A$204,$B34,SAISIE_PROD!$AS$5:$AS$204,1))</f>
        <v/>
      </c>
      <c r="M34" s="184">
        <f>IF(OR($B34="",$D34=0),"",$C34/$D34)</f>
        <v/>
      </c>
      <c r="N34" s="184">
        <f>IF($B34="",NA(),$V$3)</f>
        <v/>
      </c>
      <c r="O34" s="184">
        <f>IF(COUNT($M28:$M34)&lt;3,"",AVERAGE($M28:$M34))</f>
        <v/>
      </c>
      <c r="P34" s="184">
        <f>IF(OR($B34="",$V$5=""),NA(),$V$6)</f>
        <v/>
      </c>
      <c r="Q34" s="184">
        <f>IF(OR($B34="",$V$5=""),NA(),$V$7)</f>
        <v/>
      </c>
      <c r="R34" s="184">
        <f>IF($M34="",NA(),$M34)</f>
        <v/>
      </c>
      <c r="S34" s="184">
        <f>IF($O34="",NA(),$O34)</f>
        <v/>
      </c>
    </row>
    <row r="35" ht="14" customHeight="1">
      <c r="A35" s="147" t="n">
        <v>24</v>
      </c>
      <c r="B35" s="182">
        <f>IF($A35&gt;DAY($B$8),"",DATE($B$3,$B$4,$A35))</f>
        <v/>
      </c>
      <c r="C35" s="183">
        <f>IF($B35="","",SUMIFS(SAISIE_PROD!$AE$5:$AE$204,SAISIE_PROD!$A$5:$A$204,$B35,SAISIE_PROD!$AS$5:$AS$204,1))</f>
        <v/>
      </c>
      <c r="D35" s="183">
        <f>IF($B35="","",SUMIFS(SAISIE_PROD!$AB$5:$AB$204,SAISIE_PROD!$A$5:$A$204,$B35,SAISIE_PROD!$AS$5:$AS$204,1))</f>
        <v/>
      </c>
      <c r="E35" s="183">
        <f>IF($B35="","",SUMIFS(SAISIE_PROD!$AD$5:$AD$204,SAISIE_PROD!$A$5:$A$204,$B35,SAISIE_PROD!$AS$5:$AS$204,1))</f>
        <v/>
      </c>
      <c r="F35" s="183">
        <f>IF($B35="","",SUMIFS(SAISIE_PROD!$F$5:$F$204,SAISIE_PROD!$A$5:$A$204,$B35,SAISIE_PROD!$AS$5:$AS$204,1))</f>
        <v/>
      </c>
      <c r="G35" s="183">
        <f>IF($B35="","",SUMIFS(SAISIE_PROD!$P$5:$P$204,SAISIE_PROD!$A$5:$A$204,$B35,SAISIE_PROD!$AS$5:$AS$204,1))</f>
        <v/>
      </c>
      <c r="H35" s="183">
        <f>IF($B35="","",SUMIFS(SAISIE_PROD!$Q$5:$Q$204,SAISIE_PROD!$A$5:$A$204,$B35,SAISIE_PROD!$AS$5:$AS$204,1))</f>
        <v/>
      </c>
      <c r="I35" s="183">
        <f>IF($B35="","",SUMIFS(SAISIE_PROD!$R$5:$R$204,SAISIE_PROD!$A$5:$A$204,$B35,SAISIE_PROD!$AS$5:$AS$204,1))</f>
        <v/>
      </c>
      <c r="J35" s="183">
        <f>IF($B35="","",SUMIFS(SAISIE_PROD!$T$5:$T$204,SAISIE_PROD!$A$5:$A$204,$B35,SAISIE_PROD!$AS$5:$AS$204,1))</f>
        <v/>
      </c>
      <c r="K35" s="183">
        <f>IF($B35="","",SUMIFS(SAISIE_PROD!$X$5:$X$204,SAISIE_PROD!$A$5:$A$204,$B35,SAISIE_PROD!$AS$5:$AS$204,1))</f>
        <v/>
      </c>
      <c r="L35" s="183">
        <f>IF($B35="","",SUMIFS(SAISIE_PROD!$AC$5:$AC$204,SAISIE_PROD!$A$5:$A$204,$B35,SAISIE_PROD!$AS$5:$AS$204,1))</f>
        <v/>
      </c>
      <c r="M35" s="184">
        <f>IF(OR($B35="",$D35=0),"",$C35/$D35)</f>
        <v/>
      </c>
      <c r="N35" s="184">
        <f>IF($B35="",NA(),$V$3)</f>
        <v/>
      </c>
      <c r="O35" s="184">
        <f>IF(COUNT($M29:$M35)&lt;3,"",AVERAGE($M29:$M35))</f>
        <v/>
      </c>
      <c r="P35" s="184">
        <f>IF(OR($B35="",$V$5=""),NA(),$V$6)</f>
        <v/>
      </c>
      <c r="Q35" s="184">
        <f>IF(OR($B35="",$V$5=""),NA(),$V$7)</f>
        <v/>
      </c>
      <c r="R35" s="184">
        <f>IF($M35="",NA(),$M35)</f>
        <v/>
      </c>
      <c r="S35" s="184">
        <f>IF($O35="",NA(),$O35)</f>
        <v/>
      </c>
    </row>
    <row r="36" ht="14" customHeight="1">
      <c r="A36" s="147" t="n">
        <v>25</v>
      </c>
      <c r="B36" s="182">
        <f>IF($A36&gt;DAY($B$8),"",DATE($B$3,$B$4,$A36))</f>
        <v/>
      </c>
      <c r="C36" s="183">
        <f>IF($B36="","",SUMIFS(SAISIE_PROD!$AE$5:$AE$204,SAISIE_PROD!$A$5:$A$204,$B36,SAISIE_PROD!$AS$5:$AS$204,1))</f>
        <v/>
      </c>
      <c r="D36" s="183">
        <f>IF($B36="","",SUMIFS(SAISIE_PROD!$AB$5:$AB$204,SAISIE_PROD!$A$5:$A$204,$B36,SAISIE_PROD!$AS$5:$AS$204,1))</f>
        <v/>
      </c>
      <c r="E36" s="183">
        <f>IF($B36="","",SUMIFS(SAISIE_PROD!$AD$5:$AD$204,SAISIE_PROD!$A$5:$A$204,$B36,SAISIE_PROD!$AS$5:$AS$204,1))</f>
        <v/>
      </c>
      <c r="F36" s="183">
        <f>IF($B36="","",SUMIFS(SAISIE_PROD!$F$5:$F$204,SAISIE_PROD!$A$5:$A$204,$B36,SAISIE_PROD!$AS$5:$AS$204,1))</f>
        <v/>
      </c>
      <c r="G36" s="183">
        <f>IF($B36="","",SUMIFS(SAISIE_PROD!$P$5:$P$204,SAISIE_PROD!$A$5:$A$204,$B36,SAISIE_PROD!$AS$5:$AS$204,1))</f>
        <v/>
      </c>
      <c r="H36" s="183">
        <f>IF($B36="","",SUMIFS(SAISIE_PROD!$Q$5:$Q$204,SAISIE_PROD!$A$5:$A$204,$B36,SAISIE_PROD!$AS$5:$AS$204,1))</f>
        <v/>
      </c>
      <c r="I36" s="183">
        <f>IF($B36="","",SUMIFS(SAISIE_PROD!$R$5:$R$204,SAISIE_PROD!$A$5:$A$204,$B36,SAISIE_PROD!$AS$5:$AS$204,1))</f>
        <v/>
      </c>
      <c r="J36" s="183">
        <f>IF($B36="","",SUMIFS(SAISIE_PROD!$T$5:$T$204,SAISIE_PROD!$A$5:$A$204,$B36,SAISIE_PROD!$AS$5:$AS$204,1))</f>
        <v/>
      </c>
      <c r="K36" s="183">
        <f>IF($B36="","",SUMIFS(SAISIE_PROD!$X$5:$X$204,SAISIE_PROD!$A$5:$A$204,$B36,SAISIE_PROD!$AS$5:$AS$204,1))</f>
        <v/>
      </c>
      <c r="L36" s="183">
        <f>IF($B36="","",SUMIFS(SAISIE_PROD!$AC$5:$AC$204,SAISIE_PROD!$A$5:$A$204,$B36,SAISIE_PROD!$AS$5:$AS$204,1))</f>
        <v/>
      </c>
      <c r="M36" s="184">
        <f>IF(OR($B36="",$D36=0),"",$C36/$D36)</f>
        <v/>
      </c>
      <c r="N36" s="184">
        <f>IF($B36="",NA(),$V$3)</f>
        <v/>
      </c>
      <c r="O36" s="184">
        <f>IF(COUNT($M30:$M36)&lt;3,"",AVERAGE($M30:$M36))</f>
        <v/>
      </c>
      <c r="P36" s="184">
        <f>IF(OR($B36="",$V$5=""),NA(),$V$6)</f>
        <v/>
      </c>
      <c r="Q36" s="184">
        <f>IF(OR($B36="",$V$5=""),NA(),$V$7)</f>
        <v/>
      </c>
      <c r="R36" s="184">
        <f>IF($M36="",NA(),$M36)</f>
        <v/>
      </c>
      <c r="S36" s="184">
        <f>IF($O36="",NA(),$O36)</f>
        <v/>
      </c>
    </row>
    <row r="37" ht="14" customHeight="1">
      <c r="A37" s="147" t="n">
        <v>26</v>
      </c>
      <c r="B37" s="182">
        <f>IF($A37&gt;DAY($B$8),"",DATE($B$3,$B$4,$A37))</f>
        <v/>
      </c>
      <c r="C37" s="183">
        <f>IF($B37="","",SUMIFS(SAISIE_PROD!$AE$5:$AE$204,SAISIE_PROD!$A$5:$A$204,$B37,SAISIE_PROD!$AS$5:$AS$204,1))</f>
        <v/>
      </c>
      <c r="D37" s="183">
        <f>IF($B37="","",SUMIFS(SAISIE_PROD!$AB$5:$AB$204,SAISIE_PROD!$A$5:$A$204,$B37,SAISIE_PROD!$AS$5:$AS$204,1))</f>
        <v/>
      </c>
      <c r="E37" s="183">
        <f>IF($B37="","",SUMIFS(SAISIE_PROD!$AD$5:$AD$204,SAISIE_PROD!$A$5:$A$204,$B37,SAISIE_PROD!$AS$5:$AS$204,1))</f>
        <v/>
      </c>
      <c r="F37" s="183">
        <f>IF($B37="","",SUMIFS(SAISIE_PROD!$F$5:$F$204,SAISIE_PROD!$A$5:$A$204,$B37,SAISIE_PROD!$AS$5:$AS$204,1))</f>
        <v/>
      </c>
      <c r="G37" s="183">
        <f>IF($B37="","",SUMIFS(SAISIE_PROD!$P$5:$P$204,SAISIE_PROD!$A$5:$A$204,$B37,SAISIE_PROD!$AS$5:$AS$204,1))</f>
        <v/>
      </c>
      <c r="H37" s="183">
        <f>IF($B37="","",SUMIFS(SAISIE_PROD!$Q$5:$Q$204,SAISIE_PROD!$A$5:$A$204,$B37,SAISIE_PROD!$AS$5:$AS$204,1))</f>
        <v/>
      </c>
      <c r="I37" s="183">
        <f>IF($B37="","",SUMIFS(SAISIE_PROD!$R$5:$R$204,SAISIE_PROD!$A$5:$A$204,$B37,SAISIE_PROD!$AS$5:$AS$204,1))</f>
        <v/>
      </c>
      <c r="J37" s="183">
        <f>IF($B37="","",SUMIFS(SAISIE_PROD!$T$5:$T$204,SAISIE_PROD!$A$5:$A$204,$B37,SAISIE_PROD!$AS$5:$AS$204,1))</f>
        <v/>
      </c>
      <c r="K37" s="183">
        <f>IF($B37="","",SUMIFS(SAISIE_PROD!$X$5:$X$204,SAISIE_PROD!$A$5:$A$204,$B37,SAISIE_PROD!$AS$5:$AS$204,1))</f>
        <v/>
      </c>
      <c r="L37" s="183">
        <f>IF($B37="","",SUMIFS(SAISIE_PROD!$AC$5:$AC$204,SAISIE_PROD!$A$5:$A$204,$B37,SAISIE_PROD!$AS$5:$AS$204,1))</f>
        <v/>
      </c>
      <c r="M37" s="184">
        <f>IF(OR($B37="",$D37=0),"",$C37/$D37)</f>
        <v/>
      </c>
      <c r="N37" s="184">
        <f>IF($B37="",NA(),$V$3)</f>
        <v/>
      </c>
      <c r="O37" s="184">
        <f>IF(COUNT($M31:$M37)&lt;3,"",AVERAGE($M31:$M37))</f>
        <v/>
      </c>
      <c r="P37" s="184">
        <f>IF(OR($B37="",$V$5=""),NA(),$V$6)</f>
        <v/>
      </c>
      <c r="Q37" s="184">
        <f>IF(OR($B37="",$V$5=""),NA(),$V$7)</f>
        <v/>
      </c>
      <c r="R37" s="184">
        <f>IF($M37="",NA(),$M37)</f>
        <v/>
      </c>
      <c r="S37" s="184">
        <f>IF($O37="",NA(),$O37)</f>
        <v/>
      </c>
    </row>
    <row r="38" ht="14" customHeight="1">
      <c r="A38" s="147" t="n">
        <v>27</v>
      </c>
      <c r="B38" s="182">
        <f>IF($A38&gt;DAY($B$8),"",DATE($B$3,$B$4,$A38))</f>
        <v/>
      </c>
      <c r="C38" s="183">
        <f>IF($B38="","",SUMIFS(SAISIE_PROD!$AE$5:$AE$204,SAISIE_PROD!$A$5:$A$204,$B38,SAISIE_PROD!$AS$5:$AS$204,1))</f>
        <v/>
      </c>
      <c r="D38" s="183">
        <f>IF($B38="","",SUMIFS(SAISIE_PROD!$AB$5:$AB$204,SAISIE_PROD!$A$5:$A$204,$B38,SAISIE_PROD!$AS$5:$AS$204,1))</f>
        <v/>
      </c>
      <c r="E38" s="183">
        <f>IF($B38="","",SUMIFS(SAISIE_PROD!$AD$5:$AD$204,SAISIE_PROD!$A$5:$A$204,$B38,SAISIE_PROD!$AS$5:$AS$204,1))</f>
        <v/>
      </c>
      <c r="F38" s="183">
        <f>IF($B38="","",SUMIFS(SAISIE_PROD!$F$5:$F$204,SAISIE_PROD!$A$5:$A$204,$B38,SAISIE_PROD!$AS$5:$AS$204,1))</f>
        <v/>
      </c>
      <c r="G38" s="183">
        <f>IF($B38="","",SUMIFS(SAISIE_PROD!$P$5:$P$204,SAISIE_PROD!$A$5:$A$204,$B38,SAISIE_PROD!$AS$5:$AS$204,1))</f>
        <v/>
      </c>
      <c r="H38" s="183">
        <f>IF($B38="","",SUMIFS(SAISIE_PROD!$Q$5:$Q$204,SAISIE_PROD!$A$5:$A$204,$B38,SAISIE_PROD!$AS$5:$AS$204,1))</f>
        <v/>
      </c>
      <c r="I38" s="183">
        <f>IF($B38="","",SUMIFS(SAISIE_PROD!$R$5:$R$204,SAISIE_PROD!$A$5:$A$204,$B38,SAISIE_PROD!$AS$5:$AS$204,1))</f>
        <v/>
      </c>
      <c r="J38" s="183">
        <f>IF($B38="","",SUMIFS(SAISIE_PROD!$T$5:$T$204,SAISIE_PROD!$A$5:$A$204,$B38,SAISIE_PROD!$AS$5:$AS$204,1))</f>
        <v/>
      </c>
      <c r="K38" s="183">
        <f>IF($B38="","",SUMIFS(SAISIE_PROD!$X$5:$X$204,SAISIE_PROD!$A$5:$A$204,$B38,SAISIE_PROD!$AS$5:$AS$204,1))</f>
        <v/>
      </c>
      <c r="L38" s="183">
        <f>IF($B38="","",SUMIFS(SAISIE_PROD!$AC$5:$AC$204,SAISIE_PROD!$A$5:$A$204,$B38,SAISIE_PROD!$AS$5:$AS$204,1))</f>
        <v/>
      </c>
      <c r="M38" s="184">
        <f>IF(OR($B38="",$D38=0),"",$C38/$D38)</f>
        <v/>
      </c>
      <c r="N38" s="184">
        <f>IF($B38="",NA(),$V$3)</f>
        <v/>
      </c>
      <c r="O38" s="184">
        <f>IF(COUNT($M32:$M38)&lt;3,"",AVERAGE($M32:$M38))</f>
        <v/>
      </c>
      <c r="P38" s="184">
        <f>IF(OR($B38="",$V$5=""),NA(),$V$6)</f>
        <v/>
      </c>
      <c r="Q38" s="184">
        <f>IF(OR($B38="",$V$5=""),NA(),$V$7)</f>
        <v/>
      </c>
      <c r="R38" s="184">
        <f>IF($M38="",NA(),$M38)</f>
        <v/>
      </c>
      <c r="S38" s="184">
        <f>IF($O38="",NA(),$O38)</f>
        <v/>
      </c>
    </row>
    <row r="39" ht="14" customHeight="1">
      <c r="A39" s="147" t="n">
        <v>28</v>
      </c>
      <c r="B39" s="182">
        <f>IF($A39&gt;DAY($B$8),"",DATE($B$3,$B$4,$A39))</f>
        <v/>
      </c>
      <c r="C39" s="183">
        <f>IF($B39="","",SUMIFS(SAISIE_PROD!$AE$5:$AE$204,SAISIE_PROD!$A$5:$A$204,$B39,SAISIE_PROD!$AS$5:$AS$204,1))</f>
        <v/>
      </c>
      <c r="D39" s="183">
        <f>IF($B39="","",SUMIFS(SAISIE_PROD!$AB$5:$AB$204,SAISIE_PROD!$A$5:$A$204,$B39,SAISIE_PROD!$AS$5:$AS$204,1))</f>
        <v/>
      </c>
      <c r="E39" s="183">
        <f>IF($B39="","",SUMIFS(SAISIE_PROD!$AD$5:$AD$204,SAISIE_PROD!$A$5:$A$204,$B39,SAISIE_PROD!$AS$5:$AS$204,1))</f>
        <v/>
      </c>
      <c r="F39" s="183">
        <f>IF($B39="","",SUMIFS(SAISIE_PROD!$F$5:$F$204,SAISIE_PROD!$A$5:$A$204,$B39,SAISIE_PROD!$AS$5:$AS$204,1))</f>
        <v/>
      </c>
      <c r="G39" s="183">
        <f>IF($B39="","",SUMIFS(SAISIE_PROD!$P$5:$P$204,SAISIE_PROD!$A$5:$A$204,$B39,SAISIE_PROD!$AS$5:$AS$204,1))</f>
        <v/>
      </c>
      <c r="H39" s="183">
        <f>IF($B39="","",SUMIFS(SAISIE_PROD!$Q$5:$Q$204,SAISIE_PROD!$A$5:$A$204,$B39,SAISIE_PROD!$AS$5:$AS$204,1))</f>
        <v/>
      </c>
      <c r="I39" s="183">
        <f>IF($B39="","",SUMIFS(SAISIE_PROD!$R$5:$R$204,SAISIE_PROD!$A$5:$A$204,$B39,SAISIE_PROD!$AS$5:$AS$204,1))</f>
        <v/>
      </c>
      <c r="J39" s="183">
        <f>IF($B39="","",SUMIFS(SAISIE_PROD!$T$5:$T$204,SAISIE_PROD!$A$5:$A$204,$B39,SAISIE_PROD!$AS$5:$AS$204,1))</f>
        <v/>
      </c>
      <c r="K39" s="183">
        <f>IF($B39="","",SUMIFS(SAISIE_PROD!$X$5:$X$204,SAISIE_PROD!$A$5:$A$204,$B39,SAISIE_PROD!$AS$5:$AS$204,1))</f>
        <v/>
      </c>
      <c r="L39" s="183">
        <f>IF($B39="","",SUMIFS(SAISIE_PROD!$AC$5:$AC$204,SAISIE_PROD!$A$5:$A$204,$B39,SAISIE_PROD!$AS$5:$AS$204,1))</f>
        <v/>
      </c>
      <c r="M39" s="184">
        <f>IF(OR($B39="",$D39=0),"",$C39/$D39)</f>
        <v/>
      </c>
      <c r="N39" s="184">
        <f>IF($B39="",NA(),$V$3)</f>
        <v/>
      </c>
      <c r="O39" s="184">
        <f>IF(COUNT($M33:$M39)&lt;3,"",AVERAGE($M33:$M39))</f>
        <v/>
      </c>
      <c r="P39" s="184">
        <f>IF(OR($B39="",$V$5=""),NA(),$V$6)</f>
        <v/>
      </c>
      <c r="Q39" s="184">
        <f>IF(OR($B39="",$V$5=""),NA(),$V$7)</f>
        <v/>
      </c>
      <c r="R39" s="184">
        <f>IF($M39="",NA(),$M39)</f>
        <v/>
      </c>
      <c r="S39" s="184">
        <f>IF($O39="",NA(),$O39)</f>
        <v/>
      </c>
    </row>
    <row r="40" ht="14" customHeight="1">
      <c r="A40" s="147" t="n">
        <v>29</v>
      </c>
      <c r="B40" s="182">
        <f>IF($A40&gt;DAY($B$8),"",DATE($B$3,$B$4,$A40))</f>
        <v/>
      </c>
      <c r="C40" s="183">
        <f>IF($B40="","",SUMIFS(SAISIE_PROD!$AE$5:$AE$204,SAISIE_PROD!$A$5:$A$204,$B40,SAISIE_PROD!$AS$5:$AS$204,1))</f>
        <v/>
      </c>
      <c r="D40" s="183">
        <f>IF($B40="","",SUMIFS(SAISIE_PROD!$AB$5:$AB$204,SAISIE_PROD!$A$5:$A$204,$B40,SAISIE_PROD!$AS$5:$AS$204,1))</f>
        <v/>
      </c>
      <c r="E40" s="183">
        <f>IF($B40="","",SUMIFS(SAISIE_PROD!$AD$5:$AD$204,SAISIE_PROD!$A$5:$A$204,$B40,SAISIE_PROD!$AS$5:$AS$204,1))</f>
        <v/>
      </c>
      <c r="F40" s="183">
        <f>IF($B40="","",SUMIFS(SAISIE_PROD!$F$5:$F$204,SAISIE_PROD!$A$5:$A$204,$B40,SAISIE_PROD!$AS$5:$AS$204,1))</f>
        <v/>
      </c>
      <c r="G40" s="183">
        <f>IF($B40="","",SUMIFS(SAISIE_PROD!$P$5:$P$204,SAISIE_PROD!$A$5:$A$204,$B40,SAISIE_PROD!$AS$5:$AS$204,1))</f>
        <v/>
      </c>
      <c r="H40" s="183">
        <f>IF($B40="","",SUMIFS(SAISIE_PROD!$Q$5:$Q$204,SAISIE_PROD!$A$5:$A$204,$B40,SAISIE_PROD!$AS$5:$AS$204,1))</f>
        <v/>
      </c>
      <c r="I40" s="183">
        <f>IF($B40="","",SUMIFS(SAISIE_PROD!$R$5:$R$204,SAISIE_PROD!$A$5:$A$204,$B40,SAISIE_PROD!$AS$5:$AS$204,1))</f>
        <v/>
      </c>
      <c r="J40" s="183">
        <f>IF($B40="","",SUMIFS(SAISIE_PROD!$T$5:$T$204,SAISIE_PROD!$A$5:$A$204,$B40,SAISIE_PROD!$AS$5:$AS$204,1))</f>
        <v/>
      </c>
      <c r="K40" s="183">
        <f>IF($B40="","",SUMIFS(SAISIE_PROD!$X$5:$X$204,SAISIE_PROD!$A$5:$A$204,$B40,SAISIE_PROD!$AS$5:$AS$204,1))</f>
        <v/>
      </c>
      <c r="L40" s="183">
        <f>IF($B40="","",SUMIFS(SAISIE_PROD!$AC$5:$AC$204,SAISIE_PROD!$A$5:$A$204,$B40,SAISIE_PROD!$AS$5:$AS$204,1))</f>
        <v/>
      </c>
      <c r="M40" s="184">
        <f>IF(OR($B40="",$D40=0),"",$C40/$D40)</f>
        <v/>
      </c>
      <c r="N40" s="184">
        <f>IF($B40="",NA(),$V$3)</f>
        <v/>
      </c>
      <c r="O40" s="184">
        <f>IF(COUNT($M34:$M40)&lt;3,"",AVERAGE($M34:$M40))</f>
        <v/>
      </c>
      <c r="P40" s="184">
        <f>IF(OR($B40="",$V$5=""),NA(),$V$6)</f>
        <v/>
      </c>
      <c r="Q40" s="184">
        <f>IF(OR($B40="",$V$5=""),NA(),$V$7)</f>
        <v/>
      </c>
      <c r="R40" s="184">
        <f>IF($M40="",NA(),$M40)</f>
        <v/>
      </c>
      <c r="S40" s="184">
        <f>IF($O40="",NA(),$O40)</f>
        <v/>
      </c>
    </row>
    <row r="41" ht="14" customHeight="1">
      <c r="A41" s="147" t="n">
        <v>30</v>
      </c>
      <c r="B41" s="182">
        <f>IF($A41&gt;DAY($B$8),"",DATE($B$3,$B$4,$A41))</f>
        <v/>
      </c>
      <c r="C41" s="183">
        <f>IF($B41="","",SUMIFS(SAISIE_PROD!$AE$5:$AE$204,SAISIE_PROD!$A$5:$A$204,$B41,SAISIE_PROD!$AS$5:$AS$204,1))</f>
        <v/>
      </c>
      <c r="D41" s="183">
        <f>IF($B41="","",SUMIFS(SAISIE_PROD!$AB$5:$AB$204,SAISIE_PROD!$A$5:$A$204,$B41,SAISIE_PROD!$AS$5:$AS$204,1))</f>
        <v/>
      </c>
      <c r="E41" s="183">
        <f>IF($B41="","",SUMIFS(SAISIE_PROD!$AD$5:$AD$204,SAISIE_PROD!$A$5:$A$204,$B41,SAISIE_PROD!$AS$5:$AS$204,1))</f>
        <v/>
      </c>
      <c r="F41" s="183">
        <f>IF($B41="","",SUMIFS(SAISIE_PROD!$F$5:$F$204,SAISIE_PROD!$A$5:$A$204,$B41,SAISIE_PROD!$AS$5:$AS$204,1))</f>
        <v/>
      </c>
      <c r="G41" s="183">
        <f>IF($B41="","",SUMIFS(SAISIE_PROD!$P$5:$P$204,SAISIE_PROD!$A$5:$A$204,$B41,SAISIE_PROD!$AS$5:$AS$204,1))</f>
        <v/>
      </c>
      <c r="H41" s="183">
        <f>IF($B41="","",SUMIFS(SAISIE_PROD!$Q$5:$Q$204,SAISIE_PROD!$A$5:$A$204,$B41,SAISIE_PROD!$AS$5:$AS$204,1))</f>
        <v/>
      </c>
      <c r="I41" s="183">
        <f>IF($B41="","",SUMIFS(SAISIE_PROD!$R$5:$R$204,SAISIE_PROD!$A$5:$A$204,$B41,SAISIE_PROD!$AS$5:$AS$204,1))</f>
        <v/>
      </c>
      <c r="J41" s="183">
        <f>IF($B41="","",SUMIFS(SAISIE_PROD!$T$5:$T$204,SAISIE_PROD!$A$5:$A$204,$B41,SAISIE_PROD!$AS$5:$AS$204,1))</f>
        <v/>
      </c>
      <c r="K41" s="183">
        <f>IF($B41="","",SUMIFS(SAISIE_PROD!$X$5:$X$204,SAISIE_PROD!$A$5:$A$204,$B41,SAISIE_PROD!$AS$5:$AS$204,1))</f>
        <v/>
      </c>
      <c r="L41" s="183">
        <f>IF($B41="","",SUMIFS(SAISIE_PROD!$AC$5:$AC$204,SAISIE_PROD!$A$5:$A$204,$B41,SAISIE_PROD!$AS$5:$AS$204,1))</f>
        <v/>
      </c>
      <c r="M41" s="184">
        <f>IF(OR($B41="",$D41=0),"",$C41/$D41)</f>
        <v/>
      </c>
      <c r="N41" s="184">
        <f>IF($B41="",NA(),$V$3)</f>
        <v/>
      </c>
      <c r="O41" s="184">
        <f>IF(COUNT($M35:$M41)&lt;3,"",AVERAGE($M35:$M41))</f>
        <v/>
      </c>
      <c r="P41" s="184">
        <f>IF(OR($B41="",$V$5=""),NA(),$V$6)</f>
        <v/>
      </c>
      <c r="Q41" s="184">
        <f>IF(OR($B41="",$V$5=""),NA(),$V$7)</f>
        <v/>
      </c>
      <c r="R41" s="184">
        <f>IF($M41="",NA(),$M41)</f>
        <v/>
      </c>
      <c r="S41" s="184">
        <f>IF($O41="",NA(),$O41)</f>
        <v/>
      </c>
    </row>
    <row r="42" ht="14" customHeight="1">
      <c r="A42" s="147" t="n">
        <v>31</v>
      </c>
      <c r="B42" s="182">
        <f>IF($A42&gt;DAY($B$8),"",DATE($B$3,$B$4,$A42))</f>
        <v/>
      </c>
      <c r="C42" s="183">
        <f>IF($B42="","",SUMIFS(SAISIE_PROD!$AE$5:$AE$204,SAISIE_PROD!$A$5:$A$204,$B42,SAISIE_PROD!$AS$5:$AS$204,1))</f>
        <v/>
      </c>
      <c r="D42" s="183">
        <f>IF($B42="","",SUMIFS(SAISIE_PROD!$AB$5:$AB$204,SAISIE_PROD!$A$5:$A$204,$B42,SAISIE_PROD!$AS$5:$AS$204,1))</f>
        <v/>
      </c>
      <c r="E42" s="183">
        <f>IF($B42="","",SUMIFS(SAISIE_PROD!$AD$5:$AD$204,SAISIE_PROD!$A$5:$A$204,$B42,SAISIE_PROD!$AS$5:$AS$204,1))</f>
        <v/>
      </c>
      <c r="F42" s="183">
        <f>IF($B42="","",SUMIFS(SAISIE_PROD!$F$5:$F$204,SAISIE_PROD!$A$5:$A$204,$B42,SAISIE_PROD!$AS$5:$AS$204,1))</f>
        <v/>
      </c>
      <c r="G42" s="183">
        <f>IF($B42="","",SUMIFS(SAISIE_PROD!$P$5:$P$204,SAISIE_PROD!$A$5:$A$204,$B42,SAISIE_PROD!$AS$5:$AS$204,1))</f>
        <v/>
      </c>
      <c r="H42" s="183">
        <f>IF($B42="","",SUMIFS(SAISIE_PROD!$Q$5:$Q$204,SAISIE_PROD!$A$5:$A$204,$B42,SAISIE_PROD!$AS$5:$AS$204,1))</f>
        <v/>
      </c>
      <c r="I42" s="183">
        <f>IF($B42="","",SUMIFS(SAISIE_PROD!$R$5:$R$204,SAISIE_PROD!$A$5:$A$204,$B42,SAISIE_PROD!$AS$5:$AS$204,1))</f>
        <v/>
      </c>
      <c r="J42" s="183">
        <f>IF($B42="","",SUMIFS(SAISIE_PROD!$T$5:$T$204,SAISIE_PROD!$A$5:$A$204,$B42,SAISIE_PROD!$AS$5:$AS$204,1))</f>
        <v/>
      </c>
      <c r="K42" s="183">
        <f>IF($B42="","",SUMIFS(SAISIE_PROD!$X$5:$X$204,SAISIE_PROD!$A$5:$A$204,$B42,SAISIE_PROD!$AS$5:$AS$204,1))</f>
        <v/>
      </c>
      <c r="L42" s="183">
        <f>IF($B42="","",SUMIFS(SAISIE_PROD!$AC$5:$AC$204,SAISIE_PROD!$A$5:$A$204,$B42,SAISIE_PROD!$AS$5:$AS$204,1))</f>
        <v/>
      </c>
      <c r="M42" s="184">
        <f>IF(OR($B42="",$D42=0),"",$C42/$D42)</f>
        <v/>
      </c>
      <c r="N42" s="184">
        <f>IF($B42="",NA(),$V$3)</f>
        <v/>
      </c>
      <c r="O42" s="184">
        <f>IF(COUNT($M36:$M42)&lt;3,"",AVERAGE($M36:$M42))</f>
        <v/>
      </c>
      <c r="P42" s="184">
        <f>IF(OR($B42="",$V$5=""),NA(),$V$6)</f>
        <v/>
      </c>
      <c r="Q42" s="184">
        <f>IF(OR($B42="",$V$5=""),NA(),$V$7)</f>
        <v/>
      </c>
      <c r="R42" s="184">
        <f>IF($M42="",NA(),$M42)</f>
        <v/>
      </c>
      <c r="S42" s="184">
        <f>IF($O42="",NA(),$O42)</f>
        <v/>
      </c>
    </row>
    <row r="44" ht="20" customHeight="1">
      <c r="A44" s="4" t="inlineStr">
        <is>
          <t>PARETO DES PERTES DE TEMPS SUBIES  (hors arrêts planifiés)</t>
        </is>
      </c>
      <c r="B44" s="5" t="n"/>
      <c r="C44" s="5" t="n"/>
      <c r="D44" s="5" t="n"/>
      <c r="E44" s="5" t="n"/>
      <c r="F44" s="5" t="n"/>
      <c r="G44" s="5" t="n"/>
      <c r="H44" s="5" t="n"/>
      <c r="I44" s="5" t="n"/>
      <c r="J44" s="5" t="n"/>
      <c r="K44" s="5" t="n"/>
      <c r="L44" s="5" t="n"/>
    </row>
    <row r="45" ht="28" customHeight="1">
      <c r="A45" s="6" t="inlineStr">
        <is>
          <t>Rubrique de perte</t>
        </is>
      </c>
      <c r="B45" s="6" t="inlineStr">
        <is>
          <t>Minutes perdues</t>
        </is>
      </c>
      <c r="C45" s="6" t="inlineStr">
        <is>
          <t>Valeur départagée</t>
        </is>
      </c>
      <c r="D45" s="6" t="inlineStr">
        <is>
          <t>Rang</t>
        </is>
      </c>
      <c r="E45" s="6" t="inlineStr"/>
      <c r="F45" s="6" t="inlineStr">
        <is>
          <t>Rubrique classée</t>
        </is>
      </c>
      <c r="G45" s="6" t="inlineStr">
        <is>
          <t>Minutes</t>
        </is>
      </c>
      <c r="H45" s="6" t="inlineStr">
        <is>
          <t>Part</t>
        </is>
      </c>
      <c r="I45" s="6" t="inlineStr">
        <is>
          <t>Part cumulée</t>
        </is>
      </c>
      <c r="J45" s="6" t="inlineStr"/>
      <c r="K45" s="6" t="inlineStr"/>
      <c r="L45" s="6" t="inlineStr"/>
    </row>
    <row r="46" ht="14" customHeight="1">
      <c r="A46" s="18" t="inlineStr">
        <is>
          <t>Pannes machine</t>
        </is>
      </c>
      <c r="B46" s="186">
        <f>SUMIFS(SAISIE_PROD!$H$5:$H$204,SAISIE_PROD!$A$5:$A$204,"&gt;="&amp;$B$7,SAISIE_PROD!$A$5:$A$204,"&lt;="&amp;$B$8,SAISIE_PROD!$AS$5:$AS$204,1)</f>
        <v/>
      </c>
      <c r="C46" s="187">
        <f>$B46+(54-ROW())/100000</f>
        <v/>
      </c>
      <c r="D46" s="188">
        <f>RANK($C46,$C$46:$C$53)</f>
        <v/>
      </c>
      <c r="F46" s="18">
        <f>INDEX($A$46:$A$53,MATCH(LARGE($C$46:$C$53,1),$C$46:$C$53,0))</f>
        <v/>
      </c>
      <c r="G46" s="186">
        <f>INDEX($B$46:$B$53,MATCH(LARGE($C$46:$C$53,1),$C$46:$C$53,0))</f>
        <v/>
      </c>
      <c r="H46" s="189">
        <f>IFERROR($G46/SUM($B$46:$B$53),"")</f>
        <v/>
      </c>
      <c r="I46" s="189">
        <f>IFERROR(SUM($G$46:$G46)/SUM($B$46:$B$53),"")</f>
        <v/>
      </c>
    </row>
    <row r="47" ht="14" customHeight="1">
      <c r="A47" s="18" t="inlineStr">
        <is>
          <t>Changement de série</t>
        </is>
      </c>
      <c r="B47" s="186">
        <f>SUMIFS(SAISIE_PROD!$I$5:$I$204,SAISIE_PROD!$A$5:$A$204,"&gt;="&amp;$B$7,SAISIE_PROD!$A$5:$A$204,"&lt;="&amp;$B$8,SAISIE_PROD!$AS$5:$AS$204,1)</f>
        <v/>
      </c>
      <c r="C47" s="187">
        <f>$B47+(54-ROW())/100000</f>
        <v/>
      </c>
      <c r="D47" s="188">
        <f>RANK($C47,$C$46:$C$53)</f>
        <v/>
      </c>
      <c r="F47" s="18">
        <f>INDEX($A$46:$A$53,MATCH(LARGE($C$46:$C$53,2),$C$46:$C$53,0))</f>
        <v/>
      </c>
      <c r="G47" s="186">
        <f>INDEX($B$46:$B$53,MATCH(LARGE($C$46:$C$53,2),$C$46:$C$53,0))</f>
        <v/>
      </c>
      <c r="H47" s="189">
        <f>IFERROR($G47/SUM($B$46:$B$53),"")</f>
        <v/>
      </c>
      <c r="I47" s="189">
        <f>IFERROR(SUM($G$46:$G47)/SUM($B$46:$B$53),"")</f>
        <v/>
      </c>
    </row>
    <row r="48" ht="14" customHeight="1">
      <c r="A48" s="18" t="inlineStr">
        <is>
          <t>Réglages et micro-arrêts</t>
        </is>
      </c>
      <c r="B48" s="186">
        <f>SUMIFS(SAISIE_PROD!$J$5:$J$204,SAISIE_PROD!$A$5:$A$204,"&gt;="&amp;$B$7,SAISIE_PROD!$A$5:$A$204,"&lt;="&amp;$B$8,SAISIE_PROD!$AS$5:$AS$204,1)</f>
        <v/>
      </c>
      <c r="C48" s="187">
        <f>$B48+(54-ROW())/100000</f>
        <v/>
      </c>
      <c r="D48" s="188">
        <f>RANK($C48,$C$46:$C$53)</f>
        <v/>
      </c>
      <c r="F48" s="18">
        <f>INDEX($A$46:$A$53,MATCH(LARGE($C$46:$C$53,3),$C$46:$C$53,0))</f>
        <v/>
      </c>
      <c r="G48" s="186">
        <f>INDEX($B$46:$B$53,MATCH(LARGE($C$46:$C$53,3),$C$46:$C$53,0))</f>
        <v/>
      </c>
      <c r="H48" s="189">
        <f>IFERROR($G48/SUM($B$46:$B$53),"")</f>
        <v/>
      </c>
      <c r="I48" s="189">
        <f>IFERROR(SUM($G$46:$G48)/SUM($B$46:$B$53),"")</f>
        <v/>
      </c>
    </row>
    <row r="49" ht="14" customHeight="1">
      <c r="A49" s="18" t="inlineStr">
        <is>
          <t>Manque matière</t>
        </is>
      </c>
      <c r="B49" s="186">
        <f>SUMIFS(SAISIE_PROD!$K$5:$K$204,SAISIE_PROD!$A$5:$A$204,"&gt;="&amp;$B$7,SAISIE_PROD!$A$5:$A$204,"&lt;="&amp;$B$8,SAISIE_PROD!$AS$5:$AS$204,1)</f>
        <v/>
      </c>
      <c r="C49" s="187">
        <f>$B49+(54-ROW())/100000</f>
        <v/>
      </c>
      <c r="D49" s="188">
        <f>RANK($C49,$C$46:$C$53)</f>
        <v/>
      </c>
      <c r="F49" s="18">
        <f>INDEX($A$46:$A$53,MATCH(LARGE($C$46:$C$53,4),$C$46:$C$53,0))</f>
        <v/>
      </c>
      <c r="G49" s="186">
        <f>INDEX($B$46:$B$53,MATCH(LARGE($C$46:$C$53,4),$C$46:$C$53,0))</f>
        <v/>
      </c>
      <c r="H49" s="189">
        <f>IFERROR($G49/SUM($B$46:$B$53),"")</f>
        <v/>
      </c>
      <c r="I49" s="189">
        <f>IFERROR(SUM($G$46:$G49)/SUM($B$46:$B$53),"")</f>
        <v/>
      </c>
    </row>
    <row r="50" ht="14" customHeight="1">
      <c r="A50" s="18" t="inlineStr">
        <is>
          <t>Manque personnel</t>
        </is>
      </c>
      <c r="B50" s="186">
        <f>SUMIFS(SAISIE_PROD!$L$5:$L$204,SAISIE_PROD!$A$5:$A$204,"&gt;="&amp;$B$7,SAISIE_PROD!$A$5:$A$204,"&lt;="&amp;$B$8,SAISIE_PROD!$AS$5:$AS$204,1)</f>
        <v/>
      </c>
      <c r="C50" s="187">
        <f>$B50+(54-ROW())/100000</f>
        <v/>
      </c>
      <c r="D50" s="188">
        <f>RANK($C50,$C$46:$C$53)</f>
        <v/>
      </c>
      <c r="F50" s="18">
        <f>INDEX($A$46:$A$53,MATCH(LARGE($C$46:$C$53,5),$C$46:$C$53,0))</f>
        <v/>
      </c>
      <c r="G50" s="186">
        <f>INDEX($B$46:$B$53,MATCH(LARGE($C$46:$C$53,5),$C$46:$C$53,0))</f>
        <v/>
      </c>
      <c r="H50" s="189">
        <f>IFERROR($G50/SUM($B$46:$B$53),"")</f>
        <v/>
      </c>
      <c r="I50" s="189">
        <f>IFERROR(SUM($G$46:$G50)/SUM($B$46:$B$53),"")</f>
        <v/>
      </c>
    </row>
    <row r="51" ht="14" customHeight="1">
      <c r="A51" s="18" t="inlineStr">
        <is>
          <t>Autres arrêts subis</t>
        </is>
      </c>
      <c r="B51" s="186">
        <f>SUMIFS(SAISIE_PROD!$M$5:$M$204,SAISIE_PROD!$A$5:$A$204,"&gt;="&amp;$B$7,SAISIE_PROD!$A$5:$A$204,"&lt;="&amp;$B$8,SAISIE_PROD!$AS$5:$AS$204,1)</f>
        <v/>
      </c>
      <c r="C51" s="187">
        <f>$B51+(54-ROW())/100000</f>
        <v/>
      </c>
      <c r="D51" s="188">
        <f>RANK($C51,$C$46:$C$53)</f>
        <v/>
      </c>
      <c r="F51" s="18">
        <f>INDEX($A$46:$A$53,MATCH(LARGE($C$46:$C$53,6),$C$46:$C$53,0))</f>
        <v/>
      </c>
      <c r="G51" s="186">
        <f>INDEX($B$46:$B$53,MATCH(LARGE($C$46:$C$53,6),$C$46:$C$53,0))</f>
        <v/>
      </c>
      <c r="H51" s="189">
        <f>IFERROR($G51/SUM($B$46:$B$53),"")</f>
        <v/>
      </c>
      <c r="I51" s="189">
        <f>IFERROR(SUM($G$46:$G51)/SUM($B$46:$B$53),"")</f>
        <v/>
      </c>
    </row>
    <row r="52" ht="14" customHeight="1">
      <c r="A52" s="18" t="inlineStr">
        <is>
          <t>Perte de cadence</t>
        </is>
      </c>
      <c r="B52" s="186">
        <f>SUMIFS(SAISIE_PROD!$AP$5:$AP$204,SAISIE_PROD!$A$5:$A$204,"&gt;="&amp;$B$7,SAISIE_PROD!$A$5:$A$204,"&lt;="&amp;$B$8,SAISIE_PROD!$AS$5:$AS$204,1)</f>
        <v/>
      </c>
      <c r="C52" s="187">
        <f>$B52+(54-ROW())/100000</f>
        <v/>
      </c>
      <c r="D52" s="188">
        <f>RANK($C52,$C$46:$C$53)</f>
        <v/>
      </c>
      <c r="F52" s="18">
        <f>INDEX($A$46:$A$53,MATCH(LARGE($C$46:$C$53,7),$C$46:$C$53,0))</f>
        <v/>
      </c>
      <c r="G52" s="186">
        <f>INDEX($B$46:$B$53,MATCH(LARGE($C$46:$C$53,7),$C$46:$C$53,0))</f>
        <v/>
      </c>
      <c r="H52" s="189">
        <f>IFERROR($G52/SUM($B$46:$B$53),"")</f>
        <v/>
      </c>
      <c r="I52" s="189">
        <f>IFERROR(SUM($G$46:$G52)/SUM($B$46:$B$53),"")</f>
        <v/>
      </c>
    </row>
    <row r="53" ht="14" customHeight="1">
      <c r="A53" s="18" t="inlineStr">
        <is>
          <t>Pertes non-qualité</t>
        </is>
      </c>
      <c r="B53" s="186">
        <f>SUMIFS(SAISIE_PROD!$AQ$5:$AQ$204,SAISIE_PROD!$A$5:$A$204,"&gt;="&amp;$B$7,SAISIE_PROD!$A$5:$A$204,"&lt;="&amp;$B$8,SAISIE_PROD!$AS$5:$AS$204,1)</f>
        <v/>
      </c>
      <c r="C53" s="187">
        <f>$B53+(54-ROW())/100000</f>
        <v/>
      </c>
      <c r="D53" s="188">
        <f>RANK($C53,$C$46:$C$53)</f>
        <v/>
      </c>
      <c r="F53" s="18">
        <f>INDEX($A$46:$A$53,MATCH(LARGE($C$46:$C$53,8),$C$46:$C$53,0))</f>
        <v/>
      </c>
      <c r="G53" s="186">
        <f>INDEX($B$46:$B$53,MATCH(LARGE($C$46:$C$53,8),$C$46:$C$53,0))</f>
        <v/>
      </c>
      <c r="H53" s="189">
        <f>IFERROR($G53/SUM($B$46:$B$53),"")</f>
        <v/>
      </c>
      <c r="I53" s="189">
        <f>IFERROR(SUM($G$46:$G53)/SUM($B$46:$B$53),"")</f>
        <v/>
      </c>
    </row>
    <row r="55" ht="20" customHeight="1">
      <c r="A55" s="4" t="inlineStr">
        <is>
          <t>CASCADE DES PERTES DE TEMPS  (du temps d'ouverture au temps utile)</t>
        </is>
      </c>
      <c r="B55" s="5" t="n"/>
      <c r="C55" s="5" t="n"/>
      <c r="D55" s="5" t="n"/>
      <c r="E55" s="5" t="n"/>
      <c r="F55" s="5" t="n"/>
      <c r="G55" s="5" t="n"/>
      <c r="H55" s="5" t="n"/>
      <c r="I55" s="5" t="n"/>
      <c r="J55" s="5" t="n"/>
      <c r="K55" s="5" t="n"/>
      <c r="L55" s="5" t="n"/>
    </row>
    <row r="56" ht="26" customHeight="1">
      <c r="A56" s="6" t="inlineStr">
        <is>
          <t>Étape</t>
        </is>
      </c>
      <c r="B56" s="6" t="inlineStr">
        <is>
          <t>Socle (invisible)</t>
        </is>
      </c>
      <c r="C56" s="6" t="inlineStr">
        <is>
          <t>Valeur affichée</t>
        </is>
      </c>
      <c r="D56" s="6" t="inlineStr">
        <is>
          <t>Jalon</t>
        </is>
      </c>
      <c r="E56" s="6" t="inlineStr"/>
      <c r="F56" s="6" t="inlineStr"/>
      <c r="G56" s="6" t="inlineStr"/>
      <c r="H56" s="6" t="inlineStr"/>
      <c r="I56" s="6" t="inlineStr"/>
      <c r="J56" s="6" t="inlineStr"/>
      <c r="K56" s="6" t="inlineStr"/>
      <c r="L56" s="6" t="inlineStr"/>
    </row>
    <row r="57" ht="14" customHeight="1">
      <c r="A57" s="20" t="inlineStr">
        <is>
          <t>Temps d'ouverture</t>
        </is>
      </c>
      <c r="B57" s="190" t="n">
        <v>0</v>
      </c>
      <c r="C57" s="190">
        <f>$V$8</f>
        <v/>
      </c>
      <c r="D57" s="191" t="n">
        <v>1</v>
      </c>
    </row>
    <row r="58" ht="14" customHeight="1">
      <c r="A58" s="18" t="inlineStr">
        <is>
          <t>Arrêts planifiés</t>
        </is>
      </c>
      <c r="B58" s="186">
        <f>$V$8-$V$9</f>
        <v/>
      </c>
      <c r="C58" s="186">
        <f>$V$9</f>
        <v/>
      </c>
      <c r="D58" s="192" t="n">
        <v>0</v>
      </c>
    </row>
    <row r="59" ht="14" customHeight="1">
      <c r="A59" s="20" t="inlineStr">
        <is>
          <t>Temps requis</t>
        </is>
      </c>
      <c r="B59" s="190" t="n">
        <v>0</v>
      </c>
      <c r="C59" s="190">
        <f>$V$18</f>
        <v/>
      </c>
      <c r="D59" s="191" t="n">
        <v>1</v>
      </c>
    </row>
    <row r="60" ht="14" customHeight="1">
      <c r="A60" s="18" t="inlineStr">
        <is>
          <t>Pannes machine</t>
        </is>
      </c>
      <c r="B60" s="186">
        <f>$V$18-$V$10</f>
        <v/>
      </c>
      <c r="C60" s="186">
        <f>$V$10</f>
        <v/>
      </c>
      <c r="D60" s="192" t="n">
        <v>0</v>
      </c>
    </row>
    <row r="61" ht="14" customHeight="1">
      <c r="A61" s="18" t="inlineStr">
        <is>
          <t>Changement de série</t>
        </is>
      </c>
      <c r="B61" s="186">
        <f>$V$18-SUM($V$10:$V$11)</f>
        <v/>
      </c>
      <c r="C61" s="186">
        <f>$V$11</f>
        <v/>
      </c>
      <c r="D61" s="192" t="n">
        <v>0</v>
      </c>
    </row>
    <row r="62" ht="14" customHeight="1">
      <c r="A62" s="18" t="inlineStr">
        <is>
          <t>Réglages, micro-arrêts</t>
        </is>
      </c>
      <c r="B62" s="186">
        <f>$V$18-SUM($V$10:$V$12)</f>
        <v/>
      </c>
      <c r="C62" s="186">
        <f>$V$12</f>
        <v/>
      </c>
      <c r="D62" s="192" t="n">
        <v>0</v>
      </c>
    </row>
    <row r="63" ht="14" customHeight="1">
      <c r="A63" s="18" t="inlineStr">
        <is>
          <t>Manque matière</t>
        </is>
      </c>
      <c r="B63" s="186">
        <f>$V$18-SUM($V$10:$V$13)</f>
        <v/>
      </c>
      <c r="C63" s="186">
        <f>$V$13</f>
        <v/>
      </c>
      <c r="D63" s="192" t="n">
        <v>0</v>
      </c>
    </row>
    <row r="64" ht="14" customHeight="1">
      <c r="A64" s="18" t="inlineStr">
        <is>
          <t>Manque personnel</t>
        </is>
      </c>
      <c r="B64" s="186">
        <f>$V$18-SUM($V$10:$V$14)</f>
        <v/>
      </c>
      <c r="C64" s="186">
        <f>$V$14</f>
        <v/>
      </c>
      <c r="D64" s="192" t="n">
        <v>0</v>
      </c>
    </row>
    <row r="65" ht="14" customHeight="1">
      <c r="A65" s="18" t="inlineStr">
        <is>
          <t>Autres arrêts subis</t>
        </is>
      </c>
      <c r="B65" s="186">
        <f>$V$18-SUM($V$10:$V$15)</f>
        <v/>
      </c>
      <c r="C65" s="186">
        <f>$V$15</f>
        <v/>
      </c>
      <c r="D65" s="192" t="n">
        <v>0</v>
      </c>
    </row>
    <row r="66" ht="14" customHeight="1">
      <c r="A66" s="20" t="inlineStr">
        <is>
          <t>Temps de marche</t>
        </is>
      </c>
      <c r="B66" s="190" t="n">
        <v>0</v>
      </c>
      <c r="C66" s="190">
        <f>$V$19</f>
        <v/>
      </c>
      <c r="D66" s="191" t="n">
        <v>1</v>
      </c>
    </row>
    <row r="67" ht="14" customHeight="1">
      <c r="A67" s="18" t="inlineStr">
        <is>
          <t>Perte de cadence</t>
        </is>
      </c>
      <c r="B67" s="186">
        <f>$V$19-$V$16</f>
        <v/>
      </c>
      <c r="C67" s="186">
        <f>$V$16</f>
        <v/>
      </c>
      <c r="D67" s="192" t="n">
        <v>0</v>
      </c>
    </row>
    <row r="68" ht="14" customHeight="1">
      <c r="A68" s="18" t="inlineStr">
        <is>
          <t>Pertes non-qualité</t>
        </is>
      </c>
      <c r="B68" s="186">
        <f>$V$19-SUM($V$16:$V$17)</f>
        <v/>
      </c>
      <c r="C68" s="186">
        <f>$V$17</f>
        <v/>
      </c>
      <c r="D68" s="192" t="n">
        <v>0</v>
      </c>
    </row>
    <row r="69" ht="14" customHeight="1">
      <c r="A69" s="20" t="inlineStr">
        <is>
          <t>Temps utile</t>
        </is>
      </c>
      <c r="B69" s="190" t="n">
        <v>0</v>
      </c>
      <c r="C69" s="190">
        <f>$V$20</f>
        <v/>
      </c>
      <c r="D69" s="191" t="n">
        <v>1</v>
      </c>
    </row>
    <row r="70" ht="20" customHeight="1">
      <c r="A70" s="4" t="inlineStr">
        <is>
          <t>TRS PAR LIGNE DE PRODUCTION  (mois sélectionné — comparaison entre lignes, hors filtres du cockpit)</t>
        </is>
      </c>
      <c r="B70" s="5" t="n"/>
      <c r="C70" s="5" t="n"/>
      <c r="D70" s="5" t="n"/>
      <c r="E70" s="5" t="n"/>
      <c r="F70" s="5" t="n"/>
      <c r="G70" s="5" t="n"/>
      <c r="H70" s="5" t="n"/>
      <c r="I70" s="5" t="n"/>
      <c r="J70" s="5" t="n"/>
      <c r="K70" s="5" t="n"/>
      <c r="L70" s="5" t="n"/>
    </row>
    <row r="71" ht="26" customHeight="1">
      <c r="A71" s="6" t="inlineStr">
        <is>
          <t>Libellé</t>
        </is>
      </c>
      <c r="B71" s="6" t="inlineStr">
        <is>
          <t>Temps utile</t>
        </is>
      </c>
      <c r="C71" s="6" t="inlineStr">
        <is>
          <t>Temps requis</t>
        </is>
      </c>
      <c r="D71" s="6" t="inlineStr">
        <is>
          <t>TRS</t>
        </is>
      </c>
      <c r="E71" s="6" t="inlineStr">
        <is>
          <t>TRS (graphique)</t>
        </is>
      </c>
      <c r="F71" s="6" t="inlineStr"/>
      <c r="G71" s="6" t="inlineStr"/>
      <c r="H71" s="6" t="inlineStr"/>
      <c r="I71" s="6" t="inlineStr"/>
      <c r="J71" s="6" t="inlineStr"/>
      <c r="K71" s="6" t="inlineStr"/>
      <c r="L71" s="6" t="inlineStr"/>
    </row>
    <row r="72" ht="14" customHeight="1">
      <c r="A72" s="18">
        <f>IF(PARAMETRES!$I7="","",PARAMETRES!$I7)</f>
        <v/>
      </c>
      <c r="B72" s="186">
        <f>IF($A72="","",SUMIFS(SAISIE_PROD!$AE$5:$AE$204,SAISIE_PROD!$A$5:$A$204,"&gt;="&amp;$B$7,SAISIE_PROD!$A$5:$A$204,"&lt;="&amp;$B$8,SAISIE_PROD!$C$5:$C$204,$A72))</f>
        <v/>
      </c>
      <c r="C72" s="186">
        <f>IF($A72="","",SUMIFS(SAISIE_PROD!$AB$5:$AB$204,SAISIE_PROD!$A$5:$A$204,"&gt;="&amp;$B$7,SAISIE_PROD!$A$5:$A$204,"&lt;="&amp;$B$8,SAISIE_PROD!$C$5:$C$204,$A72))</f>
        <v/>
      </c>
      <c r="D72" s="189">
        <f>IF(OR($A72="",$C72=0),"",$B72/$C72)</f>
        <v/>
      </c>
      <c r="E72" s="189">
        <f>IF($D72="",NA(),$D72)</f>
        <v/>
      </c>
    </row>
    <row r="73" ht="14" customHeight="1">
      <c r="A73" s="18">
        <f>IF(PARAMETRES!$I8="","",PARAMETRES!$I8)</f>
        <v/>
      </c>
      <c r="B73" s="186">
        <f>IF($A73="","",SUMIFS(SAISIE_PROD!$AE$5:$AE$204,SAISIE_PROD!$A$5:$A$204,"&gt;="&amp;$B$7,SAISIE_PROD!$A$5:$A$204,"&lt;="&amp;$B$8,SAISIE_PROD!$C$5:$C$204,$A73))</f>
        <v/>
      </c>
      <c r="C73" s="186">
        <f>IF($A73="","",SUMIFS(SAISIE_PROD!$AB$5:$AB$204,SAISIE_PROD!$A$5:$A$204,"&gt;="&amp;$B$7,SAISIE_PROD!$A$5:$A$204,"&lt;="&amp;$B$8,SAISIE_PROD!$C$5:$C$204,$A73))</f>
        <v/>
      </c>
      <c r="D73" s="189">
        <f>IF(OR($A73="",$C73=0),"",$B73/$C73)</f>
        <v/>
      </c>
      <c r="E73" s="189">
        <f>IF($D73="",NA(),$D73)</f>
        <v/>
      </c>
    </row>
    <row r="74" ht="14" customHeight="1">
      <c r="A74" s="18">
        <f>IF(PARAMETRES!$I9="","",PARAMETRES!$I9)</f>
        <v/>
      </c>
      <c r="B74" s="186">
        <f>IF($A74="","",SUMIFS(SAISIE_PROD!$AE$5:$AE$204,SAISIE_PROD!$A$5:$A$204,"&gt;="&amp;$B$7,SAISIE_PROD!$A$5:$A$204,"&lt;="&amp;$B$8,SAISIE_PROD!$C$5:$C$204,$A74))</f>
        <v/>
      </c>
      <c r="C74" s="186">
        <f>IF($A74="","",SUMIFS(SAISIE_PROD!$AB$5:$AB$204,SAISIE_PROD!$A$5:$A$204,"&gt;="&amp;$B$7,SAISIE_PROD!$A$5:$A$204,"&lt;="&amp;$B$8,SAISIE_PROD!$C$5:$C$204,$A74))</f>
        <v/>
      </c>
      <c r="D74" s="189">
        <f>IF(OR($A74="",$C74=0),"",$B74/$C74)</f>
        <v/>
      </c>
      <c r="E74" s="189">
        <f>IF($D74="",NA(),$D74)</f>
        <v/>
      </c>
    </row>
    <row r="75" ht="14" customHeight="1">
      <c r="A75" s="18">
        <f>IF(PARAMETRES!$I10="","",PARAMETRES!$I10)</f>
        <v/>
      </c>
      <c r="B75" s="186">
        <f>IF($A75="","",SUMIFS(SAISIE_PROD!$AE$5:$AE$204,SAISIE_PROD!$A$5:$A$204,"&gt;="&amp;$B$7,SAISIE_PROD!$A$5:$A$204,"&lt;="&amp;$B$8,SAISIE_PROD!$C$5:$C$204,$A75))</f>
        <v/>
      </c>
      <c r="C75" s="186">
        <f>IF($A75="","",SUMIFS(SAISIE_PROD!$AB$5:$AB$204,SAISIE_PROD!$A$5:$A$204,"&gt;="&amp;$B$7,SAISIE_PROD!$A$5:$A$204,"&lt;="&amp;$B$8,SAISIE_PROD!$C$5:$C$204,$A75))</f>
        <v/>
      </c>
      <c r="D75" s="189">
        <f>IF(OR($A75="",$C75=0),"",$B75/$C75)</f>
        <v/>
      </c>
      <c r="E75" s="189">
        <f>IF($D75="",NA(),$D75)</f>
        <v/>
      </c>
    </row>
    <row r="76" ht="14" customHeight="1">
      <c r="A76" s="18">
        <f>IF(PARAMETRES!$I11="","",PARAMETRES!$I11)</f>
        <v/>
      </c>
      <c r="B76" s="186">
        <f>IF($A76="","",SUMIFS(SAISIE_PROD!$AE$5:$AE$204,SAISIE_PROD!$A$5:$A$204,"&gt;="&amp;$B$7,SAISIE_PROD!$A$5:$A$204,"&lt;="&amp;$B$8,SAISIE_PROD!$C$5:$C$204,$A76))</f>
        <v/>
      </c>
      <c r="C76" s="186">
        <f>IF($A76="","",SUMIFS(SAISIE_PROD!$AB$5:$AB$204,SAISIE_PROD!$A$5:$A$204,"&gt;="&amp;$B$7,SAISIE_PROD!$A$5:$A$204,"&lt;="&amp;$B$8,SAISIE_PROD!$C$5:$C$204,$A76))</f>
        <v/>
      </c>
      <c r="D76" s="189">
        <f>IF(OR($A76="",$C76=0),"",$B76/$C76)</f>
        <v/>
      </c>
      <c r="E76" s="189">
        <f>IF($D76="",NA(),$D76)</f>
        <v/>
      </c>
    </row>
    <row r="77" ht="20" customHeight="1">
      <c r="A77" s="4" t="inlineStr">
        <is>
          <t>TRS PAR ÉQUIPE  (mois sélectionné — comparaison entre équipes, hors filtres du cockpit)</t>
        </is>
      </c>
      <c r="B77" s="5" t="n"/>
      <c r="C77" s="5" t="n"/>
      <c r="D77" s="5" t="n"/>
      <c r="E77" s="5" t="n"/>
      <c r="F77" s="5" t="n"/>
      <c r="G77" s="5" t="n"/>
      <c r="H77" s="5" t="n"/>
      <c r="I77" s="5" t="n"/>
      <c r="J77" s="5" t="n"/>
      <c r="K77" s="5" t="n"/>
      <c r="L77" s="5" t="n"/>
    </row>
    <row r="78" ht="26" customHeight="1">
      <c r="A78" s="6" t="inlineStr">
        <is>
          <t>Libellé</t>
        </is>
      </c>
      <c r="B78" s="6" t="inlineStr">
        <is>
          <t>Temps utile</t>
        </is>
      </c>
      <c r="C78" s="6" t="inlineStr">
        <is>
          <t>Temps requis</t>
        </is>
      </c>
      <c r="D78" s="6" t="inlineStr">
        <is>
          <t>TRS</t>
        </is>
      </c>
      <c r="E78" s="6" t="inlineStr">
        <is>
          <t>TRS (graphique)</t>
        </is>
      </c>
      <c r="F78" s="6" t="inlineStr"/>
      <c r="G78" s="6" t="inlineStr"/>
      <c r="H78" s="6" t="inlineStr"/>
      <c r="I78" s="6" t="inlineStr"/>
      <c r="J78" s="6" t="inlineStr"/>
      <c r="K78" s="6" t="inlineStr"/>
      <c r="L78" s="6" t="inlineStr"/>
    </row>
    <row r="79" ht="14" customHeight="1">
      <c r="A79" s="18">
        <f>IF(PARAMETRES!$J7="","",PARAMETRES!$J7)</f>
        <v/>
      </c>
      <c r="B79" s="186">
        <f>IF($A79="","",SUMIFS(SAISIE_PROD!$AE$5:$AE$204,SAISIE_PROD!$A$5:$A$204,"&gt;="&amp;$B$7,SAISIE_PROD!$A$5:$A$204,"&lt;="&amp;$B$8,SAISIE_PROD!$B$5:$B$204,$A79))</f>
        <v/>
      </c>
      <c r="C79" s="186">
        <f>IF($A79="","",SUMIFS(SAISIE_PROD!$AB$5:$AB$204,SAISIE_PROD!$A$5:$A$204,"&gt;="&amp;$B$7,SAISIE_PROD!$A$5:$A$204,"&lt;="&amp;$B$8,SAISIE_PROD!$B$5:$B$204,$A79))</f>
        <v/>
      </c>
      <c r="D79" s="189">
        <f>IF(OR($A79="",$C79=0),"",$B79/$C79)</f>
        <v/>
      </c>
      <c r="E79" s="189">
        <f>IF($D79="",NA(),$D79)</f>
        <v/>
      </c>
    </row>
    <row r="80" ht="14" customHeight="1">
      <c r="A80" s="18">
        <f>IF(PARAMETRES!$J8="","",PARAMETRES!$J8)</f>
        <v/>
      </c>
      <c r="B80" s="186">
        <f>IF($A80="","",SUMIFS(SAISIE_PROD!$AE$5:$AE$204,SAISIE_PROD!$A$5:$A$204,"&gt;="&amp;$B$7,SAISIE_PROD!$A$5:$A$204,"&lt;="&amp;$B$8,SAISIE_PROD!$B$5:$B$204,$A80))</f>
        <v/>
      </c>
      <c r="C80" s="186">
        <f>IF($A80="","",SUMIFS(SAISIE_PROD!$AB$5:$AB$204,SAISIE_PROD!$A$5:$A$204,"&gt;="&amp;$B$7,SAISIE_PROD!$A$5:$A$204,"&lt;="&amp;$B$8,SAISIE_PROD!$B$5:$B$204,$A80))</f>
        <v/>
      </c>
      <c r="D80" s="189">
        <f>IF(OR($A80="",$C80=0),"",$B80/$C80)</f>
        <v/>
      </c>
      <c r="E80" s="189">
        <f>IF($D80="",NA(),$D80)</f>
        <v/>
      </c>
    </row>
    <row r="81" ht="14" customHeight="1">
      <c r="A81" s="18">
        <f>IF(PARAMETRES!$J9="","",PARAMETRES!$J9)</f>
        <v/>
      </c>
      <c r="B81" s="186">
        <f>IF($A81="","",SUMIFS(SAISIE_PROD!$AE$5:$AE$204,SAISIE_PROD!$A$5:$A$204,"&gt;="&amp;$B$7,SAISIE_PROD!$A$5:$A$204,"&lt;="&amp;$B$8,SAISIE_PROD!$B$5:$B$204,$A81))</f>
        <v/>
      </c>
      <c r="C81" s="186">
        <f>IF($A81="","",SUMIFS(SAISIE_PROD!$AB$5:$AB$204,SAISIE_PROD!$A$5:$A$204,"&gt;="&amp;$B$7,SAISIE_PROD!$A$5:$A$204,"&lt;="&amp;$B$8,SAISIE_PROD!$B$5:$B$204,$A81))</f>
        <v/>
      </c>
      <c r="D81" s="189">
        <f>IF(OR($A81="",$C81=0),"",$B81/$C81)</f>
        <v/>
      </c>
      <c r="E81" s="189">
        <f>IF($D81="",NA(),$D81)</f>
        <v/>
      </c>
    </row>
    <row r="82" ht="14" customHeight="1">
      <c r="A82" s="18">
        <f>IF(PARAMETRES!$J10="","",PARAMETRES!$J10)</f>
        <v/>
      </c>
      <c r="B82" s="186">
        <f>IF($A82="","",SUMIFS(SAISIE_PROD!$AE$5:$AE$204,SAISIE_PROD!$A$5:$A$204,"&gt;="&amp;$B$7,SAISIE_PROD!$A$5:$A$204,"&lt;="&amp;$B$8,SAISIE_PROD!$B$5:$B$204,$A82))</f>
        <v/>
      </c>
      <c r="C82" s="186">
        <f>IF($A82="","",SUMIFS(SAISIE_PROD!$AB$5:$AB$204,SAISIE_PROD!$A$5:$A$204,"&gt;="&amp;$B$7,SAISIE_PROD!$A$5:$A$204,"&lt;="&amp;$B$8,SAISIE_PROD!$B$5:$B$204,$A82))</f>
        <v/>
      </c>
      <c r="D82" s="189">
        <f>IF(OR($A82="",$C82=0),"",$B82/$C82)</f>
        <v/>
      </c>
      <c r="E82" s="189">
        <f>IF($D82="",NA(),$D82)</f>
        <v/>
      </c>
    </row>
    <row r="83" ht="14" customHeight="1">
      <c r="A83" s="18">
        <f>IF(PARAMETRES!$J11="","",PARAMETRES!$J11)</f>
        <v/>
      </c>
      <c r="B83" s="186">
        <f>IF($A83="","",SUMIFS(SAISIE_PROD!$AE$5:$AE$204,SAISIE_PROD!$A$5:$A$204,"&gt;="&amp;$B$7,SAISIE_PROD!$A$5:$A$204,"&lt;="&amp;$B$8,SAISIE_PROD!$B$5:$B$204,$A83))</f>
        <v/>
      </c>
      <c r="C83" s="186">
        <f>IF($A83="","",SUMIFS(SAISIE_PROD!$AB$5:$AB$204,SAISIE_PROD!$A$5:$A$204,"&gt;="&amp;$B$7,SAISIE_PROD!$A$5:$A$204,"&lt;="&amp;$B$8,SAISIE_PROD!$B$5:$B$204,$A83))</f>
        <v/>
      </c>
      <c r="D83" s="189">
        <f>IF(OR($A83="",$C83=0),"",$B83/$C83)</f>
        <v/>
      </c>
      <c r="E83" s="189">
        <f>IF($D83="",NA(),$D83)</f>
        <v/>
      </c>
    </row>
    <row r="86" ht="20" customHeight="1">
      <c r="A86" s="4" t="inlineStr">
        <is>
          <t>HISTORIQUE SUR 13 MOIS GLISSANTS  (même périmètre de filtrage)</t>
        </is>
      </c>
      <c r="B86" s="5" t="n"/>
      <c r="C86" s="5" t="n"/>
      <c r="D86" s="5" t="n"/>
      <c r="E86" s="5" t="n"/>
      <c r="F86" s="5" t="n"/>
      <c r="G86" s="5" t="n"/>
      <c r="H86" s="5" t="n"/>
      <c r="I86" s="5" t="n"/>
      <c r="J86" s="5" t="n"/>
      <c r="K86" s="5" t="n"/>
      <c r="L86" s="5" t="n"/>
      <c r="M86" s="5" t="n"/>
      <c r="N86" s="5" t="n"/>
      <c r="O86" s="5" t="n"/>
      <c r="P86" s="5" t="n"/>
      <c r="Q86" s="5" t="n"/>
      <c r="R86" s="5" t="n"/>
      <c r="S86" s="5" t="n"/>
    </row>
    <row r="87" ht="32" customHeight="1">
      <c r="A87" s="6" t="inlineStr">
        <is>
          <t>Mois</t>
        </is>
      </c>
      <c r="B87" s="6" t="inlineStr">
        <is>
          <t>Date de début</t>
        </is>
      </c>
      <c r="C87" s="6" t="inlineStr">
        <is>
          <t>Temps utile</t>
        </is>
      </c>
      <c r="D87" s="6" t="inlineStr">
        <is>
          <t>Temps requis</t>
        </is>
      </c>
      <c r="E87" s="6" t="inlineStr">
        <is>
          <t>Temps de marche</t>
        </is>
      </c>
      <c r="F87" s="6" t="inlineStr">
        <is>
          <t>Temps d'ouverture</t>
        </is>
      </c>
      <c r="G87" s="6" t="inlineStr">
        <is>
          <t>Qté produite</t>
        </is>
      </c>
      <c r="H87" s="6" t="inlineStr">
        <is>
          <t>Qté conforme</t>
        </is>
      </c>
      <c r="I87" s="6" t="inlineStr">
        <is>
          <t>Qté retouchée</t>
        </is>
      </c>
      <c r="J87" s="6" t="inlineStr">
        <is>
          <t>Qté demandée</t>
        </is>
      </c>
      <c r="K87" s="6" t="inlineStr">
        <is>
          <t>Accidents</t>
        </is>
      </c>
      <c r="L87" s="6" t="inlineStr">
        <is>
          <t>TRS</t>
        </is>
      </c>
      <c r="M87" s="6" t="inlineStr">
        <is>
          <t>Disponibilité</t>
        </is>
      </c>
      <c r="N87" s="6" t="inlineStr">
        <is>
          <t>Performance</t>
        </is>
      </c>
      <c r="O87" s="6" t="inlineStr">
        <is>
          <t>Qualité RFT</t>
        </is>
      </c>
      <c r="P87" s="6" t="inlineStr">
        <is>
          <t>TRG</t>
        </is>
      </c>
      <c r="Q87" s="6" t="inlineStr">
        <is>
          <t>Taux de service</t>
        </is>
      </c>
      <c r="R87" s="6" t="inlineStr">
        <is>
          <t>TRS (graphique)</t>
        </is>
      </c>
      <c r="S87" s="6" t="inlineStr">
        <is>
          <t>Cible (graphique)</t>
        </is>
      </c>
    </row>
    <row r="88" ht="14" customHeight="1">
      <c r="A88" s="18">
        <f>INDEX(PARAMETRES!$AM$7:$AM$18,MONTH($B88))&amp;" "&amp;TEXT(YEAR($B88),"0000")</f>
        <v/>
      </c>
      <c r="B88" s="193">
        <f>EDATE($B$7,-12)</f>
        <v/>
      </c>
      <c r="C88" s="183">
        <f>SUMIFS(SAISIE_PROD!$AE$5:$AE$204,SAISIE_PROD!$A$5:$A$204,"&gt;="&amp;$B88,SAISIE_PROD!$A$5:$A$204,"&lt;"&amp;EDATE($B88,1),SAISIE_PROD!$AS$5:$AS$204,1)</f>
        <v/>
      </c>
      <c r="D88" s="183">
        <f>SUMIFS(SAISIE_PROD!$AB$5:$AB$204,SAISIE_PROD!$A$5:$A$204,"&gt;="&amp;$B88,SAISIE_PROD!$A$5:$A$204,"&lt;"&amp;EDATE($B88,1),SAISIE_PROD!$AS$5:$AS$204,1)</f>
        <v/>
      </c>
      <c r="E88" s="183">
        <f>SUMIFS(SAISIE_PROD!$AD$5:$AD$204,SAISIE_PROD!$A$5:$A$204,"&gt;="&amp;$B88,SAISIE_PROD!$A$5:$A$204,"&lt;"&amp;EDATE($B88,1),SAISIE_PROD!$AS$5:$AS$204,1)</f>
        <v/>
      </c>
      <c r="F88" s="183">
        <f>SUMIFS(SAISIE_PROD!$F$5:$F$204,SAISIE_PROD!$A$5:$A$204,"&gt;="&amp;$B88,SAISIE_PROD!$A$5:$A$204,"&lt;"&amp;EDATE($B88,1),SAISIE_PROD!$AS$5:$AS$204,1)</f>
        <v/>
      </c>
      <c r="G88" s="183">
        <f>SUMIFS(SAISIE_PROD!$P$5:$P$204,SAISIE_PROD!$A$5:$A$204,"&gt;="&amp;$B88,SAISIE_PROD!$A$5:$A$204,"&lt;"&amp;EDATE($B88,1),SAISIE_PROD!$AS$5:$AS$204,1)</f>
        <v/>
      </c>
      <c r="H88" s="183">
        <f>SUMIFS(SAISIE_PROD!$Q$5:$Q$204,SAISIE_PROD!$A$5:$A$204,"&gt;="&amp;$B88,SAISIE_PROD!$A$5:$A$204,"&lt;"&amp;EDATE($B88,1),SAISIE_PROD!$AS$5:$AS$204,1)</f>
        <v/>
      </c>
      <c r="I88" s="183">
        <f>SUMIFS(SAISIE_PROD!$R$5:$R$204,SAISIE_PROD!$A$5:$A$204,"&gt;="&amp;$B88,SAISIE_PROD!$A$5:$A$204,"&lt;"&amp;EDATE($B88,1),SAISIE_PROD!$AS$5:$AS$204,1)</f>
        <v/>
      </c>
      <c r="J88" s="183">
        <f>SUMIFS(SAISIE_PROD!$T$5:$T$204,SAISIE_PROD!$A$5:$A$204,"&gt;="&amp;$B88,SAISIE_PROD!$A$5:$A$204,"&lt;"&amp;EDATE($B88,1),SAISIE_PROD!$AS$5:$AS$204,1)</f>
        <v/>
      </c>
      <c r="K88" s="183">
        <f>SUMIFS(SAISIE_PROD!$X$5:$X$204,SAISIE_PROD!$A$5:$A$204,"&gt;="&amp;$B88,SAISIE_PROD!$A$5:$A$204,"&lt;"&amp;EDATE($B88,1),SAISIE_PROD!$AS$5:$AS$204,1)</f>
        <v/>
      </c>
      <c r="L88" s="184">
        <f>IFERROR($C88/$D88,"")</f>
        <v/>
      </c>
      <c r="M88" s="184">
        <f>IFERROR($E88/$D88,"")</f>
        <v/>
      </c>
      <c r="N88" s="184">
        <f>IFERROR($C88*($G88/$H88)/$E88,"")</f>
        <v/>
      </c>
      <c r="O88" s="184">
        <f>IFERROR($H88/$G88,"")</f>
        <v/>
      </c>
      <c r="P88" s="184">
        <f>IFERROR($C88/$F88,"")</f>
        <v/>
      </c>
      <c r="Q88" s="184">
        <f>IFERROR(($H88+$I88)/$J88,"")</f>
        <v/>
      </c>
      <c r="R88" s="184">
        <f>IF($L88="",NA(),$L88)</f>
        <v/>
      </c>
      <c r="S88" s="184">
        <f>$V$3</f>
        <v/>
      </c>
    </row>
    <row r="89" ht="14" customHeight="1">
      <c r="A89" s="18">
        <f>INDEX(PARAMETRES!$AM$7:$AM$18,MONTH($B89))&amp;" "&amp;TEXT(YEAR($B89),"0000")</f>
        <v/>
      </c>
      <c r="B89" s="193">
        <f>EDATE($B$7,-11)</f>
        <v/>
      </c>
      <c r="C89" s="183">
        <f>SUMIFS(SAISIE_PROD!$AE$5:$AE$204,SAISIE_PROD!$A$5:$A$204,"&gt;="&amp;$B89,SAISIE_PROD!$A$5:$A$204,"&lt;"&amp;EDATE($B89,1),SAISIE_PROD!$AS$5:$AS$204,1)</f>
        <v/>
      </c>
      <c r="D89" s="183">
        <f>SUMIFS(SAISIE_PROD!$AB$5:$AB$204,SAISIE_PROD!$A$5:$A$204,"&gt;="&amp;$B89,SAISIE_PROD!$A$5:$A$204,"&lt;"&amp;EDATE($B89,1),SAISIE_PROD!$AS$5:$AS$204,1)</f>
        <v/>
      </c>
      <c r="E89" s="183">
        <f>SUMIFS(SAISIE_PROD!$AD$5:$AD$204,SAISIE_PROD!$A$5:$A$204,"&gt;="&amp;$B89,SAISIE_PROD!$A$5:$A$204,"&lt;"&amp;EDATE($B89,1),SAISIE_PROD!$AS$5:$AS$204,1)</f>
        <v/>
      </c>
      <c r="F89" s="183">
        <f>SUMIFS(SAISIE_PROD!$F$5:$F$204,SAISIE_PROD!$A$5:$A$204,"&gt;="&amp;$B89,SAISIE_PROD!$A$5:$A$204,"&lt;"&amp;EDATE($B89,1),SAISIE_PROD!$AS$5:$AS$204,1)</f>
        <v/>
      </c>
      <c r="G89" s="183">
        <f>SUMIFS(SAISIE_PROD!$P$5:$P$204,SAISIE_PROD!$A$5:$A$204,"&gt;="&amp;$B89,SAISIE_PROD!$A$5:$A$204,"&lt;"&amp;EDATE($B89,1),SAISIE_PROD!$AS$5:$AS$204,1)</f>
        <v/>
      </c>
      <c r="H89" s="183">
        <f>SUMIFS(SAISIE_PROD!$Q$5:$Q$204,SAISIE_PROD!$A$5:$A$204,"&gt;="&amp;$B89,SAISIE_PROD!$A$5:$A$204,"&lt;"&amp;EDATE($B89,1),SAISIE_PROD!$AS$5:$AS$204,1)</f>
        <v/>
      </c>
      <c r="I89" s="183">
        <f>SUMIFS(SAISIE_PROD!$R$5:$R$204,SAISIE_PROD!$A$5:$A$204,"&gt;="&amp;$B89,SAISIE_PROD!$A$5:$A$204,"&lt;"&amp;EDATE($B89,1),SAISIE_PROD!$AS$5:$AS$204,1)</f>
        <v/>
      </c>
      <c r="J89" s="183">
        <f>SUMIFS(SAISIE_PROD!$T$5:$T$204,SAISIE_PROD!$A$5:$A$204,"&gt;="&amp;$B89,SAISIE_PROD!$A$5:$A$204,"&lt;"&amp;EDATE($B89,1),SAISIE_PROD!$AS$5:$AS$204,1)</f>
        <v/>
      </c>
      <c r="K89" s="183">
        <f>SUMIFS(SAISIE_PROD!$X$5:$X$204,SAISIE_PROD!$A$5:$A$204,"&gt;="&amp;$B89,SAISIE_PROD!$A$5:$A$204,"&lt;"&amp;EDATE($B89,1),SAISIE_PROD!$AS$5:$AS$204,1)</f>
        <v/>
      </c>
      <c r="L89" s="184">
        <f>IFERROR($C89/$D89,"")</f>
        <v/>
      </c>
      <c r="M89" s="184">
        <f>IFERROR($E89/$D89,"")</f>
        <v/>
      </c>
      <c r="N89" s="184">
        <f>IFERROR($C89*($G89/$H89)/$E89,"")</f>
        <v/>
      </c>
      <c r="O89" s="184">
        <f>IFERROR($H89/$G89,"")</f>
        <v/>
      </c>
      <c r="P89" s="184">
        <f>IFERROR($C89/$F89,"")</f>
        <v/>
      </c>
      <c r="Q89" s="184">
        <f>IFERROR(($H89+$I89)/$J89,"")</f>
        <v/>
      </c>
      <c r="R89" s="184">
        <f>IF($L89="",NA(),$L89)</f>
        <v/>
      </c>
      <c r="S89" s="184">
        <f>$V$3</f>
        <v/>
      </c>
    </row>
    <row r="90" ht="14" customHeight="1">
      <c r="A90" s="18">
        <f>INDEX(PARAMETRES!$AM$7:$AM$18,MONTH($B90))&amp;" "&amp;TEXT(YEAR($B90),"0000")</f>
        <v/>
      </c>
      <c r="B90" s="193">
        <f>EDATE($B$7,-10)</f>
        <v/>
      </c>
      <c r="C90" s="183">
        <f>SUMIFS(SAISIE_PROD!$AE$5:$AE$204,SAISIE_PROD!$A$5:$A$204,"&gt;="&amp;$B90,SAISIE_PROD!$A$5:$A$204,"&lt;"&amp;EDATE($B90,1),SAISIE_PROD!$AS$5:$AS$204,1)</f>
        <v/>
      </c>
      <c r="D90" s="183">
        <f>SUMIFS(SAISIE_PROD!$AB$5:$AB$204,SAISIE_PROD!$A$5:$A$204,"&gt;="&amp;$B90,SAISIE_PROD!$A$5:$A$204,"&lt;"&amp;EDATE($B90,1),SAISIE_PROD!$AS$5:$AS$204,1)</f>
        <v/>
      </c>
      <c r="E90" s="183">
        <f>SUMIFS(SAISIE_PROD!$AD$5:$AD$204,SAISIE_PROD!$A$5:$A$204,"&gt;="&amp;$B90,SAISIE_PROD!$A$5:$A$204,"&lt;"&amp;EDATE($B90,1),SAISIE_PROD!$AS$5:$AS$204,1)</f>
        <v/>
      </c>
      <c r="F90" s="183">
        <f>SUMIFS(SAISIE_PROD!$F$5:$F$204,SAISIE_PROD!$A$5:$A$204,"&gt;="&amp;$B90,SAISIE_PROD!$A$5:$A$204,"&lt;"&amp;EDATE($B90,1),SAISIE_PROD!$AS$5:$AS$204,1)</f>
        <v/>
      </c>
      <c r="G90" s="183">
        <f>SUMIFS(SAISIE_PROD!$P$5:$P$204,SAISIE_PROD!$A$5:$A$204,"&gt;="&amp;$B90,SAISIE_PROD!$A$5:$A$204,"&lt;"&amp;EDATE($B90,1),SAISIE_PROD!$AS$5:$AS$204,1)</f>
        <v/>
      </c>
      <c r="H90" s="183">
        <f>SUMIFS(SAISIE_PROD!$Q$5:$Q$204,SAISIE_PROD!$A$5:$A$204,"&gt;="&amp;$B90,SAISIE_PROD!$A$5:$A$204,"&lt;"&amp;EDATE($B90,1),SAISIE_PROD!$AS$5:$AS$204,1)</f>
        <v/>
      </c>
      <c r="I90" s="183">
        <f>SUMIFS(SAISIE_PROD!$R$5:$R$204,SAISIE_PROD!$A$5:$A$204,"&gt;="&amp;$B90,SAISIE_PROD!$A$5:$A$204,"&lt;"&amp;EDATE($B90,1),SAISIE_PROD!$AS$5:$AS$204,1)</f>
        <v/>
      </c>
      <c r="J90" s="183">
        <f>SUMIFS(SAISIE_PROD!$T$5:$T$204,SAISIE_PROD!$A$5:$A$204,"&gt;="&amp;$B90,SAISIE_PROD!$A$5:$A$204,"&lt;"&amp;EDATE($B90,1),SAISIE_PROD!$AS$5:$AS$204,1)</f>
        <v/>
      </c>
      <c r="K90" s="183">
        <f>SUMIFS(SAISIE_PROD!$X$5:$X$204,SAISIE_PROD!$A$5:$A$204,"&gt;="&amp;$B90,SAISIE_PROD!$A$5:$A$204,"&lt;"&amp;EDATE($B90,1),SAISIE_PROD!$AS$5:$AS$204,1)</f>
        <v/>
      </c>
      <c r="L90" s="184">
        <f>IFERROR($C90/$D90,"")</f>
        <v/>
      </c>
      <c r="M90" s="184">
        <f>IFERROR($E90/$D90,"")</f>
        <v/>
      </c>
      <c r="N90" s="184">
        <f>IFERROR($C90*($G90/$H90)/$E90,"")</f>
        <v/>
      </c>
      <c r="O90" s="184">
        <f>IFERROR($H90/$G90,"")</f>
        <v/>
      </c>
      <c r="P90" s="184">
        <f>IFERROR($C90/$F90,"")</f>
        <v/>
      </c>
      <c r="Q90" s="184">
        <f>IFERROR(($H90+$I90)/$J90,"")</f>
        <v/>
      </c>
      <c r="R90" s="184">
        <f>IF($L90="",NA(),$L90)</f>
        <v/>
      </c>
      <c r="S90" s="184">
        <f>$V$3</f>
        <v/>
      </c>
    </row>
    <row r="91" ht="14" customHeight="1">
      <c r="A91" s="18">
        <f>INDEX(PARAMETRES!$AM$7:$AM$18,MONTH($B91))&amp;" "&amp;TEXT(YEAR($B91),"0000")</f>
        <v/>
      </c>
      <c r="B91" s="193">
        <f>EDATE($B$7,-9)</f>
        <v/>
      </c>
      <c r="C91" s="183">
        <f>SUMIFS(SAISIE_PROD!$AE$5:$AE$204,SAISIE_PROD!$A$5:$A$204,"&gt;="&amp;$B91,SAISIE_PROD!$A$5:$A$204,"&lt;"&amp;EDATE($B91,1),SAISIE_PROD!$AS$5:$AS$204,1)</f>
        <v/>
      </c>
      <c r="D91" s="183">
        <f>SUMIFS(SAISIE_PROD!$AB$5:$AB$204,SAISIE_PROD!$A$5:$A$204,"&gt;="&amp;$B91,SAISIE_PROD!$A$5:$A$204,"&lt;"&amp;EDATE($B91,1),SAISIE_PROD!$AS$5:$AS$204,1)</f>
        <v/>
      </c>
      <c r="E91" s="183">
        <f>SUMIFS(SAISIE_PROD!$AD$5:$AD$204,SAISIE_PROD!$A$5:$A$204,"&gt;="&amp;$B91,SAISIE_PROD!$A$5:$A$204,"&lt;"&amp;EDATE($B91,1),SAISIE_PROD!$AS$5:$AS$204,1)</f>
        <v/>
      </c>
      <c r="F91" s="183">
        <f>SUMIFS(SAISIE_PROD!$F$5:$F$204,SAISIE_PROD!$A$5:$A$204,"&gt;="&amp;$B91,SAISIE_PROD!$A$5:$A$204,"&lt;"&amp;EDATE($B91,1),SAISIE_PROD!$AS$5:$AS$204,1)</f>
        <v/>
      </c>
      <c r="G91" s="183">
        <f>SUMIFS(SAISIE_PROD!$P$5:$P$204,SAISIE_PROD!$A$5:$A$204,"&gt;="&amp;$B91,SAISIE_PROD!$A$5:$A$204,"&lt;"&amp;EDATE($B91,1),SAISIE_PROD!$AS$5:$AS$204,1)</f>
        <v/>
      </c>
      <c r="H91" s="183">
        <f>SUMIFS(SAISIE_PROD!$Q$5:$Q$204,SAISIE_PROD!$A$5:$A$204,"&gt;="&amp;$B91,SAISIE_PROD!$A$5:$A$204,"&lt;"&amp;EDATE($B91,1),SAISIE_PROD!$AS$5:$AS$204,1)</f>
        <v/>
      </c>
      <c r="I91" s="183">
        <f>SUMIFS(SAISIE_PROD!$R$5:$R$204,SAISIE_PROD!$A$5:$A$204,"&gt;="&amp;$B91,SAISIE_PROD!$A$5:$A$204,"&lt;"&amp;EDATE($B91,1),SAISIE_PROD!$AS$5:$AS$204,1)</f>
        <v/>
      </c>
      <c r="J91" s="183">
        <f>SUMIFS(SAISIE_PROD!$T$5:$T$204,SAISIE_PROD!$A$5:$A$204,"&gt;="&amp;$B91,SAISIE_PROD!$A$5:$A$204,"&lt;"&amp;EDATE($B91,1),SAISIE_PROD!$AS$5:$AS$204,1)</f>
        <v/>
      </c>
      <c r="K91" s="183">
        <f>SUMIFS(SAISIE_PROD!$X$5:$X$204,SAISIE_PROD!$A$5:$A$204,"&gt;="&amp;$B91,SAISIE_PROD!$A$5:$A$204,"&lt;"&amp;EDATE($B91,1),SAISIE_PROD!$AS$5:$AS$204,1)</f>
        <v/>
      </c>
      <c r="L91" s="184">
        <f>IFERROR($C91/$D91,"")</f>
        <v/>
      </c>
      <c r="M91" s="184">
        <f>IFERROR($E91/$D91,"")</f>
        <v/>
      </c>
      <c r="N91" s="184">
        <f>IFERROR($C91*($G91/$H91)/$E91,"")</f>
        <v/>
      </c>
      <c r="O91" s="184">
        <f>IFERROR($H91/$G91,"")</f>
        <v/>
      </c>
      <c r="P91" s="184">
        <f>IFERROR($C91/$F91,"")</f>
        <v/>
      </c>
      <c r="Q91" s="184">
        <f>IFERROR(($H91+$I91)/$J91,"")</f>
        <v/>
      </c>
      <c r="R91" s="184">
        <f>IF($L91="",NA(),$L91)</f>
        <v/>
      </c>
      <c r="S91" s="184">
        <f>$V$3</f>
        <v/>
      </c>
    </row>
    <row r="92" ht="14" customHeight="1">
      <c r="A92" s="18">
        <f>INDEX(PARAMETRES!$AM$7:$AM$18,MONTH($B92))&amp;" "&amp;TEXT(YEAR($B92),"0000")</f>
        <v/>
      </c>
      <c r="B92" s="193">
        <f>EDATE($B$7,-8)</f>
        <v/>
      </c>
      <c r="C92" s="183">
        <f>SUMIFS(SAISIE_PROD!$AE$5:$AE$204,SAISIE_PROD!$A$5:$A$204,"&gt;="&amp;$B92,SAISIE_PROD!$A$5:$A$204,"&lt;"&amp;EDATE($B92,1),SAISIE_PROD!$AS$5:$AS$204,1)</f>
        <v/>
      </c>
      <c r="D92" s="183">
        <f>SUMIFS(SAISIE_PROD!$AB$5:$AB$204,SAISIE_PROD!$A$5:$A$204,"&gt;="&amp;$B92,SAISIE_PROD!$A$5:$A$204,"&lt;"&amp;EDATE($B92,1),SAISIE_PROD!$AS$5:$AS$204,1)</f>
        <v/>
      </c>
      <c r="E92" s="183">
        <f>SUMIFS(SAISIE_PROD!$AD$5:$AD$204,SAISIE_PROD!$A$5:$A$204,"&gt;="&amp;$B92,SAISIE_PROD!$A$5:$A$204,"&lt;"&amp;EDATE($B92,1),SAISIE_PROD!$AS$5:$AS$204,1)</f>
        <v/>
      </c>
      <c r="F92" s="183">
        <f>SUMIFS(SAISIE_PROD!$F$5:$F$204,SAISIE_PROD!$A$5:$A$204,"&gt;="&amp;$B92,SAISIE_PROD!$A$5:$A$204,"&lt;"&amp;EDATE($B92,1),SAISIE_PROD!$AS$5:$AS$204,1)</f>
        <v/>
      </c>
      <c r="G92" s="183">
        <f>SUMIFS(SAISIE_PROD!$P$5:$P$204,SAISIE_PROD!$A$5:$A$204,"&gt;="&amp;$B92,SAISIE_PROD!$A$5:$A$204,"&lt;"&amp;EDATE($B92,1),SAISIE_PROD!$AS$5:$AS$204,1)</f>
        <v/>
      </c>
      <c r="H92" s="183">
        <f>SUMIFS(SAISIE_PROD!$Q$5:$Q$204,SAISIE_PROD!$A$5:$A$204,"&gt;="&amp;$B92,SAISIE_PROD!$A$5:$A$204,"&lt;"&amp;EDATE($B92,1),SAISIE_PROD!$AS$5:$AS$204,1)</f>
        <v/>
      </c>
      <c r="I92" s="183">
        <f>SUMIFS(SAISIE_PROD!$R$5:$R$204,SAISIE_PROD!$A$5:$A$204,"&gt;="&amp;$B92,SAISIE_PROD!$A$5:$A$204,"&lt;"&amp;EDATE($B92,1),SAISIE_PROD!$AS$5:$AS$204,1)</f>
        <v/>
      </c>
      <c r="J92" s="183">
        <f>SUMIFS(SAISIE_PROD!$T$5:$T$204,SAISIE_PROD!$A$5:$A$204,"&gt;="&amp;$B92,SAISIE_PROD!$A$5:$A$204,"&lt;"&amp;EDATE($B92,1),SAISIE_PROD!$AS$5:$AS$204,1)</f>
        <v/>
      </c>
      <c r="K92" s="183">
        <f>SUMIFS(SAISIE_PROD!$X$5:$X$204,SAISIE_PROD!$A$5:$A$204,"&gt;="&amp;$B92,SAISIE_PROD!$A$5:$A$204,"&lt;"&amp;EDATE($B92,1),SAISIE_PROD!$AS$5:$AS$204,1)</f>
        <v/>
      </c>
      <c r="L92" s="184">
        <f>IFERROR($C92/$D92,"")</f>
        <v/>
      </c>
      <c r="M92" s="184">
        <f>IFERROR($E92/$D92,"")</f>
        <v/>
      </c>
      <c r="N92" s="184">
        <f>IFERROR($C92*($G92/$H92)/$E92,"")</f>
        <v/>
      </c>
      <c r="O92" s="184">
        <f>IFERROR($H92/$G92,"")</f>
        <v/>
      </c>
      <c r="P92" s="184">
        <f>IFERROR($C92/$F92,"")</f>
        <v/>
      </c>
      <c r="Q92" s="184">
        <f>IFERROR(($H92+$I92)/$J92,"")</f>
        <v/>
      </c>
      <c r="R92" s="184">
        <f>IF($L92="",NA(),$L92)</f>
        <v/>
      </c>
      <c r="S92" s="184">
        <f>$V$3</f>
        <v/>
      </c>
    </row>
    <row r="93" ht="14" customHeight="1">
      <c r="A93" s="18">
        <f>INDEX(PARAMETRES!$AM$7:$AM$18,MONTH($B93))&amp;" "&amp;TEXT(YEAR($B93),"0000")</f>
        <v/>
      </c>
      <c r="B93" s="193">
        <f>EDATE($B$7,-7)</f>
        <v/>
      </c>
      <c r="C93" s="183">
        <f>SUMIFS(SAISIE_PROD!$AE$5:$AE$204,SAISIE_PROD!$A$5:$A$204,"&gt;="&amp;$B93,SAISIE_PROD!$A$5:$A$204,"&lt;"&amp;EDATE($B93,1),SAISIE_PROD!$AS$5:$AS$204,1)</f>
        <v/>
      </c>
      <c r="D93" s="183">
        <f>SUMIFS(SAISIE_PROD!$AB$5:$AB$204,SAISIE_PROD!$A$5:$A$204,"&gt;="&amp;$B93,SAISIE_PROD!$A$5:$A$204,"&lt;"&amp;EDATE($B93,1),SAISIE_PROD!$AS$5:$AS$204,1)</f>
        <v/>
      </c>
      <c r="E93" s="183">
        <f>SUMIFS(SAISIE_PROD!$AD$5:$AD$204,SAISIE_PROD!$A$5:$A$204,"&gt;="&amp;$B93,SAISIE_PROD!$A$5:$A$204,"&lt;"&amp;EDATE($B93,1),SAISIE_PROD!$AS$5:$AS$204,1)</f>
        <v/>
      </c>
      <c r="F93" s="183">
        <f>SUMIFS(SAISIE_PROD!$F$5:$F$204,SAISIE_PROD!$A$5:$A$204,"&gt;="&amp;$B93,SAISIE_PROD!$A$5:$A$204,"&lt;"&amp;EDATE($B93,1),SAISIE_PROD!$AS$5:$AS$204,1)</f>
        <v/>
      </c>
      <c r="G93" s="183">
        <f>SUMIFS(SAISIE_PROD!$P$5:$P$204,SAISIE_PROD!$A$5:$A$204,"&gt;="&amp;$B93,SAISIE_PROD!$A$5:$A$204,"&lt;"&amp;EDATE($B93,1),SAISIE_PROD!$AS$5:$AS$204,1)</f>
        <v/>
      </c>
      <c r="H93" s="183">
        <f>SUMIFS(SAISIE_PROD!$Q$5:$Q$204,SAISIE_PROD!$A$5:$A$204,"&gt;="&amp;$B93,SAISIE_PROD!$A$5:$A$204,"&lt;"&amp;EDATE($B93,1),SAISIE_PROD!$AS$5:$AS$204,1)</f>
        <v/>
      </c>
      <c r="I93" s="183">
        <f>SUMIFS(SAISIE_PROD!$R$5:$R$204,SAISIE_PROD!$A$5:$A$204,"&gt;="&amp;$B93,SAISIE_PROD!$A$5:$A$204,"&lt;"&amp;EDATE($B93,1),SAISIE_PROD!$AS$5:$AS$204,1)</f>
        <v/>
      </c>
      <c r="J93" s="183">
        <f>SUMIFS(SAISIE_PROD!$T$5:$T$204,SAISIE_PROD!$A$5:$A$204,"&gt;="&amp;$B93,SAISIE_PROD!$A$5:$A$204,"&lt;"&amp;EDATE($B93,1),SAISIE_PROD!$AS$5:$AS$204,1)</f>
        <v/>
      </c>
      <c r="K93" s="183">
        <f>SUMIFS(SAISIE_PROD!$X$5:$X$204,SAISIE_PROD!$A$5:$A$204,"&gt;="&amp;$B93,SAISIE_PROD!$A$5:$A$204,"&lt;"&amp;EDATE($B93,1),SAISIE_PROD!$AS$5:$AS$204,1)</f>
        <v/>
      </c>
      <c r="L93" s="184">
        <f>IFERROR($C93/$D93,"")</f>
        <v/>
      </c>
      <c r="M93" s="184">
        <f>IFERROR($E93/$D93,"")</f>
        <v/>
      </c>
      <c r="N93" s="184">
        <f>IFERROR($C93*($G93/$H93)/$E93,"")</f>
        <v/>
      </c>
      <c r="O93" s="184">
        <f>IFERROR($H93/$G93,"")</f>
        <v/>
      </c>
      <c r="P93" s="184">
        <f>IFERROR($C93/$F93,"")</f>
        <v/>
      </c>
      <c r="Q93" s="184">
        <f>IFERROR(($H93+$I93)/$J93,"")</f>
        <v/>
      </c>
      <c r="R93" s="184">
        <f>IF($L93="",NA(),$L93)</f>
        <v/>
      </c>
      <c r="S93" s="184">
        <f>$V$3</f>
        <v/>
      </c>
    </row>
    <row r="94" ht="14" customHeight="1">
      <c r="A94" s="18">
        <f>INDEX(PARAMETRES!$AM$7:$AM$18,MONTH($B94))&amp;" "&amp;TEXT(YEAR($B94),"0000")</f>
        <v/>
      </c>
      <c r="B94" s="193">
        <f>EDATE($B$7,-6)</f>
        <v/>
      </c>
      <c r="C94" s="183">
        <f>SUMIFS(SAISIE_PROD!$AE$5:$AE$204,SAISIE_PROD!$A$5:$A$204,"&gt;="&amp;$B94,SAISIE_PROD!$A$5:$A$204,"&lt;"&amp;EDATE($B94,1),SAISIE_PROD!$AS$5:$AS$204,1)</f>
        <v/>
      </c>
      <c r="D94" s="183">
        <f>SUMIFS(SAISIE_PROD!$AB$5:$AB$204,SAISIE_PROD!$A$5:$A$204,"&gt;="&amp;$B94,SAISIE_PROD!$A$5:$A$204,"&lt;"&amp;EDATE($B94,1),SAISIE_PROD!$AS$5:$AS$204,1)</f>
        <v/>
      </c>
      <c r="E94" s="183">
        <f>SUMIFS(SAISIE_PROD!$AD$5:$AD$204,SAISIE_PROD!$A$5:$A$204,"&gt;="&amp;$B94,SAISIE_PROD!$A$5:$A$204,"&lt;"&amp;EDATE($B94,1),SAISIE_PROD!$AS$5:$AS$204,1)</f>
        <v/>
      </c>
      <c r="F94" s="183">
        <f>SUMIFS(SAISIE_PROD!$F$5:$F$204,SAISIE_PROD!$A$5:$A$204,"&gt;="&amp;$B94,SAISIE_PROD!$A$5:$A$204,"&lt;"&amp;EDATE($B94,1),SAISIE_PROD!$AS$5:$AS$204,1)</f>
        <v/>
      </c>
      <c r="G94" s="183">
        <f>SUMIFS(SAISIE_PROD!$P$5:$P$204,SAISIE_PROD!$A$5:$A$204,"&gt;="&amp;$B94,SAISIE_PROD!$A$5:$A$204,"&lt;"&amp;EDATE($B94,1),SAISIE_PROD!$AS$5:$AS$204,1)</f>
        <v/>
      </c>
      <c r="H94" s="183">
        <f>SUMIFS(SAISIE_PROD!$Q$5:$Q$204,SAISIE_PROD!$A$5:$A$204,"&gt;="&amp;$B94,SAISIE_PROD!$A$5:$A$204,"&lt;"&amp;EDATE($B94,1),SAISIE_PROD!$AS$5:$AS$204,1)</f>
        <v/>
      </c>
      <c r="I94" s="183">
        <f>SUMIFS(SAISIE_PROD!$R$5:$R$204,SAISIE_PROD!$A$5:$A$204,"&gt;="&amp;$B94,SAISIE_PROD!$A$5:$A$204,"&lt;"&amp;EDATE($B94,1),SAISIE_PROD!$AS$5:$AS$204,1)</f>
        <v/>
      </c>
      <c r="J94" s="183">
        <f>SUMIFS(SAISIE_PROD!$T$5:$T$204,SAISIE_PROD!$A$5:$A$204,"&gt;="&amp;$B94,SAISIE_PROD!$A$5:$A$204,"&lt;"&amp;EDATE($B94,1),SAISIE_PROD!$AS$5:$AS$204,1)</f>
        <v/>
      </c>
      <c r="K94" s="183">
        <f>SUMIFS(SAISIE_PROD!$X$5:$X$204,SAISIE_PROD!$A$5:$A$204,"&gt;="&amp;$B94,SAISIE_PROD!$A$5:$A$204,"&lt;"&amp;EDATE($B94,1),SAISIE_PROD!$AS$5:$AS$204,1)</f>
        <v/>
      </c>
      <c r="L94" s="184">
        <f>IFERROR($C94/$D94,"")</f>
        <v/>
      </c>
      <c r="M94" s="184">
        <f>IFERROR($E94/$D94,"")</f>
        <v/>
      </c>
      <c r="N94" s="184">
        <f>IFERROR($C94*($G94/$H94)/$E94,"")</f>
        <v/>
      </c>
      <c r="O94" s="184">
        <f>IFERROR($H94/$G94,"")</f>
        <v/>
      </c>
      <c r="P94" s="184">
        <f>IFERROR($C94/$F94,"")</f>
        <v/>
      </c>
      <c r="Q94" s="184">
        <f>IFERROR(($H94+$I94)/$J94,"")</f>
        <v/>
      </c>
      <c r="R94" s="184">
        <f>IF($L94="",NA(),$L94)</f>
        <v/>
      </c>
      <c r="S94" s="184">
        <f>$V$3</f>
        <v/>
      </c>
    </row>
    <row r="95" ht="14" customHeight="1">
      <c r="A95" s="18">
        <f>INDEX(PARAMETRES!$AM$7:$AM$18,MONTH($B95))&amp;" "&amp;TEXT(YEAR($B95),"0000")</f>
        <v/>
      </c>
      <c r="B95" s="193">
        <f>EDATE($B$7,-5)</f>
        <v/>
      </c>
      <c r="C95" s="183">
        <f>SUMIFS(SAISIE_PROD!$AE$5:$AE$204,SAISIE_PROD!$A$5:$A$204,"&gt;="&amp;$B95,SAISIE_PROD!$A$5:$A$204,"&lt;"&amp;EDATE($B95,1),SAISIE_PROD!$AS$5:$AS$204,1)</f>
        <v/>
      </c>
      <c r="D95" s="183">
        <f>SUMIFS(SAISIE_PROD!$AB$5:$AB$204,SAISIE_PROD!$A$5:$A$204,"&gt;="&amp;$B95,SAISIE_PROD!$A$5:$A$204,"&lt;"&amp;EDATE($B95,1),SAISIE_PROD!$AS$5:$AS$204,1)</f>
        <v/>
      </c>
      <c r="E95" s="183">
        <f>SUMIFS(SAISIE_PROD!$AD$5:$AD$204,SAISIE_PROD!$A$5:$A$204,"&gt;="&amp;$B95,SAISIE_PROD!$A$5:$A$204,"&lt;"&amp;EDATE($B95,1),SAISIE_PROD!$AS$5:$AS$204,1)</f>
        <v/>
      </c>
      <c r="F95" s="183">
        <f>SUMIFS(SAISIE_PROD!$F$5:$F$204,SAISIE_PROD!$A$5:$A$204,"&gt;="&amp;$B95,SAISIE_PROD!$A$5:$A$204,"&lt;"&amp;EDATE($B95,1),SAISIE_PROD!$AS$5:$AS$204,1)</f>
        <v/>
      </c>
      <c r="G95" s="183">
        <f>SUMIFS(SAISIE_PROD!$P$5:$P$204,SAISIE_PROD!$A$5:$A$204,"&gt;="&amp;$B95,SAISIE_PROD!$A$5:$A$204,"&lt;"&amp;EDATE($B95,1),SAISIE_PROD!$AS$5:$AS$204,1)</f>
        <v/>
      </c>
      <c r="H95" s="183">
        <f>SUMIFS(SAISIE_PROD!$Q$5:$Q$204,SAISIE_PROD!$A$5:$A$204,"&gt;="&amp;$B95,SAISIE_PROD!$A$5:$A$204,"&lt;"&amp;EDATE($B95,1),SAISIE_PROD!$AS$5:$AS$204,1)</f>
        <v/>
      </c>
      <c r="I95" s="183">
        <f>SUMIFS(SAISIE_PROD!$R$5:$R$204,SAISIE_PROD!$A$5:$A$204,"&gt;="&amp;$B95,SAISIE_PROD!$A$5:$A$204,"&lt;"&amp;EDATE($B95,1),SAISIE_PROD!$AS$5:$AS$204,1)</f>
        <v/>
      </c>
      <c r="J95" s="183">
        <f>SUMIFS(SAISIE_PROD!$T$5:$T$204,SAISIE_PROD!$A$5:$A$204,"&gt;="&amp;$B95,SAISIE_PROD!$A$5:$A$204,"&lt;"&amp;EDATE($B95,1),SAISIE_PROD!$AS$5:$AS$204,1)</f>
        <v/>
      </c>
      <c r="K95" s="183">
        <f>SUMIFS(SAISIE_PROD!$X$5:$X$204,SAISIE_PROD!$A$5:$A$204,"&gt;="&amp;$B95,SAISIE_PROD!$A$5:$A$204,"&lt;"&amp;EDATE($B95,1),SAISIE_PROD!$AS$5:$AS$204,1)</f>
        <v/>
      </c>
      <c r="L95" s="184">
        <f>IFERROR($C95/$D95,"")</f>
        <v/>
      </c>
      <c r="M95" s="184">
        <f>IFERROR($E95/$D95,"")</f>
        <v/>
      </c>
      <c r="N95" s="184">
        <f>IFERROR($C95*($G95/$H95)/$E95,"")</f>
        <v/>
      </c>
      <c r="O95" s="184">
        <f>IFERROR($H95/$G95,"")</f>
        <v/>
      </c>
      <c r="P95" s="184">
        <f>IFERROR($C95/$F95,"")</f>
        <v/>
      </c>
      <c r="Q95" s="184">
        <f>IFERROR(($H95+$I95)/$J95,"")</f>
        <v/>
      </c>
      <c r="R95" s="184">
        <f>IF($L95="",NA(),$L95)</f>
        <v/>
      </c>
      <c r="S95" s="184">
        <f>$V$3</f>
        <v/>
      </c>
    </row>
    <row r="96" ht="14" customHeight="1">
      <c r="A96" s="18">
        <f>INDEX(PARAMETRES!$AM$7:$AM$18,MONTH($B96))&amp;" "&amp;TEXT(YEAR($B96),"0000")</f>
        <v/>
      </c>
      <c r="B96" s="193">
        <f>EDATE($B$7,-4)</f>
        <v/>
      </c>
      <c r="C96" s="183">
        <f>SUMIFS(SAISIE_PROD!$AE$5:$AE$204,SAISIE_PROD!$A$5:$A$204,"&gt;="&amp;$B96,SAISIE_PROD!$A$5:$A$204,"&lt;"&amp;EDATE($B96,1),SAISIE_PROD!$AS$5:$AS$204,1)</f>
        <v/>
      </c>
      <c r="D96" s="183">
        <f>SUMIFS(SAISIE_PROD!$AB$5:$AB$204,SAISIE_PROD!$A$5:$A$204,"&gt;="&amp;$B96,SAISIE_PROD!$A$5:$A$204,"&lt;"&amp;EDATE($B96,1),SAISIE_PROD!$AS$5:$AS$204,1)</f>
        <v/>
      </c>
      <c r="E96" s="183">
        <f>SUMIFS(SAISIE_PROD!$AD$5:$AD$204,SAISIE_PROD!$A$5:$A$204,"&gt;="&amp;$B96,SAISIE_PROD!$A$5:$A$204,"&lt;"&amp;EDATE($B96,1),SAISIE_PROD!$AS$5:$AS$204,1)</f>
        <v/>
      </c>
      <c r="F96" s="183">
        <f>SUMIFS(SAISIE_PROD!$F$5:$F$204,SAISIE_PROD!$A$5:$A$204,"&gt;="&amp;$B96,SAISIE_PROD!$A$5:$A$204,"&lt;"&amp;EDATE($B96,1),SAISIE_PROD!$AS$5:$AS$204,1)</f>
        <v/>
      </c>
      <c r="G96" s="183">
        <f>SUMIFS(SAISIE_PROD!$P$5:$P$204,SAISIE_PROD!$A$5:$A$204,"&gt;="&amp;$B96,SAISIE_PROD!$A$5:$A$204,"&lt;"&amp;EDATE($B96,1),SAISIE_PROD!$AS$5:$AS$204,1)</f>
        <v/>
      </c>
      <c r="H96" s="183">
        <f>SUMIFS(SAISIE_PROD!$Q$5:$Q$204,SAISIE_PROD!$A$5:$A$204,"&gt;="&amp;$B96,SAISIE_PROD!$A$5:$A$204,"&lt;"&amp;EDATE($B96,1),SAISIE_PROD!$AS$5:$AS$204,1)</f>
        <v/>
      </c>
      <c r="I96" s="183">
        <f>SUMIFS(SAISIE_PROD!$R$5:$R$204,SAISIE_PROD!$A$5:$A$204,"&gt;="&amp;$B96,SAISIE_PROD!$A$5:$A$204,"&lt;"&amp;EDATE($B96,1),SAISIE_PROD!$AS$5:$AS$204,1)</f>
        <v/>
      </c>
      <c r="J96" s="183">
        <f>SUMIFS(SAISIE_PROD!$T$5:$T$204,SAISIE_PROD!$A$5:$A$204,"&gt;="&amp;$B96,SAISIE_PROD!$A$5:$A$204,"&lt;"&amp;EDATE($B96,1),SAISIE_PROD!$AS$5:$AS$204,1)</f>
        <v/>
      </c>
      <c r="K96" s="183">
        <f>SUMIFS(SAISIE_PROD!$X$5:$X$204,SAISIE_PROD!$A$5:$A$204,"&gt;="&amp;$B96,SAISIE_PROD!$A$5:$A$204,"&lt;"&amp;EDATE($B96,1),SAISIE_PROD!$AS$5:$AS$204,1)</f>
        <v/>
      </c>
      <c r="L96" s="184">
        <f>IFERROR($C96/$D96,"")</f>
        <v/>
      </c>
      <c r="M96" s="184">
        <f>IFERROR($E96/$D96,"")</f>
        <v/>
      </c>
      <c r="N96" s="184">
        <f>IFERROR($C96*($G96/$H96)/$E96,"")</f>
        <v/>
      </c>
      <c r="O96" s="184">
        <f>IFERROR($H96/$G96,"")</f>
        <v/>
      </c>
      <c r="P96" s="184">
        <f>IFERROR($C96/$F96,"")</f>
        <v/>
      </c>
      <c r="Q96" s="184">
        <f>IFERROR(($H96+$I96)/$J96,"")</f>
        <v/>
      </c>
      <c r="R96" s="184">
        <f>IF($L96="",NA(),$L96)</f>
        <v/>
      </c>
      <c r="S96" s="184">
        <f>$V$3</f>
        <v/>
      </c>
    </row>
    <row r="97" ht="14" customHeight="1">
      <c r="A97" s="18">
        <f>INDEX(PARAMETRES!$AM$7:$AM$18,MONTH($B97))&amp;" "&amp;TEXT(YEAR($B97),"0000")</f>
        <v/>
      </c>
      <c r="B97" s="193">
        <f>EDATE($B$7,-3)</f>
        <v/>
      </c>
      <c r="C97" s="183">
        <f>SUMIFS(SAISIE_PROD!$AE$5:$AE$204,SAISIE_PROD!$A$5:$A$204,"&gt;="&amp;$B97,SAISIE_PROD!$A$5:$A$204,"&lt;"&amp;EDATE($B97,1),SAISIE_PROD!$AS$5:$AS$204,1)</f>
        <v/>
      </c>
      <c r="D97" s="183">
        <f>SUMIFS(SAISIE_PROD!$AB$5:$AB$204,SAISIE_PROD!$A$5:$A$204,"&gt;="&amp;$B97,SAISIE_PROD!$A$5:$A$204,"&lt;"&amp;EDATE($B97,1),SAISIE_PROD!$AS$5:$AS$204,1)</f>
        <v/>
      </c>
      <c r="E97" s="183">
        <f>SUMIFS(SAISIE_PROD!$AD$5:$AD$204,SAISIE_PROD!$A$5:$A$204,"&gt;="&amp;$B97,SAISIE_PROD!$A$5:$A$204,"&lt;"&amp;EDATE($B97,1),SAISIE_PROD!$AS$5:$AS$204,1)</f>
        <v/>
      </c>
      <c r="F97" s="183">
        <f>SUMIFS(SAISIE_PROD!$F$5:$F$204,SAISIE_PROD!$A$5:$A$204,"&gt;="&amp;$B97,SAISIE_PROD!$A$5:$A$204,"&lt;"&amp;EDATE($B97,1),SAISIE_PROD!$AS$5:$AS$204,1)</f>
        <v/>
      </c>
      <c r="G97" s="183">
        <f>SUMIFS(SAISIE_PROD!$P$5:$P$204,SAISIE_PROD!$A$5:$A$204,"&gt;="&amp;$B97,SAISIE_PROD!$A$5:$A$204,"&lt;"&amp;EDATE($B97,1),SAISIE_PROD!$AS$5:$AS$204,1)</f>
        <v/>
      </c>
      <c r="H97" s="183">
        <f>SUMIFS(SAISIE_PROD!$Q$5:$Q$204,SAISIE_PROD!$A$5:$A$204,"&gt;="&amp;$B97,SAISIE_PROD!$A$5:$A$204,"&lt;"&amp;EDATE($B97,1),SAISIE_PROD!$AS$5:$AS$204,1)</f>
        <v/>
      </c>
      <c r="I97" s="183">
        <f>SUMIFS(SAISIE_PROD!$R$5:$R$204,SAISIE_PROD!$A$5:$A$204,"&gt;="&amp;$B97,SAISIE_PROD!$A$5:$A$204,"&lt;"&amp;EDATE($B97,1),SAISIE_PROD!$AS$5:$AS$204,1)</f>
        <v/>
      </c>
      <c r="J97" s="183">
        <f>SUMIFS(SAISIE_PROD!$T$5:$T$204,SAISIE_PROD!$A$5:$A$204,"&gt;="&amp;$B97,SAISIE_PROD!$A$5:$A$204,"&lt;"&amp;EDATE($B97,1),SAISIE_PROD!$AS$5:$AS$204,1)</f>
        <v/>
      </c>
      <c r="K97" s="183">
        <f>SUMIFS(SAISIE_PROD!$X$5:$X$204,SAISIE_PROD!$A$5:$A$204,"&gt;="&amp;$B97,SAISIE_PROD!$A$5:$A$204,"&lt;"&amp;EDATE($B97,1),SAISIE_PROD!$AS$5:$AS$204,1)</f>
        <v/>
      </c>
      <c r="L97" s="184">
        <f>IFERROR($C97/$D97,"")</f>
        <v/>
      </c>
      <c r="M97" s="184">
        <f>IFERROR($E97/$D97,"")</f>
        <v/>
      </c>
      <c r="N97" s="184">
        <f>IFERROR($C97*($G97/$H97)/$E97,"")</f>
        <v/>
      </c>
      <c r="O97" s="184">
        <f>IFERROR($H97/$G97,"")</f>
        <v/>
      </c>
      <c r="P97" s="184">
        <f>IFERROR($C97/$F97,"")</f>
        <v/>
      </c>
      <c r="Q97" s="184">
        <f>IFERROR(($H97+$I97)/$J97,"")</f>
        <v/>
      </c>
      <c r="R97" s="184">
        <f>IF($L97="",NA(),$L97)</f>
        <v/>
      </c>
      <c r="S97" s="184">
        <f>$V$3</f>
        <v/>
      </c>
    </row>
    <row r="98" ht="14" customHeight="1">
      <c r="A98" s="18">
        <f>INDEX(PARAMETRES!$AM$7:$AM$18,MONTH($B98))&amp;" "&amp;TEXT(YEAR($B98),"0000")</f>
        <v/>
      </c>
      <c r="B98" s="193">
        <f>EDATE($B$7,-2)</f>
        <v/>
      </c>
      <c r="C98" s="183">
        <f>SUMIFS(SAISIE_PROD!$AE$5:$AE$204,SAISIE_PROD!$A$5:$A$204,"&gt;="&amp;$B98,SAISIE_PROD!$A$5:$A$204,"&lt;"&amp;EDATE($B98,1),SAISIE_PROD!$AS$5:$AS$204,1)</f>
        <v/>
      </c>
      <c r="D98" s="183">
        <f>SUMIFS(SAISIE_PROD!$AB$5:$AB$204,SAISIE_PROD!$A$5:$A$204,"&gt;="&amp;$B98,SAISIE_PROD!$A$5:$A$204,"&lt;"&amp;EDATE($B98,1),SAISIE_PROD!$AS$5:$AS$204,1)</f>
        <v/>
      </c>
      <c r="E98" s="183">
        <f>SUMIFS(SAISIE_PROD!$AD$5:$AD$204,SAISIE_PROD!$A$5:$A$204,"&gt;="&amp;$B98,SAISIE_PROD!$A$5:$A$204,"&lt;"&amp;EDATE($B98,1),SAISIE_PROD!$AS$5:$AS$204,1)</f>
        <v/>
      </c>
      <c r="F98" s="183">
        <f>SUMIFS(SAISIE_PROD!$F$5:$F$204,SAISIE_PROD!$A$5:$A$204,"&gt;="&amp;$B98,SAISIE_PROD!$A$5:$A$204,"&lt;"&amp;EDATE($B98,1),SAISIE_PROD!$AS$5:$AS$204,1)</f>
        <v/>
      </c>
      <c r="G98" s="183">
        <f>SUMIFS(SAISIE_PROD!$P$5:$P$204,SAISIE_PROD!$A$5:$A$204,"&gt;="&amp;$B98,SAISIE_PROD!$A$5:$A$204,"&lt;"&amp;EDATE($B98,1),SAISIE_PROD!$AS$5:$AS$204,1)</f>
        <v/>
      </c>
      <c r="H98" s="183">
        <f>SUMIFS(SAISIE_PROD!$Q$5:$Q$204,SAISIE_PROD!$A$5:$A$204,"&gt;="&amp;$B98,SAISIE_PROD!$A$5:$A$204,"&lt;"&amp;EDATE($B98,1),SAISIE_PROD!$AS$5:$AS$204,1)</f>
        <v/>
      </c>
      <c r="I98" s="183">
        <f>SUMIFS(SAISIE_PROD!$R$5:$R$204,SAISIE_PROD!$A$5:$A$204,"&gt;="&amp;$B98,SAISIE_PROD!$A$5:$A$204,"&lt;"&amp;EDATE($B98,1),SAISIE_PROD!$AS$5:$AS$204,1)</f>
        <v/>
      </c>
      <c r="J98" s="183">
        <f>SUMIFS(SAISIE_PROD!$T$5:$T$204,SAISIE_PROD!$A$5:$A$204,"&gt;="&amp;$B98,SAISIE_PROD!$A$5:$A$204,"&lt;"&amp;EDATE($B98,1),SAISIE_PROD!$AS$5:$AS$204,1)</f>
        <v/>
      </c>
      <c r="K98" s="183">
        <f>SUMIFS(SAISIE_PROD!$X$5:$X$204,SAISIE_PROD!$A$5:$A$204,"&gt;="&amp;$B98,SAISIE_PROD!$A$5:$A$204,"&lt;"&amp;EDATE($B98,1),SAISIE_PROD!$AS$5:$AS$204,1)</f>
        <v/>
      </c>
      <c r="L98" s="184">
        <f>IFERROR($C98/$D98,"")</f>
        <v/>
      </c>
      <c r="M98" s="184">
        <f>IFERROR($E98/$D98,"")</f>
        <v/>
      </c>
      <c r="N98" s="184">
        <f>IFERROR($C98*($G98/$H98)/$E98,"")</f>
        <v/>
      </c>
      <c r="O98" s="184">
        <f>IFERROR($H98/$G98,"")</f>
        <v/>
      </c>
      <c r="P98" s="184">
        <f>IFERROR($C98/$F98,"")</f>
        <v/>
      </c>
      <c r="Q98" s="184">
        <f>IFERROR(($H98+$I98)/$J98,"")</f>
        <v/>
      </c>
      <c r="R98" s="184">
        <f>IF($L98="",NA(),$L98)</f>
        <v/>
      </c>
      <c r="S98" s="184">
        <f>$V$3</f>
        <v/>
      </c>
    </row>
    <row r="99" ht="14" customHeight="1">
      <c r="A99" s="18">
        <f>INDEX(PARAMETRES!$AM$7:$AM$18,MONTH($B99))&amp;" "&amp;TEXT(YEAR($B99),"0000")</f>
        <v/>
      </c>
      <c r="B99" s="193">
        <f>EDATE($B$7,-1)</f>
        <v/>
      </c>
      <c r="C99" s="183">
        <f>SUMIFS(SAISIE_PROD!$AE$5:$AE$204,SAISIE_PROD!$A$5:$A$204,"&gt;="&amp;$B99,SAISIE_PROD!$A$5:$A$204,"&lt;"&amp;EDATE($B99,1),SAISIE_PROD!$AS$5:$AS$204,1)</f>
        <v/>
      </c>
      <c r="D99" s="183">
        <f>SUMIFS(SAISIE_PROD!$AB$5:$AB$204,SAISIE_PROD!$A$5:$A$204,"&gt;="&amp;$B99,SAISIE_PROD!$A$5:$A$204,"&lt;"&amp;EDATE($B99,1),SAISIE_PROD!$AS$5:$AS$204,1)</f>
        <v/>
      </c>
      <c r="E99" s="183">
        <f>SUMIFS(SAISIE_PROD!$AD$5:$AD$204,SAISIE_PROD!$A$5:$A$204,"&gt;="&amp;$B99,SAISIE_PROD!$A$5:$A$204,"&lt;"&amp;EDATE($B99,1),SAISIE_PROD!$AS$5:$AS$204,1)</f>
        <v/>
      </c>
      <c r="F99" s="183">
        <f>SUMIFS(SAISIE_PROD!$F$5:$F$204,SAISIE_PROD!$A$5:$A$204,"&gt;="&amp;$B99,SAISIE_PROD!$A$5:$A$204,"&lt;"&amp;EDATE($B99,1),SAISIE_PROD!$AS$5:$AS$204,1)</f>
        <v/>
      </c>
      <c r="G99" s="183">
        <f>SUMIFS(SAISIE_PROD!$P$5:$P$204,SAISIE_PROD!$A$5:$A$204,"&gt;="&amp;$B99,SAISIE_PROD!$A$5:$A$204,"&lt;"&amp;EDATE($B99,1),SAISIE_PROD!$AS$5:$AS$204,1)</f>
        <v/>
      </c>
      <c r="H99" s="183">
        <f>SUMIFS(SAISIE_PROD!$Q$5:$Q$204,SAISIE_PROD!$A$5:$A$204,"&gt;="&amp;$B99,SAISIE_PROD!$A$5:$A$204,"&lt;"&amp;EDATE($B99,1),SAISIE_PROD!$AS$5:$AS$204,1)</f>
        <v/>
      </c>
      <c r="I99" s="183">
        <f>SUMIFS(SAISIE_PROD!$R$5:$R$204,SAISIE_PROD!$A$5:$A$204,"&gt;="&amp;$B99,SAISIE_PROD!$A$5:$A$204,"&lt;"&amp;EDATE($B99,1),SAISIE_PROD!$AS$5:$AS$204,1)</f>
        <v/>
      </c>
      <c r="J99" s="183">
        <f>SUMIFS(SAISIE_PROD!$T$5:$T$204,SAISIE_PROD!$A$5:$A$204,"&gt;="&amp;$B99,SAISIE_PROD!$A$5:$A$204,"&lt;"&amp;EDATE($B99,1),SAISIE_PROD!$AS$5:$AS$204,1)</f>
        <v/>
      </c>
      <c r="K99" s="183">
        <f>SUMIFS(SAISIE_PROD!$X$5:$X$204,SAISIE_PROD!$A$5:$A$204,"&gt;="&amp;$B99,SAISIE_PROD!$A$5:$A$204,"&lt;"&amp;EDATE($B99,1),SAISIE_PROD!$AS$5:$AS$204,1)</f>
        <v/>
      </c>
      <c r="L99" s="184">
        <f>IFERROR($C99/$D99,"")</f>
        <v/>
      </c>
      <c r="M99" s="184">
        <f>IFERROR($E99/$D99,"")</f>
        <v/>
      </c>
      <c r="N99" s="184">
        <f>IFERROR($C99*($G99/$H99)/$E99,"")</f>
        <v/>
      </c>
      <c r="O99" s="184">
        <f>IFERROR($H99/$G99,"")</f>
        <v/>
      </c>
      <c r="P99" s="184">
        <f>IFERROR($C99/$F99,"")</f>
        <v/>
      </c>
      <c r="Q99" s="184">
        <f>IFERROR(($H99+$I99)/$J99,"")</f>
        <v/>
      </c>
      <c r="R99" s="184">
        <f>IF($L99="",NA(),$L99)</f>
        <v/>
      </c>
      <c r="S99" s="184">
        <f>$V$3</f>
        <v/>
      </c>
    </row>
    <row r="100" ht="14" customHeight="1">
      <c r="A100" s="20">
        <f>INDEX(PARAMETRES!$AM$7:$AM$18,MONTH($B100))&amp;" "&amp;TEXT(YEAR($B100),"0000")</f>
        <v/>
      </c>
      <c r="B100" s="194">
        <f>EDATE($B$7,0)</f>
        <v/>
      </c>
      <c r="C100" s="195">
        <f>SUMIFS(SAISIE_PROD!$AE$5:$AE$204,SAISIE_PROD!$A$5:$A$204,"&gt;="&amp;$B100,SAISIE_PROD!$A$5:$A$204,"&lt;"&amp;EDATE($B100,1),SAISIE_PROD!$AS$5:$AS$204,1)</f>
        <v/>
      </c>
      <c r="D100" s="195">
        <f>SUMIFS(SAISIE_PROD!$AB$5:$AB$204,SAISIE_PROD!$A$5:$A$204,"&gt;="&amp;$B100,SAISIE_PROD!$A$5:$A$204,"&lt;"&amp;EDATE($B100,1),SAISIE_PROD!$AS$5:$AS$204,1)</f>
        <v/>
      </c>
      <c r="E100" s="195">
        <f>SUMIFS(SAISIE_PROD!$AD$5:$AD$204,SAISIE_PROD!$A$5:$A$204,"&gt;="&amp;$B100,SAISIE_PROD!$A$5:$A$204,"&lt;"&amp;EDATE($B100,1),SAISIE_PROD!$AS$5:$AS$204,1)</f>
        <v/>
      </c>
      <c r="F100" s="195">
        <f>SUMIFS(SAISIE_PROD!$F$5:$F$204,SAISIE_PROD!$A$5:$A$204,"&gt;="&amp;$B100,SAISIE_PROD!$A$5:$A$204,"&lt;"&amp;EDATE($B100,1),SAISIE_PROD!$AS$5:$AS$204,1)</f>
        <v/>
      </c>
      <c r="G100" s="195">
        <f>SUMIFS(SAISIE_PROD!$P$5:$P$204,SAISIE_PROD!$A$5:$A$204,"&gt;="&amp;$B100,SAISIE_PROD!$A$5:$A$204,"&lt;"&amp;EDATE($B100,1),SAISIE_PROD!$AS$5:$AS$204,1)</f>
        <v/>
      </c>
      <c r="H100" s="195">
        <f>SUMIFS(SAISIE_PROD!$Q$5:$Q$204,SAISIE_PROD!$A$5:$A$204,"&gt;="&amp;$B100,SAISIE_PROD!$A$5:$A$204,"&lt;"&amp;EDATE($B100,1),SAISIE_PROD!$AS$5:$AS$204,1)</f>
        <v/>
      </c>
      <c r="I100" s="195">
        <f>SUMIFS(SAISIE_PROD!$R$5:$R$204,SAISIE_PROD!$A$5:$A$204,"&gt;="&amp;$B100,SAISIE_PROD!$A$5:$A$204,"&lt;"&amp;EDATE($B100,1),SAISIE_PROD!$AS$5:$AS$204,1)</f>
        <v/>
      </c>
      <c r="J100" s="195">
        <f>SUMIFS(SAISIE_PROD!$T$5:$T$204,SAISIE_PROD!$A$5:$A$204,"&gt;="&amp;$B100,SAISIE_PROD!$A$5:$A$204,"&lt;"&amp;EDATE($B100,1),SAISIE_PROD!$AS$5:$AS$204,1)</f>
        <v/>
      </c>
      <c r="K100" s="195">
        <f>SUMIFS(SAISIE_PROD!$X$5:$X$204,SAISIE_PROD!$A$5:$A$204,"&gt;="&amp;$B100,SAISIE_PROD!$A$5:$A$204,"&lt;"&amp;EDATE($B100,1),SAISIE_PROD!$AS$5:$AS$204,1)</f>
        <v/>
      </c>
      <c r="L100" s="196">
        <f>IFERROR($C100/$D100,"")</f>
        <v/>
      </c>
      <c r="M100" s="196">
        <f>IFERROR($E100/$D100,"")</f>
        <v/>
      </c>
      <c r="N100" s="196">
        <f>IFERROR($C100*($G100/$H100)/$E100,"")</f>
        <v/>
      </c>
      <c r="O100" s="196">
        <f>IFERROR($H100/$G100,"")</f>
        <v/>
      </c>
      <c r="P100" s="196">
        <f>IFERROR($C100/$F100,"")</f>
        <v/>
      </c>
      <c r="Q100" s="196">
        <f>IFERROR(($H100+$I100)/$J100,"")</f>
        <v/>
      </c>
      <c r="R100" s="196">
        <f>IF($L100="",NA(),$L100)</f>
        <v/>
      </c>
      <c r="S100" s="196">
        <f>$V$3</f>
        <v/>
      </c>
    </row>
    <row r="101" ht="20" customHeight="1">
      <c r="A101" s="4" t="inlineStr">
        <is>
          <t>RÉPARTITION DU PLAN D'ACTIONS PAR STATUT</t>
        </is>
      </c>
      <c r="B101" s="5" t="n"/>
      <c r="C101" s="5" t="n"/>
      <c r="D101" s="5" t="n"/>
      <c r="E101" s="5" t="n"/>
      <c r="F101" s="5" t="n"/>
      <c r="G101" s="5" t="n"/>
      <c r="H101" s="5" t="n"/>
      <c r="I101" s="5" t="n"/>
      <c r="J101" s="5" t="n"/>
      <c r="K101" s="5" t="n"/>
      <c r="L101" s="5" t="n"/>
    </row>
    <row r="102" ht="24" customHeight="1">
      <c r="A102" s="6" t="inlineStr">
        <is>
          <t>Statut</t>
        </is>
      </c>
      <c r="B102" s="6" t="inlineStr">
        <is>
          <t>Nombre d'actions</t>
        </is>
      </c>
      <c r="C102" s="6" t="inlineStr"/>
      <c r="D102" s="6" t="inlineStr"/>
      <c r="E102" s="6" t="inlineStr"/>
      <c r="F102" s="6" t="inlineStr"/>
      <c r="G102" s="6" t="inlineStr"/>
      <c r="H102" s="6" t="inlineStr"/>
      <c r="I102" s="6" t="inlineStr"/>
      <c r="J102" s="6" t="inlineStr"/>
      <c r="K102" s="6" t="inlineStr"/>
      <c r="L102" s="6" t="inlineStr"/>
    </row>
    <row r="103" ht="14" customHeight="1">
      <c r="A103" s="18" t="inlineStr">
        <is>
          <t>À lancer</t>
        </is>
      </c>
      <c r="B103" s="192">
        <f>COUNTIF(PLAN_ACTIONS!$Q$9:$Q$128,$A103)</f>
        <v/>
      </c>
    </row>
    <row r="104" ht="14" customHeight="1">
      <c r="A104" s="18" t="inlineStr">
        <is>
          <t>En cours</t>
        </is>
      </c>
      <c r="B104" s="192">
        <f>COUNTIF(PLAN_ACTIONS!$Q$9:$Q$128,$A104)</f>
        <v/>
      </c>
    </row>
    <row r="105" ht="14" customHeight="1">
      <c r="A105" s="18" t="inlineStr">
        <is>
          <t>En attente</t>
        </is>
      </c>
      <c r="B105" s="192">
        <f>COUNTIF(PLAN_ACTIONS!$Q$9:$Q$128,$A105)</f>
        <v/>
      </c>
    </row>
    <row r="106" ht="14" customHeight="1">
      <c r="A106" s="18" t="inlineStr">
        <is>
          <t>Terminée</t>
        </is>
      </c>
      <c r="B106" s="192">
        <f>COUNTIF(PLAN_ACTIONS!$Q$9:$Q$128,$A106)</f>
        <v/>
      </c>
    </row>
    <row r="107" ht="14" customHeight="1">
      <c r="A107" s="18" t="inlineStr">
        <is>
          <t>Abandonnée</t>
        </is>
      </c>
      <c r="B107" s="192">
        <f>COUNTIF(PLAN_ACTIONS!$Q$9:$Q$128,$A107)</f>
        <v/>
      </c>
    </row>
    <row r="108" ht="20" customHeight="1">
      <c r="A108" s="4" t="inlineStr">
        <is>
          <t>ANALYSE DES CAUSES D'ARRÊT SUBI  (source : onglet ARRETS, hors arrêts planifiés)</t>
        </is>
      </c>
      <c r="B108" s="5" t="n"/>
      <c r="C108" s="5" t="n"/>
      <c r="D108" s="5" t="n"/>
      <c r="E108" s="5" t="n"/>
      <c r="F108" s="5" t="n"/>
      <c r="G108" s="5" t="n"/>
      <c r="H108" s="5" t="n"/>
      <c r="I108" s="5" t="n"/>
      <c r="J108" s="5" t="n"/>
      <c r="K108" s="5" t="n"/>
      <c r="L108" s="5" t="n"/>
    </row>
    <row r="109" ht="26" customHeight="1">
      <c r="A109" s="6" t="inlineStr">
        <is>
          <t>Code</t>
        </is>
      </c>
      <c r="B109" s="6" t="inlineStr">
        <is>
          <t>Libellé</t>
        </is>
      </c>
      <c r="C109" s="6" t="inlineStr">
        <is>
          <t>Minutes</t>
        </is>
      </c>
      <c r="D109" s="6" t="inlineStr">
        <is>
          <t>Occurrences</t>
        </is>
      </c>
      <c r="E109" s="6" t="inlineStr">
        <is>
          <t>Durée moyenne</t>
        </is>
      </c>
      <c r="F109" s="6" t="inlineStr">
        <is>
          <t>Valeur départagée</t>
        </is>
      </c>
      <c r="G109" s="6" t="inlineStr"/>
      <c r="H109" s="6" t="inlineStr"/>
      <c r="I109" s="6" t="inlineStr"/>
      <c r="J109" s="6" t="inlineStr"/>
      <c r="K109" s="6" t="inlineStr"/>
      <c r="L109" s="6" t="inlineStr"/>
    </row>
    <row r="110" ht="14" customHeight="1">
      <c r="A110" s="18">
        <f>IF(PARAMETRES!$R7="","",PARAMETRES!$R7)</f>
        <v/>
      </c>
      <c r="B110" s="18">
        <f>IF($A110="","",PARAMETRES!$S7)</f>
        <v/>
      </c>
      <c r="C110" s="186">
        <f>IF($A110="",0,SUMIFS(ARRETS!$G$5:$G$404,ARRETS!$A$5:$A$404,"&gt;="&amp;$B$7,ARRETS!$A$5:$A$404,"&lt;="&amp;$B$8,ARRETS!$H$5:$H$404,$A110,ARRETS!$Q$5:$Q$404,1,ARRETS!$K$5:$K$404,"&lt;&gt;Planifié"))</f>
        <v/>
      </c>
      <c r="D110" s="186">
        <f>IF($A110="",0,COUNTIFS(ARRETS!$A$5:$A$404,"&gt;="&amp;$B$7,ARRETS!$A$5:$A$404,"&lt;="&amp;$B$8,ARRETS!$H$5:$H$404,$A110,ARRETS!$Q$5:$Q$404,1,ARRETS!$K$5:$K$404,"&lt;&gt;Planifié"))</f>
        <v/>
      </c>
      <c r="E110" s="197">
        <f>IFERROR($C110/$D110,"")</f>
        <v/>
      </c>
      <c r="F110" s="187">
        <f>$C110+(150-ROW())/100000</f>
        <v/>
      </c>
    </row>
    <row r="111" ht="14" customHeight="1">
      <c r="A111" s="18">
        <f>IF(PARAMETRES!$R8="","",PARAMETRES!$R8)</f>
        <v/>
      </c>
      <c r="B111" s="18">
        <f>IF($A111="","",PARAMETRES!$S8)</f>
        <v/>
      </c>
      <c r="C111" s="186">
        <f>IF($A111="",0,SUMIFS(ARRETS!$G$5:$G$404,ARRETS!$A$5:$A$404,"&gt;="&amp;$B$7,ARRETS!$A$5:$A$404,"&lt;="&amp;$B$8,ARRETS!$H$5:$H$404,$A111,ARRETS!$Q$5:$Q$404,1,ARRETS!$K$5:$K$404,"&lt;&gt;Planifié"))</f>
        <v/>
      </c>
      <c r="D111" s="186">
        <f>IF($A111="",0,COUNTIFS(ARRETS!$A$5:$A$404,"&gt;="&amp;$B$7,ARRETS!$A$5:$A$404,"&lt;="&amp;$B$8,ARRETS!$H$5:$H$404,$A111,ARRETS!$Q$5:$Q$404,1,ARRETS!$K$5:$K$404,"&lt;&gt;Planifié"))</f>
        <v/>
      </c>
      <c r="E111" s="197">
        <f>IFERROR($C111/$D111,"")</f>
        <v/>
      </c>
      <c r="F111" s="187">
        <f>$C111+(150-ROW())/100000</f>
        <v/>
      </c>
    </row>
    <row r="112" ht="14" customHeight="1">
      <c r="A112" s="18">
        <f>IF(PARAMETRES!$R9="","",PARAMETRES!$R9)</f>
        <v/>
      </c>
      <c r="B112" s="18">
        <f>IF($A112="","",PARAMETRES!$S9)</f>
        <v/>
      </c>
      <c r="C112" s="186">
        <f>IF($A112="",0,SUMIFS(ARRETS!$G$5:$G$404,ARRETS!$A$5:$A$404,"&gt;="&amp;$B$7,ARRETS!$A$5:$A$404,"&lt;="&amp;$B$8,ARRETS!$H$5:$H$404,$A112,ARRETS!$Q$5:$Q$404,1,ARRETS!$K$5:$K$404,"&lt;&gt;Planifié"))</f>
        <v/>
      </c>
      <c r="D112" s="186">
        <f>IF($A112="",0,COUNTIFS(ARRETS!$A$5:$A$404,"&gt;="&amp;$B$7,ARRETS!$A$5:$A$404,"&lt;="&amp;$B$8,ARRETS!$H$5:$H$404,$A112,ARRETS!$Q$5:$Q$404,1,ARRETS!$K$5:$K$404,"&lt;&gt;Planifié"))</f>
        <v/>
      </c>
      <c r="E112" s="197">
        <f>IFERROR($C112/$D112,"")</f>
        <v/>
      </c>
      <c r="F112" s="187">
        <f>$C112+(150-ROW())/100000</f>
        <v/>
      </c>
    </row>
    <row r="113" ht="14" customHeight="1">
      <c r="A113" s="18">
        <f>IF(PARAMETRES!$R10="","",PARAMETRES!$R10)</f>
        <v/>
      </c>
      <c r="B113" s="18">
        <f>IF($A113="","",PARAMETRES!$S10)</f>
        <v/>
      </c>
      <c r="C113" s="186">
        <f>IF($A113="",0,SUMIFS(ARRETS!$G$5:$G$404,ARRETS!$A$5:$A$404,"&gt;="&amp;$B$7,ARRETS!$A$5:$A$404,"&lt;="&amp;$B$8,ARRETS!$H$5:$H$404,$A113,ARRETS!$Q$5:$Q$404,1,ARRETS!$K$5:$K$404,"&lt;&gt;Planifié"))</f>
        <v/>
      </c>
      <c r="D113" s="186">
        <f>IF($A113="",0,COUNTIFS(ARRETS!$A$5:$A$404,"&gt;="&amp;$B$7,ARRETS!$A$5:$A$404,"&lt;="&amp;$B$8,ARRETS!$H$5:$H$404,$A113,ARRETS!$Q$5:$Q$404,1,ARRETS!$K$5:$K$404,"&lt;&gt;Planifié"))</f>
        <v/>
      </c>
      <c r="E113" s="197">
        <f>IFERROR($C113/$D113,"")</f>
        <v/>
      </c>
      <c r="F113" s="187">
        <f>$C113+(150-ROW())/100000</f>
        <v/>
      </c>
    </row>
    <row r="114" ht="14" customHeight="1">
      <c r="A114" s="18">
        <f>IF(PARAMETRES!$R11="","",PARAMETRES!$R11)</f>
        <v/>
      </c>
      <c r="B114" s="18">
        <f>IF($A114="","",PARAMETRES!$S11)</f>
        <v/>
      </c>
      <c r="C114" s="186">
        <f>IF($A114="",0,SUMIFS(ARRETS!$G$5:$G$404,ARRETS!$A$5:$A$404,"&gt;="&amp;$B$7,ARRETS!$A$5:$A$404,"&lt;="&amp;$B$8,ARRETS!$H$5:$H$404,$A114,ARRETS!$Q$5:$Q$404,1,ARRETS!$K$5:$K$404,"&lt;&gt;Planifié"))</f>
        <v/>
      </c>
      <c r="D114" s="186">
        <f>IF($A114="",0,COUNTIFS(ARRETS!$A$5:$A$404,"&gt;="&amp;$B$7,ARRETS!$A$5:$A$404,"&lt;="&amp;$B$8,ARRETS!$H$5:$H$404,$A114,ARRETS!$Q$5:$Q$404,1,ARRETS!$K$5:$K$404,"&lt;&gt;Planifié"))</f>
        <v/>
      </c>
      <c r="E114" s="197">
        <f>IFERROR($C114/$D114,"")</f>
        <v/>
      </c>
      <c r="F114" s="187">
        <f>$C114+(150-ROW())/100000</f>
        <v/>
      </c>
    </row>
    <row r="115" ht="14" customHeight="1">
      <c r="A115" s="18">
        <f>IF(PARAMETRES!$R12="","",PARAMETRES!$R12)</f>
        <v/>
      </c>
      <c r="B115" s="18">
        <f>IF($A115="","",PARAMETRES!$S12)</f>
        <v/>
      </c>
      <c r="C115" s="186">
        <f>IF($A115="",0,SUMIFS(ARRETS!$G$5:$G$404,ARRETS!$A$5:$A$404,"&gt;="&amp;$B$7,ARRETS!$A$5:$A$404,"&lt;="&amp;$B$8,ARRETS!$H$5:$H$404,$A115,ARRETS!$Q$5:$Q$404,1,ARRETS!$K$5:$K$404,"&lt;&gt;Planifié"))</f>
        <v/>
      </c>
      <c r="D115" s="186">
        <f>IF($A115="",0,COUNTIFS(ARRETS!$A$5:$A$404,"&gt;="&amp;$B$7,ARRETS!$A$5:$A$404,"&lt;="&amp;$B$8,ARRETS!$H$5:$H$404,$A115,ARRETS!$Q$5:$Q$404,1,ARRETS!$K$5:$K$404,"&lt;&gt;Planifié"))</f>
        <v/>
      </c>
      <c r="E115" s="197">
        <f>IFERROR($C115/$D115,"")</f>
        <v/>
      </c>
      <c r="F115" s="187">
        <f>$C115+(150-ROW())/100000</f>
        <v/>
      </c>
    </row>
    <row r="116" ht="14" customHeight="1">
      <c r="A116" s="18">
        <f>IF(PARAMETRES!$R13="","",PARAMETRES!$R13)</f>
        <v/>
      </c>
      <c r="B116" s="18">
        <f>IF($A116="","",PARAMETRES!$S13)</f>
        <v/>
      </c>
      <c r="C116" s="186">
        <f>IF($A116="",0,SUMIFS(ARRETS!$G$5:$G$404,ARRETS!$A$5:$A$404,"&gt;="&amp;$B$7,ARRETS!$A$5:$A$404,"&lt;="&amp;$B$8,ARRETS!$H$5:$H$404,$A116,ARRETS!$Q$5:$Q$404,1,ARRETS!$K$5:$K$404,"&lt;&gt;Planifié"))</f>
        <v/>
      </c>
      <c r="D116" s="186">
        <f>IF($A116="",0,COUNTIFS(ARRETS!$A$5:$A$404,"&gt;="&amp;$B$7,ARRETS!$A$5:$A$404,"&lt;="&amp;$B$8,ARRETS!$H$5:$H$404,$A116,ARRETS!$Q$5:$Q$404,1,ARRETS!$K$5:$K$404,"&lt;&gt;Planifié"))</f>
        <v/>
      </c>
      <c r="E116" s="197">
        <f>IFERROR($C116/$D116,"")</f>
        <v/>
      </c>
      <c r="F116" s="187">
        <f>$C116+(150-ROW())/100000</f>
        <v/>
      </c>
    </row>
    <row r="117" ht="14" customHeight="1">
      <c r="A117" s="18">
        <f>IF(PARAMETRES!$R14="","",PARAMETRES!$R14)</f>
        <v/>
      </c>
      <c r="B117" s="18">
        <f>IF($A117="","",PARAMETRES!$S14)</f>
        <v/>
      </c>
      <c r="C117" s="186">
        <f>IF($A117="",0,SUMIFS(ARRETS!$G$5:$G$404,ARRETS!$A$5:$A$404,"&gt;="&amp;$B$7,ARRETS!$A$5:$A$404,"&lt;="&amp;$B$8,ARRETS!$H$5:$H$404,$A117,ARRETS!$Q$5:$Q$404,1,ARRETS!$K$5:$K$404,"&lt;&gt;Planifié"))</f>
        <v/>
      </c>
      <c r="D117" s="186">
        <f>IF($A117="",0,COUNTIFS(ARRETS!$A$5:$A$404,"&gt;="&amp;$B$7,ARRETS!$A$5:$A$404,"&lt;="&amp;$B$8,ARRETS!$H$5:$H$404,$A117,ARRETS!$Q$5:$Q$404,1,ARRETS!$K$5:$K$404,"&lt;&gt;Planifié"))</f>
        <v/>
      </c>
      <c r="E117" s="197">
        <f>IFERROR($C117/$D117,"")</f>
        <v/>
      </c>
      <c r="F117" s="187">
        <f>$C117+(150-ROW())/100000</f>
        <v/>
      </c>
    </row>
    <row r="118" ht="14" customHeight="1">
      <c r="A118" s="18">
        <f>IF(PARAMETRES!$R15="","",PARAMETRES!$R15)</f>
        <v/>
      </c>
      <c r="B118" s="18">
        <f>IF($A118="","",PARAMETRES!$S15)</f>
        <v/>
      </c>
      <c r="C118" s="186">
        <f>IF($A118="",0,SUMIFS(ARRETS!$G$5:$G$404,ARRETS!$A$5:$A$404,"&gt;="&amp;$B$7,ARRETS!$A$5:$A$404,"&lt;="&amp;$B$8,ARRETS!$H$5:$H$404,$A118,ARRETS!$Q$5:$Q$404,1,ARRETS!$K$5:$K$404,"&lt;&gt;Planifié"))</f>
        <v/>
      </c>
      <c r="D118" s="186">
        <f>IF($A118="",0,COUNTIFS(ARRETS!$A$5:$A$404,"&gt;="&amp;$B$7,ARRETS!$A$5:$A$404,"&lt;="&amp;$B$8,ARRETS!$H$5:$H$404,$A118,ARRETS!$Q$5:$Q$404,1,ARRETS!$K$5:$K$404,"&lt;&gt;Planifié"))</f>
        <v/>
      </c>
      <c r="E118" s="197">
        <f>IFERROR($C118/$D118,"")</f>
        <v/>
      </c>
      <c r="F118" s="187">
        <f>$C118+(150-ROW())/100000</f>
        <v/>
      </c>
    </row>
    <row r="119" ht="14" customHeight="1">
      <c r="A119" s="18">
        <f>IF(PARAMETRES!$R16="","",PARAMETRES!$R16)</f>
        <v/>
      </c>
      <c r="B119" s="18">
        <f>IF($A119="","",PARAMETRES!$S16)</f>
        <v/>
      </c>
      <c r="C119" s="186">
        <f>IF($A119="",0,SUMIFS(ARRETS!$G$5:$G$404,ARRETS!$A$5:$A$404,"&gt;="&amp;$B$7,ARRETS!$A$5:$A$404,"&lt;="&amp;$B$8,ARRETS!$H$5:$H$404,$A119,ARRETS!$Q$5:$Q$404,1,ARRETS!$K$5:$K$404,"&lt;&gt;Planifié"))</f>
        <v/>
      </c>
      <c r="D119" s="186">
        <f>IF($A119="",0,COUNTIFS(ARRETS!$A$5:$A$404,"&gt;="&amp;$B$7,ARRETS!$A$5:$A$404,"&lt;="&amp;$B$8,ARRETS!$H$5:$H$404,$A119,ARRETS!$Q$5:$Q$404,1,ARRETS!$K$5:$K$404,"&lt;&gt;Planifié"))</f>
        <v/>
      </c>
      <c r="E119" s="197">
        <f>IFERROR($C119/$D119,"")</f>
        <v/>
      </c>
      <c r="F119" s="187">
        <f>$C119+(150-ROW())/100000</f>
        <v/>
      </c>
    </row>
    <row r="120" ht="14" customHeight="1">
      <c r="A120" s="18">
        <f>IF(PARAMETRES!$R17="","",PARAMETRES!$R17)</f>
        <v/>
      </c>
      <c r="B120" s="18">
        <f>IF($A120="","",PARAMETRES!$S17)</f>
        <v/>
      </c>
      <c r="C120" s="186">
        <f>IF($A120="",0,SUMIFS(ARRETS!$G$5:$G$404,ARRETS!$A$5:$A$404,"&gt;="&amp;$B$7,ARRETS!$A$5:$A$404,"&lt;="&amp;$B$8,ARRETS!$H$5:$H$404,$A120,ARRETS!$Q$5:$Q$404,1,ARRETS!$K$5:$K$404,"&lt;&gt;Planifié"))</f>
        <v/>
      </c>
      <c r="D120" s="186">
        <f>IF($A120="",0,COUNTIFS(ARRETS!$A$5:$A$404,"&gt;="&amp;$B$7,ARRETS!$A$5:$A$404,"&lt;="&amp;$B$8,ARRETS!$H$5:$H$404,$A120,ARRETS!$Q$5:$Q$404,1,ARRETS!$K$5:$K$404,"&lt;&gt;Planifié"))</f>
        <v/>
      </c>
      <c r="E120" s="197">
        <f>IFERROR($C120/$D120,"")</f>
        <v/>
      </c>
      <c r="F120" s="187">
        <f>$C120+(150-ROW())/100000</f>
        <v/>
      </c>
    </row>
    <row r="121" ht="14" customHeight="1">
      <c r="A121" s="18">
        <f>IF(PARAMETRES!$R18="","",PARAMETRES!$R18)</f>
        <v/>
      </c>
      <c r="B121" s="18">
        <f>IF($A121="","",PARAMETRES!$S18)</f>
        <v/>
      </c>
      <c r="C121" s="186">
        <f>IF($A121="",0,SUMIFS(ARRETS!$G$5:$G$404,ARRETS!$A$5:$A$404,"&gt;="&amp;$B$7,ARRETS!$A$5:$A$404,"&lt;="&amp;$B$8,ARRETS!$H$5:$H$404,$A121,ARRETS!$Q$5:$Q$404,1,ARRETS!$K$5:$K$404,"&lt;&gt;Planifié"))</f>
        <v/>
      </c>
      <c r="D121" s="186">
        <f>IF($A121="",0,COUNTIFS(ARRETS!$A$5:$A$404,"&gt;="&amp;$B$7,ARRETS!$A$5:$A$404,"&lt;="&amp;$B$8,ARRETS!$H$5:$H$404,$A121,ARRETS!$Q$5:$Q$404,1,ARRETS!$K$5:$K$404,"&lt;&gt;Planifié"))</f>
        <v/>
      </c>
      <c r="E121" s="197">
        <f>IFERROR($C121/$D121,"")</f>
        <v/>
      </c>
      <c r="F121" s="187">
        <f>$C121+(150-ROW())/100000</f>
        <v/>
      </c>
    </row>
    <row r="122" ht="14" customHeight="1">
      <c r="A122" s="18">
        <f>IF(PARAMETRES!$R19="","",PARAMETRES!$R19)</f>
        <v/>
      </c>
      <c r="B122" s="18">
        <f>IF($A122="","",PARAMETRES!$S19)</f>
        <v/>
      </c>
      <c r="C122" s="186">
        <f>IF($A122="",0,SUMIFS(ARRETS!$G$5:$G$404,ARRETS!$A$5:$A$404,"&gt;="&amp;$B$7,ARRETS!$A$5:$A$404,"&lt;="&amp;$B$8,ARRETS!$H$5:$H$404,$A122,ARRETS!$Q$5:$Q$404,1,ARRETS!$K$5:$K$404,"&lt;&gt;Planifié"))</f>
        <v/>
      </c>
      <c r="D122" s="186">
        <f>IF($A122="",0,COUNTIFS(ARRETS!$A$5:$A$404,"&gt;="&amp;$B$7,ARRETS!$A$5:$A$404,"&lt;="&amp;$B$8,ARRETS!$H$5:$H$404,$A122,ARRETS!$Q$5:$Q$404,1,ARRETS!$K$5:$K$404,"&lt;&gt;Planifié"))</f>
        <v/>
      </c>
      <c r="E122" s="197">
        <f>IFERROR($C122/$D122,"")</f>
        <v/>
      </c>
      <c r="F122" s="187">
        <f>$C122+(150-ROW())/100000</f>
        <v/>
      </c>
    </row>
    <row r="123" ht="14" customHeight="1">
      <c r="A123" s="18">
        <f>IF(PARAMETRES!$R20="","",PARAMETRES!$R20)</f>
        <v/>
      </c>
      <c r="B123" s="18">
        <f>IF($A123="","",PARAMETRES!$S20)</f>
        <v/>
      </c>
      <c r="C123" s="186">
        <f>IF($A123="",0,SUMIFS(ARRETS!$G$5:$G$404,ARRETS!$A$5:$A$404,"&gt;="&amp;$B$7,ARRETS!$A$5:$A$404,"&lt;="&amp;$B$8,ARRETS!$H$5:$H$404,$A123,ARRETS!$Q$5:$Q$404,1,ARRETS!$K$5:$K$404,"&lt;&gt;Planifié"))</f>
        <v/>
      </c>
      <c r="D123" s="186">
        <f>IF($A123="",0,COUNTIFS(ARRETS!$A$5:$A$404,"&gt;="&amp;$B$7,ARRETS!$A$5:$A$404,"&lt;="&amp;$B$8,ARRETS!$H$5:$H$404,$A123,ARRETS!$Q$5:$Q$404,1,ARRETS!$K$5:$K$404,"&lt;&gt;Planifié"))</f>
        <v/>
      </c>
      <c r="E123" s="197">
        <f>IFERROR($C123/$D123,"")</f>
        <v/>
      </c>
      <c r="F123" s="187">
        <f>$C123+(150-ROW())/100000</f>
        <v/>
      </c>
    </row>
    <row r="124" ht="14" customHeight="1">
      <c r="A124" s="18">
        <f>IF(PARAMETRES!$R21="","",PARAMETRES!$R21)</f>
        <v/>
      </c>
      <c r="B124" s="18">
        <f>IF($A124="","",PARAMETRES!$S21)</f>
        <v/>
      </c>
      <c r="C124" s="186">
        <f>IF($A124="",0,SUMIFS(ARRETS!$G$5:$G$404,ARRETS!$A$5:$A$404,"&gt;="&amp;$B$7,ARRETS!$A$5:$A$404,"&lt;="&amp;$B$8,ARRETS!$H$5:$H$404,$A124,ARRETS!$Q$5:$Q$404,1,ARRETS!$K$5:$K$404,"&lt;&gt;Planifié"))</f>
        <v/>
      </c>
      <c r="D124" s="186">
        <f>IF($A124="",0,COUNTIFS(ARRETS!$A$5:$A$404,"&gt;="&amp;$B$7,ARRETS!$A$5:$A$404,"&lt;="&amp;$B$8,ARRETS!$H$5:$H$404,$A124,ARRETS!$Q$5:$Q$404,1,ARRETS!$K$5:$K$404,"&lt;&gt;Planifié"))</f>
        <v/>
      </c>
      <c r="E124" s="197">
        <f>IFERROR($C124/$D124,"")</f>
        <v/>
      </c>
      <c r="F124" s="187">
        <f>$C124+(150-ROW())/100000</f>
        <v/>
      </c>
    </row>
    <row r="125" ht="14" customHeight="1">
      <c r="A125" s="18">
        <f>IF(PARAMETRES!$R22="","",PARAMETRES!$R22)</f>
        <v/>
      </c>
      <c r="B125" s="18">
        <f>IF($A125="","",PARAMETRES!$S22)</f>
        <v/>
      </c>
      <c r="C125" s="186">
        <f>IF($A125="",0,SUMIFS(ARRETS!$G$5:$G$404,ARRETS!$A$5:$A$404,"&gt;="&amp;$B$7,ARRETS!$A$5:$A$404,"&lt;="&amp;$B$8,ARRETS!$H$5:$H$404,$A125,ARRETS!$Q$5:$Q$404,1,ARRETS!$K$5:$K$404,"&lt;&gt;Planifié"))</f>
        <v/>
      </c>
      <c r="D125" s="186">
        <f>IF($A125="",0,COUNTIFS(ARRETS!$A$5:$A$404,"&gt;="&amp;$B$7,ARRETS!$A$5:$A$404,"&lt;="&amp;$B$8,ARRETS!$H$5:$H$404,$A125,ARRETS!$Q$5:$Q$404,1,ARRETS!$K$5:$K$404,"&lt;&gt;Planifié"))</f>
        <v/>
      </c>
      <c r="E125" s="197">
        <f>IFERROR($C125/$D125,"")</f>
        <v/>
      </c>
      <c r="F125" s="187">
        <f>$C125+(150-ROW())/100000</f>
        <v/>
      </c>
    </row>
    <row r="126" ht="14" customHeight="1">
      <c r="A126" s="18">
        <f>IF(PARAMETRES!$R23="","",PARAMETRES!$R23)</f>
        <v/>
      </c>
      <c r="B126" s="18">
        <f>IF($A126="","",PARAMETRES!$S23)</f>
        <v/>
      </c>
      <c r="C126" s="186">
        <f>IF($A126="",0,SUMIFS(ARRETS!$G$5:$G$404,ARRETS!$A$5:$A$404,"&gt;="&amp;$B$7,ARRETS!$A$5:$A$404,"&lt;="&amp;$B$8,ARRETS!$H$5:$H$404,$A126,ARRETS!$Q$5:$Q$404,1,ARRETS!$K$5:$K$404,"&lt;&gt;Planifié"))</f>
        <v/>
      </c>
      <c r="D126" s="186">
        <f>IF($A126="",0,COUNTIFS(ARRETS!$A$5:$A$404,"&gt;="&amp;$B$7,ARRETS!$A$5:$A$404,"&lt;="&amp;$B$8,ARRETS!$H$5:$H$404,$A126,ARRETS!$Q$5:$Q$404,1,ARRETS!$K$5:$K$404,"&lt;&gt;Planifié"))</f>
        <v/>
      </c>
      <c r="E126" s="197">
        <f>IFERROR($C126/$D126,"")</f>
        <v/>
      </c>
      <c r="F126" s="187">
        <f>$C126+(150-ROW())/100000</f>
        <v/>
      </c>
    </row>
    <row r="127" ht="14" customHeight="1">
      <c r="A127" s="18">
        <f>IF(PARAMETRES!$R24="","",PARAMETRES!$R24)</f>
        <v/>
      </c>
      <c r="B127" s="18">
        <f>IF($A127="","",PARAMETRES!$S24)</f>
        <v/>
      </c>
      <c r="C127" s="186">
        <f>IF($A127="",0,SUMIFS(ARRETS!$G$5:$G$404,ARRETS!$A$5:$A$404,"&gt;="&amp;$B$7,ARRETS!$A$5:$A$404,"&lt;="&amp;$B$8,ARRETS!$H$5:$H$404,$A127,ARRETS!$Q$5:$Q$404,1,ARRETS!$K$5:$K$404,"&lt;&gt;Planifié"))</f>
        <v/>
      </c>
      <c r="D127" s="186">
        <f>IF($A127="",0,COUNTIFS(ARRETS!$A$5:$A$404,"&gt;="&amp;$B$7,ARRETS!$A$5:$A$404,"&lt;="&amp;$B$8,ARRETS!$H$5:$H$404,$A127,ARRETS!$Q$5:$Q$404,1,ARRETS!$K$5:$K$404,"&lt;&gt;Planifié"))</f>
        <v/>
      </c>
      <c r="E127" s="197">
        <f>IFERROR($C127/$D127,"")</f>
        <v/>
      </c>
      <c r="F127" s="187">
        <f>$C127+(150-ROW())/100000</f>
        <v/>
      </c>
    </row>
    <row r="128" ht="14" customHeight="1">
      <c r="A128" s="18">
        <f>IF(PARAMETRES!$R25="","",PARAMETRES!$R25)</f>
        <v/>
      </c>
      <c r="B128" s="18">
        <f>IF($A128="","",PARAMETRES!$S25)</f>
        <v/>
      </c>
      <c r="C128" s="186">
        <f>IF($A128="",0,SUMIFS(ARRETS!$G$5:$G$404,ARRETS!$A$5:$A$404,"&gt;="&amp;$B$7,ARRETS!$A$5:$A$404,"&lt;="&amp;$B$8,ARRETS!$H$5:$H$404,$A128,ARRETS!$Q$5:$Q$404,1,ARRETS!$K$5:$K$404,"&lt;&gt;Planifié"))</f>
        <v/>
      </c>
      <c r="D128" s="186">
        <f>IF($A128="",0,COUNTIFS(ARRETS!$A$5:$A$404,"&gt;="&amp;$B$7,ARRETS!$A$5:$A$404,"&lt;="&amp;$B$8,ARRETS!$H$5:$H$404,$A128,ARRETS!$Q$5:$Q$404,1,ARRETS!$K$5:$K$404,"&lt;&gt;Planifié"))</f>
        <v/>
      </c>
      <c r="E128" s="197">
        <f>IFERROR($C128/$D128,"")</f>
        <v/>
      </c>
      <c r="F128" s="187">
        <f>$C128+(150-ROW())/100000</f>
        <v/>
      </c>
    </row>
    <row r="129" ht="14" customHeight="1">
      <c r="A129" s="18">
        <f>IF(PARAMETRES!$R26="","",PARAMETRES!$R26)</f>
        <v/>
      </c>
      <c r="B129" s="18">
        <f>IF($A129="","",PARAMETRES!$S26)</f>
        <v/>
      </c>
      <c r="C129" s="186">
        <f>IF($A129="",0,SUMIFS(ARRETS!$G$5:$G$404,ARRETS!$A$5:$A$404,"&gt;="&amp;$B$7,ARRETS!$A$5:$A$404,"&lt;="&amp;$B$8,ARRETS!$H$5:$H$404,$A129,ARRETS!$Q$5:$Q$404,1,ARRETS!$K$5:$K$404,"&lt;&gt;Planifié"))</f>
        <v/>
      </c>
      <c r="D129" s="186">
        <f>IF($A129="",0,COUNTIFS(ARRETS!$A$5:$A$404,"&gt;="&amp;$B$7,ARRETS!$A$5:$A$404,"&lt;="&amp;$B$8,ARRETS!$H$5:$H$404,$A129,ARRETS!$Q$5:$Q$404,1,ARRETS!$K$5:$K$404,"&lt;&gt;Planifié"))</f>
        <v/>
      </c>
      <c r="E129" s="197">
        <f>IFERROR($C129/$D129,"")</f>
        <v/>
      </c>
      <c r="F129" s="187">
        <f>$C129+(150-ROW())/100000</f>
        <v/>
      </c>
    </row>
    <row r="130" ht="14" customHeight="1">
      <c r="A130" s="18">
        <f>IF(PARAMETRES!$R27="","",PARAMETRES!$R27)</f>
        <v/>
      </c>
      <c r="B130" s="18">
        <f>IF($A130="","",PARAMETRES!$S27)</f>
        <v/>
      </c>
      <c r="C130" s="186">
        <f>IF($A130="",0,SUMIFS(ARRETS!$G$5:$G$404,ARRETS!$A$5:$A$404,"&gt;="&amp;$B$7,ARRETS!$A$5:$A$404,"&lt;="&amp;$B$8,ARRETS!$H$5:$H$404,$A130,ARRETS!$Q$5:$Q$404,1,ARRETS!$K$5:$K$404,"&lt;&gt;Planifié"))</f>
        <v/>
      </c>
      <c r="D130" s="186">
        <f>IF($A130="",0,COUNTIFS(ARRETS!$A$5:$A$404,"&gt;="&amp;$B$7,ARRETS!$A$5:$A$404,"&lt;="&amp;$B$8,ARRETS!$H$5:$H$404,$A130,ARRETS!$Q$5:$Q$404,1,ARRETS!$K$5:$K$404,"&lt;&gt;Planifié"))</f>
        <v/>
      </c>
      <c r="E130" s="197">
        <f>IFERROR($C130/$D130,"")</f>
        <v/>
      </c>
      <c r="F130" s="187">
        <f>$C130+(150-ROW())/100000</f>
        <v/>
      </c>
    </row>
    <row r="131" ht="14" customHeight="1">
      <c r="A131" s="18">
        <f>IF(PARAMETRES!$R28="","",PARAMETRES!$R28)</f>
        <v/>
      </c>
      <c r="B131" s="18">
        <f>IF($A131="","",PARAMETRES!$S28)</f>
        <v/>
      </c>
      <c r="C131" s="186">
        <f>IF($A131="",0,SUMIFS(ARRETS!$G$5:$G$404,ARRETS!$A$5:$A$404,"&gt;="&amp;$B$7,ARRETS!$A$5:$A$404,"&lt;="&amp;$B$8,ARRETS!$H$5:$H$404,$A131,ARRETS!$Q$5:$Q$404,1,ARRETS!$K$5:$K$404,"&lt;&gt;Planifié"))</f>
        <v/>
      </c>
      <c r="D131" s="186">
        <f>IF($A131="",0,COUNTIFS(ARRETS!$A$5:$A$404,"&gt;="&amp;$B$7,ARRETS!$A$5:$A$404,"&lt;="&amp;$B$8,ARRETS!$H$5:$H$404,$A131,ARRETS!$Q$5:$Q$404,1,ARRETS!$K$5:$K$404,"&lt;&gt;Planifié"))</f>
        <v/>
      </c>
      <c r="E131" s="197">
        <f>IFERROR($C131/$D131,"")</f>
        <v/>
      </c>
      <c r="F131" s="187">
        <f>$C131+(150-ROW())/100000</f>
        <v/>
      </c>
    </row>
    <row r="132" ht="14" customHeight="1">
      <c r="A132" s="18">
        <f>IF(PARAMETRES!$R29="","",PARAMETRES!$R29)</f>
        <v/>
      </c>
      <c r="B132" s="18">
        <f>IF($A132="","",PARAMETRES!$S29)</f>
        <v/>
      </c>
      <c r="C132" s="186">
        <f>IF($A132="",0,SUMIFS(ARRETS!$G$5:$G$404,ARRETS!$A$5:$A$404,"&gt;="&amp;$B$7,ARRETS!$A$5:$A$404,"&lt;="&amp;$B$8,ARRETS!$H$5:$H$404,$A132,ARRETS!$Q$5:$Q$404,1,ARRETS!$K$5:$K$404,"&lt;&gt;Planifié"))</f>
        <v/>
      </c>
      <c r="D132" s="186">
        <f>IF($A132="",0,COUNTIFS(ARRETS!$A$5:$A$404,"&gt;="&amp;$B$7,ARRETS!$A$5:$A$404,"&lt;="&amp;$B$8,ARRETS!$H$5:$H$404,$A132,ARRETS!$Q$5:$Q$404,1,ARRETS!$K$5:$K$404,"&lt;&gt;Planifié"))</f>
        <v/>
      </c>
      <c r="E132" s="197">
        <f>IFERROR($C132/$D132,"")</f>
        <v/>
      </c>
      <c r="F132" s="187">
        <f>$C132+(150-ROW())/100000</f>
        <v/>
      </c>
    </row>
    <row r="133" ht="14" customHeight="1">
      <c r="A133" s="18">
        <f>IF(PARAMETRES!$R30="","",PARAMETRES!$R30)</f>
        <v/>
      </c>
      <c r="B133" s="18">
        <f>IF($A133="","",PARAMETRES!$S30)</f>
        <v/>
      </c>
      <c r="C133" s="186">
        <f>IF($A133="",0,SUMIFS(ARRETS!$G$5:$G$404,ARRETS!$A$5:$A$404,"&gt;="&amp;$B$7,ARRETS!$A$5:$A$404,"&lt;="&amp;$B$8,ARRETS!$H$5:$H$404,$A133,ARRETS!$Q$5:$Q$404,1,ARRETS!$K$5:$K$404,"&lt;&gt;Planifié"))</f>
        <v/>
      </c>
      <c r="D133" s="186">
        <f>IF($A133="",0,COUNTIFS(ARRETS!$A$5:$A$404,"&gt;="&amp;$B$7,ARRETS!$A$5:$A$404,"&lt;="&amp;$B$8,ARRETS!$H$5:$H$404,$A133,ARRETS!$Q$5:$Q$404,1,ARRETS!$K$5:$K$404,"&lt;&gt;Planifié"))</f>
        <v/>
      </c>
      <c r="E133" s="197">
        <f>IFERROR($C133/$D133,"")</f>
        <v/>
      </c>
      <c r="F133" s="187">
        <f>$C133+(150-ROW())/100000</f>
        <v/>
      </c>
    </row>
    <row r="134" ht="14" customHeight="1">
      <c r="A134" s="18">
        <f>IF(PARAMETRES!$R31="","",PARAMETRES!$R31)</f>
        <v/>
      </c>
      <c r="B134" s="18">
        <f>IF($A134="","",PARAMETRES!$S31)</f>
        <v/>
      </c>
      <c r="C134" s="186">
        <f>IF($A134="",0,SUMIFS(ARRETS!$G$5:$G$404,ARRETS!$A$5:$A$404,"&gt;="&amp;$B$7,ARRETS!$A$5:$A$404,"&lt;="&amp;$B$8,ARRETS!$H$5:$H$404,$A134,ARRETS!$Q$5:$Q$404,1,ARRETS!$K$5:$K$404,"&lt;&gt;Planifié"))</f>
        <v/>
      </c>
      <c r="D134" s="186">
        <f>IF($A134="",0,COUNTIFS(ARRETS!$A$5:$A$404,"&gt;="&amp;$B$7,ARRETS!$A$5:$A$404,"&lt;="&amp;$B$8,ARRETS!$H$5:$H$404,$A134,ARRETS!$Q$5:$Q$404,1,ARRETS!$K$5:$K$404,"&lt;&gt;Planifié"))</f>
        <v/>
      </c>
      <c r="E134" s="197">
        <f>IFERROR($C134/$D134,"")</f>
        <v/>
      </c>
      <c r="F134" s="187">
        <f>$C134+(150-ROW())/100000</f>
        <v/>
      </c>
    </row>
    <row r="135" ht="14" customHeight="1">
      <c r="A135" s="18">
        <f>IF(PARAMETRES!$R32="","",PARAMETRES!$R32)</f>
        <v/>
      </c>
      <c r="B135" s="18">
        <f>IF($A135="","",PARAMETRES!$S32)</f>
        <v/>
      </c>
      <c r="C135" s="186">
        <f>IF($A135="",0,SUMIFS(ARRETS!$G$5:$G$404,ARRETS!$A$5:$A$404,"&gt;="&amp;$B$7,ARRETS!$A$5:$A$404,"&lt;="&amp;$B$8,ARRETS!$H$5:$H$404,$A135,ARRETS!$Q$5:$Q$404,1,ARRETS!$K$5:$K$404,"&lt;&gt;Planifié"))</f>
        <v/>
      </c>
      <c r="D135" s="186">
        <f>IF($A135="",0,COUNTIFS(ARRETS!$A$5:$A$404,"&gt;="&amp;$B$7,ARRETS!$A$5:$A$404,"&lt;="&amp;$B$8,ARRETS!$H$5:$H$404,$A135,ARRETS!$Q$5:$Q$404,1,ARRETS!$K$5:$K$404,"&lt;&gt;Planifié"))</f>
        <v/>
      </c>
      <c r="E135" s="197">
        <f>IFERROR($C135/$D135,"")</f>
        <v/>
      </c>
      <c r="F135" s="187">
        <f>$C135+(150-ROW())/100000</f>
        <v/>
      </c>
    </row>
    <row r="136" ht="14" customHeight="1">
      <c r="A136" s="18">
        <f>IF(PARAMETRES!$R33="","",PARAMETRES!$R33)</f>
        <v/>
      </c>
      <c r="B136" s="18">
        <f>IF($A136="","",PARAMETRES!$S33)</f>
        <v/>
      </c>
      <c r="C136" s="186">
        <f>IF($A136="",0,SUMIFS(ARRETS!$G$5:$G$404,ARRETS!$A$5:$A$404,"&gt;="&amp;$B$7,ARRETS!$A$5:$A$404,"&lt;="&amp;$B$8,ARRETS!$H$5:$H$404,$A136,ARRETS!$Q$5:$Q$404,1,ARRETS!$K$5:$K$404,"&lt;&gt;Planifié"))</f>
        <v/>
      </c>
      <c r="D136" s="186">
        <f>IF($A136="",0,COUNTIFS(ARRETS!$A$5:$A$404,"&gt;="&amp;$B$7,ARRETS!$A$5:$A$404,"&lt;="&amp;$B$8,ARRETS!$H$5:$H$404,$A136,ARRETS!$Q$5:$Q$404,1,ARRETS!$K$5:$K$404,"&lt;&gt;Planifié"))</f>
        <v/>
      </c>
      <c r="E136" s="197">
        <f>IFERROR($C136/$D136,"")</f>
        <v/>
      </c>
      <c r="F136" s="187">
        <f>$C136+(150-ROW())/100000</f>
        <v/>
      </c>
    </row>
    <row r="137" ht="14" customHeight="1">
      <c r="A137" s="18">
        <f>IF(PARAMETRES!$R34="","",PARAMETRES!$R34)</f>
        <v/>
      </c>
      <c r="B137" s="18">
        <f>IF($A137="","",PARAMETRES!$S34)</f>
        <v/>
      </c>
      <c r="C137" s="186">
        <f>IF($A137="",0,SUMIFS(ARRETS!$G$5:$G$404,ARRETS!$A$5:$A$404,"&gt;="&amp;$B$7,ARRETS!$A$5:$A$404,"&lt;="&amp;$B$8,ARRETS!$H$5:$H$404,$A137,ARRETS!$Q$5:$Q$404,1,ARRETS!$K$5:$K$404,"&lt;&gt;Planifié"))</f>
        <v/>
      </c>
      <c r="D137" s="186">
        <f>IF($A137="",0,COUNTIFS(ARRETS!$A$5:$A$404,"&gt;="&amp;$B$7,ARRETS!$A$5:$A$404,"&lt;="&amp;$B$8,ARRETS!$H$5:$H$404,$A137,ARRETS!$Q$5:$Q$404,1,ARRETS!$K$5:$K$404,"&lt;&gt;Planifié"))</f>
        <v/>
      </c>
      <c r="E137" s="197">
        <f>IFERROR($C137/$D137,"")</f>
        <v/>
      </c>
      <c r="F137" s="187">
        <f>$C137+(150-ROW())/100000</f>
        <v/>
      </c>
    </row>
    <row r="138" ht="14" customHeight="1">
      <c r="A138" s="18">
        <f>IF(PARAMETRES!$R35="","",PARAMETRES!$R35)</f>
        <v/>
      </c>
      <c r="B138" s="18">
        <f>IF($A138="","",PARAMETRES!$S35)</f>
        <v/>
      </c>
      <c r="C138" s="186">
        <f>IF($A138="",0,SUMIFS(ARRETS!$G$5:$G$404,ARRETS!$A$5:$A$404,"&gt;="&amp;$B$7,ARRETS!$A$5:$A$404,"&lt;="&amp;$B$8,ARRETS!$H$5:$H$404,$A138,ARRETS!$Q$5:$Q$404,1,ARRETS!$K$5:$K$404,"&lt;&gt;Planifié"))</f>
        <v/>
      </c>
      <c r="D138" s="186">
        <f>IF($A138="",0,COUNTIFS(ARRETS!$A$5:$A$404,"&gt;="&amp;$B$7,ARRETS!$A$5:$A$404,"&lt;="&amp;$B$8,ARRETS!$H$5:$H$404,$A138,ARRETS!$Q$5:$Q$404,1,ARRETS!$K$5:$K$404,"&lt;&gt;Planifié"))</f>
        <v/>
      </c>
      <c r="E138" s="197">
        <f>IFERROR($C138/$D138,"")</f>
        <v/>
      </c>
      <c r="F138" s="187">
        <f>$C138+(150-ROW())/100000</f>
        <v/>
      </c>
    </row>
    <row r="139" ht="14" customHeight="1">
      <c r="A139" s="18">
        <f>IF(PARAMETRES!$R36="","",PARAMETRES!$R36)</f>
        <v/>
      </c>
      <c r="B139" s="18">
        <f>IF($A139="","",PARAMETRES!$S36)</f>
        <v/>
      </c>
      <c r="C139" s="186">
        <f>IF($A139="",0,SUMIFS(ARRETS!$G$5:$G$404,ARRETS!$A$5:$A$404,"&gt;="&amp;$B$7,ARRETS!$A$5:$A$404,"&lt;="&amp;$B$8,ARRETS!$H$5:$H$404,$A139,ARRETS!$Q$5:$Q$404,1,ARRETS!$K$5:$K$404,"&lt;&gt;Planifié"))</f>
        <v/>
      </c>
      <c r="D139" s="186">
        <f>IF($A139="",0,COUNTIFS(ARRETS!$A$5:$A$404,"&gt;="&amp;$B$7,ARRETS!$A$5:$A$404,"&lt;="&amp;$B$8,ARRETS!$H$5:$H$404,$A139,ARRETS!$Q$5:$Q$404,1,ARRETS!$K$5:$K$404,"&lt;&gt;Planifié"))</f>
        <v/>
      </c>
      <c r="E139" s="197">
        <f>IFERROR($C139/$D139,"")</f>
        <v/>
      </c>
      <c r="F139" s="187">
        <f>$C139+(150-ROW())/100000</f>
        <v/>
      </c>
    </row>
    <row r="140" ht="14" customHeight="1">
      <c r="A140" s="18">
        <f>IF(PARAMETRES!$R37="","",PARAMETRES!$R37)</f>
        <v/>
      </c>
      <c r="B140" s="18">
        <f>IF($A140="","",PARAMETRES!$S37)</f>
        <v/>
      </c>
      <c r="C140" s="186">
        <f>IF($A140="",0,SUMIFS(ARRETS!$G$5:$G$404,ARRETS!$A$5:$A$404,"&gt;="&amp;$B$7,ARRETS!$A$5:$A$404,"&lt;="&amp;$B$8,ARRETS!$H$5:$H$404,$A140,ARRETS!$Q$5:$Q$404,1,ARRETS!$K$5:$K$404,"&lt;&gt;Planifié"))</f>
        <v/>
      </c>
      <c r="D140" s="186">
        <f>IF($A140="",0,COUNTIFS(ARRETS!$A$5:$A$404,"&gt;="&amp;$B$7,ARRETS!$A$5:$A$404,"&lt;="&amp;$B$8,ARRETS!$H$5:$H$404,$A140,ARRETS!$Q$5:$Q$404,1,ARRETS!$K$5:$K$404,"&lt;&gt;Planifié"))</f>
        <v/>
      </c>
      <c r="E140" s="197">
        <f>IFERROR($C140/$D140,"")</f>
        <v/>
      </c>
      <c r="F140" s="187">
        <f>$C140+(150-ROW())/100000</f>
        <v/>
      </c>
    </row>
    <row r="141" ht="14" customHeight="1">
      <c r="A141" s="18">
        <f>IF(PARAMETRES!$R38="","",PARAMETRES!$R38)</f>
        <v/>
      </c>
      <c r="B141" s="18">
        <f>IF($A141="","",PARAMETRES!$S38)</f>
        <v/>
      </c>
      <c r="C141" s="186">
        <f>IF($A141="",0,SUMIFS(ARRETS!$G$5:$G$404,ARRETS!$A$5:$A$404,"&gt;="&amp;$B$7,ARRETS!$A$5:$A$404,"&lt;="&amp;$B$8,ARRETS!$H$5:$H$404,$A141,ARRETS!$Q$5:$Q$404,1,ARRETS!$K$5:$K$404,"&lt;&gt;Planifié"))</f>
        <v/>
      </c>
      <c r="D141" s="186">
        <f>IF($A141="",0,COUNTIFS(ARRETS!$A$5:$A$404,"&gt;="&amp;$B$7,ARRETS!$A$5:$A$404,"&lt;="&amp;$B$8,ARRETS!$H$5:$H$404,$A141,ARRETS!$Q$5:$Q$404,1,ARRETS!$K$5:$K$404,"&lt;&gt;Planifié"))</f>
        <v/>
      </c>
      <c r="E141" s="197">
        <f>IFERROR($C141/$D141,"")</f>
        <v/>
      </c>
      <c r="F141" s="187">
        <f>$C141+(150-ROW())/100000</f>
        <v/>
      </c>
    </row>
    <row r="142" ht="14" customHeight="1">
      <c r="A142" s="18">
        <f>IF(PARAMETRES!$R39="","",PARAMETRES!$R39)</f>
        <v/>
      </c>
      <c r="B142" s="18">
        <f>IF($A142="","",PARAMETRES!$S39)</f>
        <v/>
      </c>
      <c r="C142" s="186">
        <f>IF($A142="",0,SUMIFS(ARRETS!$G$5:$G$404,ARRETS!$A$5:$A$404,"&gt;="&amp;$B$7,ARRETS!$A$5:$A$404,"&lt;="&amp;$B$8,ARRETS!$H$5:$H$404,$A142,ARRETS!$Q$5:$Q$404,1,ARRETS!$K$5:$K$404,"&lt;&gt;Planifié"))</f>
        <v/>
      </c>
      <c r="D142" s="186">
        <f>IF($A142="",0,COUNTIFS(ARRETS!$A$5:$A$404,"&gt;="&amp;$B$7,ARRETS!$A$5:$A$404,"&lt;="&amp;$B$8,ARRETS!$H$5:$H$404,$A142,ARRETS!$Q$5:$Q$404,1,ARRETS!$K$5:$K$404,"&lt;&gt;Planifié"))</f>
        <v/>
      </c>
      <c r="E142" s="197">
        <f>IFERROR($C142/$D142,"")</f>
        <v/>
      </c>
      <c r="F142" s="187">
        <f>$C142+(150-ROW())/100000</f>
        <v/>
      </c>
    </row>
    <row r="143" ht="14" customHeight="1">
      <c r="A143" s="18">
        <f>IF(PARAMETRES!$R40="","",PARAMETRES!$R40)</f>
        <v/>
      </c>
      <c r="B143" s="18">
        <f>IF($A143="","",PARAMETRES!$S40)</f>
        <v/>
      </c>
      <c r="C143" s="186">
        <f>IF($A143="",0,SUMIFS(ARRETS!$G$5:$G$404,ARRETS!$A$5:$A$404,"&gt;="&amp;$B$7,ARRETS!$A$5:$A$404,"&lt;="&amp;$B$8,ARRETS!$H$5:$H$404,$A143,ARRETS!$Q$5:$Q$404,1,ARRETS!$K$5:$K$404,"&lt;&gt;Planifié"))</f>
        <v/>
      </c>
      <c r="D143" s="186">
        <f>IF($A143="",0,COUNTIFS(ARRETS!$A$5:$A$404,"&gt;="&amp;$B$7,ARRETS!$A$5:$A$404,"&lt;="&amp;$B$8,ARRETS!$H$5:$H$404,$A143,ARRETS!$Q$5:$Q$404,1,ARRETS!$K$5:$K$404,"&lt;&gt;Planifié"))</f>
        <v/>
      </c>
      <c r="E143" s="197">
        <f>IFERROR($C143/$D143,"")</f>
        <v/>
      </c>
      <c r="F143" s="187">
        <f>$C143+(150-ROW())/100000</f>
        <v/>
      </c>
    </row>
    <row r="144" ht="14" customHeight="1">
      <c r="A144" s="18">
        <f>IF(PARAMETRES!$R41="","",PARAMETRES!$R41)</f>
        <v/>
      </c>
      <c r="B144" s="18">
        <f>IF($A144="","",PARAMETRES!$S41)</f>
        <v/>
      </c>
      <c r="C144" s="186">
        <f>IF($A144="",0,SUMIFS(ARRETS!$G$5:$G$404,ARRETS!$A$5:$A$404,"&gt;="&amp;$B$7,ARRETS!$A$5:$A$404,"&lt;="&amp;$B$8,ARRETS!$H$5:$H$404,$A144,ARRETS!$Q$5:$Q$404,1,ARRETS!$K$5:$K$404,"&lt;&gt;Planifié"))</f>
        <v/>
      </c>
      <c r="D144" s="186">
        <f>IF($A144="",0,COUNTIFS(ARRETS!$A$5:$A$404,"&gt;="&amp;$B$7,ARRETS!$A$5:$A$404,"&lt;="&amp;$B$8,ARRETS!$H$5:$H$404,$A144,ARRETS!$Q$5:$Q$404,1,ARRETS!$K$5:$K$404,"&lt;&gt;Planifié"))</f>
        <v/>
      </c>
      <c r="E144" s="197">
        <f>IFERROR($C144/$D144,"")</f>
        <v/>
      </c>
      <c r="F144" s="187">
        <f>$C144+(150-ROW())/100000</f>
        <v/>
      </c>
    </row>
    <row r="145" ht="14" customHeight="1">
      <c r="A145" s="18">
        <f>IF(PARAMETRES!$R42="","",PARAMETRES!$R42)</f>
        <v/>
      </c>
      <c r="B145" s="18">
        <f>IF($A145="","",PARAMETRES!$S42)</f>
        <v/>
      </c>
      <c r="C145" s="186">
        <f>IF($A145="",0,SUMIFS(ARRETS!$G$5:$G$404,ARRETS!$A$5:$A$404,"&gt;="&amp;$B$7,ARRETS!$A$5:$A$404,"&lt;="&amp;$B$8,ARRETS!$H$5:$H$404,$A145,ARRETS!$Q$5:$Q$404,1,ARRETS!$K$5:$K$404,"&lt;&gt;Planifié"))</f>
        <v/>
      </c>
      <c r="D145" s="186">
        <f>IF($A145="",0,COUNTIFS(ARRETS!$A$5:$A$404,"&gt;="&amp;$B$7,ARRETS!$A$5:$A$404,"&lt;="&amp;$B$8,ARRETS!$H$5:$H$404,$A145,ARRETS!$Q$5:$Q$404,1,ARRETS!$K$5:$K$404,"&lt;&gt;Planifié"))</f>
        <v/>
      </c>
      <c r="E145" s="197">
        <f>IFERROR($C145/$D145,"")</f>
        <v/>
      </c>
      <c r="F145" s="187">
        <f>$C145+(150-ROW())/100000</f>
        <v/>
      </c>
    </row>
    <row r="146" ht="14" customHeight="1">
      <c r="A146" s="18">
        <f>IF(PARAMETRES!$R43="","",PARAMETRES!$R43)</f>
        <v/>
      </c>
      <c r="B146" s="18">
        <f>IF($A146="","",PARAMETRES!$S43)</f>
        <v/>
      </c>
      <c r="C146" s="186">
        <f>IF($A146="",0,SUMIFS(ARRETS!$G$5:$G$404,ARRETS!$A$5:$A$404,"&gt;="&amp;$B$7,ARRETS!$A$5:$A$404,"&lt;="&amp;$B$8,ARRETS!$H$5:$H$404,$A146,ARRETS!$Q$5:$Q$404,1,ARRETS!$K$5:$K$404,"&lt;&gt;Planifié"))</f>
        <v/>
      </c>
      <c r="D146" s="186">
        <f>IF($A146="",0,COUNTIFS(ARRETS!$A$5:$A$404,"&gt;="&amp;$B$7,ARRETS!$A$5:$A$404,"&lt;="&amp;$B$8,ARRETS!$H$5:$H$404,$A146,ARRETS!$Q$5:$Q$404,1,ARRETS!$K$5:$K$404,"&lt;&gt;Planifié"))</f>
        <v/>
      </c>
      <c r="E146" s="197">
        <f>IFERROR($C146/$D146,"")</f>
        <v/>
      </c>
      <c r="F146" s="187">
        <f>$C146+(150-ROW())/100000</f>
        <v/>
      </c>
    </row>
    <row r="147" ht="14" customHeight="1">
      <c r="A147" s="18">
        <f>IF(PARAMETRES!$R44="","",PARAMETRES!$R44)</f>
        <v/>
      </c>
      <c r="B147" s="18">
        <f>IF($A147="","",PARAMETRES!$S44)</f>
        <v/>
      </c>
      <c r="C147" s="186">
        <f>IF($A147="",0,SUMIFS(ARRETS!$G$5:$G$404,ARRETS!$A$5:$A$404,"&gt;="&amp;$B$7,ARRETS!$A$5:$A$404,"&lt;="&amp;$B$8,ARRETS!$H$5:$H$404,$A147,ARRETS!$Q$5:$Q$404,1,ARRETS!$K$5:$K$404,"&lt;&gt;Planifié"))</f>
        <v/>
      </c>
      <c r="D147" s="186">
        <f>IF($A147="",0,COUNTIFS(ARRETS!$A$5:$A$404,"&gt;="&amp;$B$7,ARRETS!$A$5:$A$404,"&lt;="&amp;$B$8,ARRETS!$H$5:$H$404,$A147,ARRETS!$Q$5:$Q$404,1,ARRETS!$K$5:$K$404,"&lt;&gt;Planifié"))</f>
        <v/>
      </c>
      <c r="E147" s="197">
        <f>IFERROR($C147/$D147,"")</f>
        <v/>
      </c>
      <c r="F147" s="187">
        <f>$C147+(150-ROW())/100000</f>
        <v/>
      </c>
    </row>
    <row r="148" ht="14" customHeight="1">
      <c r="A148" s="18">
        <f>IF(PARAMETRES!$R45="","",PARAMETRES!$R45)</f>
        <v/>
      </c>
      <c r="B148" s="18">
        <f>IF($A148="","",PARAMETRES!$S45)</f>
        <v/>
      </c>
      <c r="C148" s="186">
        <f>IF($A148="",0,SUMIFS(ARRETS!$G$5:$G$404,ARRETS!$A$5:$A$404,"&gt;="&amp;$B$7,ARRETS!$A$5:$A$404,"&lt;="&amp;$B$8,ARRETS!$H$5:$H$404,$A148,ARRETS!$Q$5:$Q$404,1,ARRETS!$K$5:$K$404,"&lt;&gt;Planifié"))</f>
        <v/>
      </c>
      <c r="D148" s="186">
        <f>IF($A148="",0,COUNTIFS(ARRETS!$A$5:$A$404,"&gt;="&amp;$B$7,ARRETS!$A$5:$A$404,"&lt;="&amp;$B$8,ARRETS!$H$5:$H$404,$A148,ARRETS!$Q$5:$Q$404,1,ARRETS!$K$5:$K$404,"&lt;&gt;Planifié"))</f>
        <v/>
      </c>
      <c r="E148" s="197">
        <f>IFERROR($C148/$D148,"")</f>
        <v/>
      </c>
      <c r="F148" s="187">
        <f>$C148+(150-ROW())/100000</f>
        <v/>
      </c>
    </row>
    <row r="149" ht="14" customHeight="1">
      <c r="A149" s="18">
        <f>IF(PARAMETRES!$R46="","",PARAMETRES!$R46)</f>
        <v/>
      </c>
      <c r="B149" s="18">
        <f>IF($A149="","",PARAMETRES!$S46)</f>
        <v/>
      </c>
      <c r="C149" s="186">
        <f>IF($A149="",0,SUMIFS(ARRETS!$G$5:$G$404,ARRETS!$A$5:$A$404,"&gt;="&amp;$B$7,ARRETS!$A$5:$A$404,"&lt;="&amp;$B$8,ARRETS!$H$5:$H$404,$A149,ARRETS!$Q$5:$Q$404,1,ARRETS!$K$5:$K$404,"&lt;&gt;Planifié"))</f>
        <v/>
      </c>
      <c r="D149" s="186">
        <f>IF($A149="",0,COUNTIFS(ARRETS!$A$5:$A$404,"&gt;="&amp;$B$7,ARRETS!$A$5:$A$404,"&lt;="&amp;$B$8,ARRETS!$H$5:$H$404,$A149,ARRETS!$Q$5:$Q$404,1,ARRETS!$K$5:$K$404,"&lt;&gt;Planifié"))</f>
        <v/>
      </c>
      <c r="E149" s="197">
        <f>IFERROR($C149/$D149,"")</f>
        <v/>
      </c>
      <c r="F149" s="187">
        <f>$C149+(150-ROW())/100000</f>
        <v/>
      </c>
    </row>
    <row r="150" ht="20" customHeight="1">
      <c r="A150" s="4" t="inlineStr">
        <is>
          <t>TOP 5 DES CAUSES D'ARRÊT SUBI DE LA PÉRIODE</t>
        </is>
      </c>
      <c r="B150" s="5" t="n"/>
      <c r="C150" s="5" t="n"/>
      <c r="D150" s="5" t="n"/>
      <c r="E150" s="5" t="n"/>
      <c r="F150" s="5" t="n"/>
      <c r="G150" s="5" t="n"/>
      <c r="H150" s="5" t="n"/>
      <c r="I150" s="5" t="n"/>
      <c r="J150" s="5" t="n"/>
      <c r="K150" s="5" t="n"/>
      <c r="L150" s="5" t="n"/>
    </row>
    <row r="151" ht="26" customHeight="1">
      <c r="A151" s="6" t="inlineStr">
        <is>
          <t>Rang</t>
        </is>
      </c>
      <c r="B151" s="6" t="inlineStr">
        <is>
          <t>Code</t>
        </is>
      </c>
      <c r="C151" s="6" t="inlineStr">
        <is>
          <t>Libellé de la cause</t>
        </is>
      </c>
      <c r="D151" s="6" t="inlineStr">
        <is>
          <t>Minutes perdues</t>
        </is>
      </c>
      <c r="E151" s="6" t="inlineStr">
        <is>
          <t>Occurrences</t>
        </is>
      </c>
      <c r="F151" s="6" t="inlineStr">
        <is>
          <t>Durée moyenne</t>
        </is>
      </c>
      <c r="G151" s="6" t="inlineStr">
        <is>
          <t>Part des arrêts</t>
        </is>
      </c>
      <c r="H151" s="6" t="inlineStr"/>
      <c r="I151" s="6" t="inlineStr"/>
      <c r="J151" s="6" t="inlineStr"/>
      <c r="K151" s="6" t="inlineStr"/>
      <c r="L151" s="6" t="inlineStr"/>
    </row>
    <row r="152" ht="14" customHeight="1">
      <c r="A152" s="188" t="n">
        <v>1</v>
      </c>
      <c r="B152" s="18">
        <f>IFERROR(INDEX($A$110:$A$149,MATCH(LARGE($F$110:$F$149,1),$F$110:$F$149,0)),"")</f>
        <v/>
      </c>
      <c r="C152" s="18">
        <f>IFERROR(INDEX($B$110:$B$149,MATCH(LARGE($F$110:$F$149,1),$F$110:$F$149,0)),"")</f>
        <v/>
      </c>
      <c r="D152" s="186">
        <f>IFERROR(INDEX($C$110:$C$149,MATCH(LARGE($F$110:$F$149,1),$F$110:$F$149,0)),"")</f>
        <v/>
      </c>
      <c r="E152" s="186">
        <f>IFERROR(INDEX($D$110:$D$149,MATCH(LARGE($F$110:$F$149,1),$F$110:$F$149,0)),"")</f>
        <v/>
      </c>
      <c r="F152" s="197">
        <f>IFERROR($D152/$E152,"")</f>
        <v/>
      </c>
      <c r="G152" s="189">
        <f>IFERROR($D152/SUM($C$110:$C$149),"")</f>
        <v/>
      </c>
    </row>
    <row r="153" ht="14" customHeight="1">
      <c r="A153" s="188" t="n">
        <v>2</v>
      </c>
      <c r="B153" s="18">
        <f>IFERROR(INDEX($A$110:$A$149,MATCH(LARGE($F$110:$F$149,2),$F$110:$F$149,0)),"")</f>
        <v/>
      </c>
      <c r="C153" s="18">
        <f>IFERROR(INDEX($B$110:$B$149,MATCH(LARGE($F$110:$F$149,2),$F$110:$F$149,0)),"")</f>
        <v/>
      </c>
      <c r="D153" s="186">
        <f>IFERROR(INDEX($C$110:$C$149,MATCH(LARGE($F$110:$F$149,2),$F$110:$F$149,0)),"")</f>
        <v/>
      </c>
      <c r="E153" s="186">
        <f>IFERROR(INDEX($D$110:$D$149,MATCH(LARGE($F$110:$F$149,2),$F$110:$F$149,0)),"")</f>
        <v/>
      </c>
      <c r="F153" s="197">
        <f>IFERROR($D153/$E153,"")</f>
        <v/>
      </c>
      <c r="G153" s="189">
        <f>IFERROR($D153/SUM($C$110:$C$149),"")</f>
        <v/>
      </c>
    </row>
    <row r="154" ht="14" customHeight="1">
      <c r="A154" s="188" t="n">
        <v>3</v>
      </c>
      <c r="B154" s="18">
        <f>IFERROR(INDEX($A$110:$A$149,MATCH(LARGE($F$110:$F$149,3),$F$110:$F$149,0)),"")</f>
        <v/>
      </c>
      <c r="C154" s="18">
        <f>IFERROR(INDEX($B$110:$B$149,MATCH(LARGE($F$110:$F$149,3),$F$110:$F$149,0)),"")</f>
        <v/>
      </c>
      <c r="D154" s="186">
        <f>IFERROR(INDEX($C$110:$C$149,MATCH(LARGE($F$110:$F$149,3),$F$110:$F$149,0)),"")</f>
        <v/>
      </c>
      <c r="E154" s="186">
        <f>IFERROR(INDEX($D$110:$D$149,MATCH(LARGE($F$110:$F$149,3),$F$110:$F$149,0)),"")</f>
        <v/>
      </c>
      <c r="F154" s="197">
        <f>IFERROR($D154/$E154,"")</f>
        <v/>
      </c>
      <c r="G154" s="189">
        <f>IFERROR($D154/SUM($C$110:$C$149),"")</f>
        <v/>
      </c>
    </row>
    <row r="155" ht="14" customHeight="1">
      <c r="A155" s="188" t="n">
        <v>4</v>
      </c>
      <c r="B155" s="18">
        <f>IFERROR(INDEX($A$110:$A$149,MATCH(LARGE($F$110:$F$149,4),$F$110:$F$149,0)),"")</f>
        <v/>
      </c>
      <c r="C155" s="18">
        <f>IFERROR(INDEX($B$110:$B$149,MATCH(LARGE($F$110:$F$149,4),$F$110:$F$149,0)),"")</f>
        <v/>
      </c>
      <c r="D155" s="186">
        <f>IFERROR(INDEX($C$110:$C$149,MATCH(LARGE($F$110:$F$149,4),$F$110:$F$149,0)),"")</f>
        <v/>
      </c>
      <c r="E155" s="186">
        <f>IFERROR(INDEX($D$110:$D$149,MATCH(LARGE($F$110:$F$149,4),$F$110:$F$149,0)),"")</f>
        <v/>
      </c>
      <c r="F155" s="197">
        <f>IFERROR($D155/$E155,"")</f>
        <v/>
      </c>
      <c r="G155" s="189">
        <f>IFERROR($D155/SUM($C$110:$C$149),"")</f>
        <v/>
      </c>
    </row>
    <row r="156" ht="14" customHeight="1">
      <c r="A156" s="188" t="n">
        <v>5</v>
      </c>
      <c r="B156" s="18">
        <f>IFERROR(INDEX($A$110:$A$149,MATCH(LARGE($F$110:$F$149,5),$F$110:$F$149,0)),"")</f>
        <v/>
      </c>
      <c r="C156" s="18">
        <f>IFERROR(INDEX($B$110:$B$149,MATCH(LARGE($F$110:$F$149,5),$F$110:$F$149,0)),"")</f>
        <v/>
      </c>
      <c r="D156" s="186">
        <f>IFERROR(INDEX($C$110:$C$149,MATCH(LARGE($F$110:$F$149,5),$F$110:$F$149,0)),"")</f>
        <v/>
      </c>
      <c r="E156" s="186">
        <f>IFERROR(INDEX($D$110:$D$149,MATCH(LARGE($F$110:$F$149,5),$F$110:$F$149,0)),"")</f>
        <v/>
      </c>
      <c r="F156" s="197">
        <f>IFERROR($D156/$E156,"")</f>
        <v/>
      </c>
      <c r="G156" s="189">
        <f>IFERROR($D156/SUM($C$110:$C$149),"")</f>
        <v/>
      </c>
    </row>
  </sheetData>
  <mergeCells count="11">
    <mergeCell ref="A1:T1"/>
    <mergeCell ref="A101:L101"/>
    <mergeCell ref="A108:L108"/>
    <mergeCell ref="A44:L44"/>
    <mergeCell ref="A2:T2"/>
    <mergeCell ref="A70:L70"/>
    <mergeCell ref="A150:L150"/>
    <mergeCell ref="A77:L77"/>
    <mergeCell ref="A55:L55"/>
    <mergeCell ref="A86:S86"/>
    <mergeCell ref="A10:S10"/>
  </mergeCells>
  <printOptions horizontalCentered="1"/>
  <pageMargins left="0.4" right="0.4" top="0.5" bottom="0.5" header="0.5" footer="0.5"/>
  <pageSetup orientation="landscape" paperSize="9" fitToHeight="0" fitToWidth="1"/>
  <headerFooter>
    <oddHeader/>
    <oddFooter>&amp;L&amp;8 &amp;F  —  &amp;A&amp;R&amp;8 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Classeur de pilotage industriel</dc:creator>
  <dc:title>Pilotage de la production — cockpit superviseur</dc:title>
  <dc:subject>Suivi du TRS, analyse des pertes, plan d'actions, compétences et 5S</dc:subject>
  <dcterms:created xsi:type="dcterms:W3CDTF">2026-09-08T23:54:28Z</dcterms:created>
  <dcterms:modified xsi:type="dcterms:W3CDTF">2026-09-08T23:54:31Z</dcterms:modified>
  <cp:category>Production / Amélioration continue</cp:category>
</cp:coreProperties>
</file>